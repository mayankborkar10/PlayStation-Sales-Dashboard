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6a4aa57e3c23c5e8/Documents/Plays Station Analysis/"/>
    </mc:Choice>
  </mc:AlternateContent>
  <xr:revisionPtr revIDLastSave="4" documentId="13_ncr:1_{10BCDEC3-6AFA-4C8B-A19F-C6A4F6B2189D}" xr6:coauthVersionLast="47" xr6:coauthVersionMax="47" xr10:uidLastSave="{F50A10E5-5319-4231-B85D-B8B5D3CA979E}"/>
  <bookViews>
    <workbookView xWindow="-110" yWindow="-110" windowWidth="25820" windowHeight="16220" xr2:uid="{00000000-000D-0000-FFFF-FFFF00000000}"/>
  </bookViews>
  <sheets>
    <sheet name="Dashboard" sheetId="8" r:id="rId1"/>
    <sheet name="Pivot Tables" sheetId="5" r:id="rId2"/>
    <sheet name="PlayStation Games" sheetId="1" r:id="rId3"/>
    <sheet name="OG Dataset" sheetId="9" r:id="rId4"/>
    <sheet name="Reference" sheetId="2" r:id="rId5"/>
  </sheets>
  <definedNames>
    <definedName name="Slicer_Genre">#N/A</definedName>
    <definedName name="Slicer_Platform">#N/A</definedName>
    <definedName name="Slicer_Publish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8" i="8" l="1"/>
  <c r="Z4" i="8"/>
  <c r="Z2" i="8"/>
  <c r="Z10" i="8"/>
  <c r="Q4" i="8"/>
  <c r="N4" i="8"/>
  <c r="K4" i="8"/>
  <c r="H4" i="8"/>
  <c r="E4" i="8"/>
  <c r="B4" i="8"/>
  <c r="N11" i="1" a="1"/>
  <c r="N11" i="1"/>
  <c r="N2" i="1" a="1"/>
  <c r="N2" i="1"/>
  <c r="N3" i="1" a="1"/>
  <c r="N3" i="1"/>
  <c r="N4" i="1" a="1"/>
  <c r="N4" i="1"/>
  <c r="N5" i="1" a="1"/>
  <c r="N5" i="1"/>
  <c r="N6" i="1" a="1"/>
  <c r="N6" i="1"/>
  <c r="N7" i="1" a="1"/>
  <c r="N7" i="1"/>
  <c r="N8" i="1" a="1"/>
  <c r="N8" i="1"/>
  <c r="N9" i="1" a="1"/>
  <c r="N9" i="1"/>
  <c r="N10" i="1" a="1"/>
  <c r="N10" i="1"/>
  <c r="N12" i="1" a="1"/>
  <c r="N12" i="1"/>
  <c r="N13" i="1" a="1"/>
  <c r="N13" i="1"/>
  <c r="N14" i="1" a="1"/>
  <c r="N14" i="1"/>
  <c r="N15" i="1" a="1"/>
  <c r="N15" i="1"/>
  <c r="N16" i="1" a="1"/>
  <c r="N16" i="1"/>
  <c r="N17" i="1" a="1"/>
  <c r="N17" i="1"/>
  <c r="N18" i="1" a="1"/>
  <c r="N18" i="1"/>
  <c r="N19" i="1" a="1"/>
  <c r="N19" i="1"/>
  <c r="N20" i="1" a="1"/>
  <c r="N20" i="1"/>
  <c r="N21" i="1" a="1"/>
  <c r="N21" i="1"/>
  <c r="N22" i="1" a="1"/>
  <c r="N22" i="1"/>
  <c r="N23" i="1" a="1"/>
  <c r="N23" i="1"/>
  <c r="N24" i="1" a="1"/>
  <c r="N24" i="1"/>
  <c r="N25" i="1" a="1"/>
  <c r="N25" i="1"/>
  <c r="N26" i="1" a="1"/>
  <c r="N26" i="1"/>
  <c r="N27" i="1" a="1"/>
  <c r="N27" i="1"/>
  <c r="N28" i="1" a="1"/>
  <c r="N28" i="1"/>
  <c r="N29" i="1" a="1"/>
  <c r="N29" i="1"/>
  <c r="N30" i="1" a="1"/>
  <c r="N30" i="1"/>
  <c r="N31" i="1" a="1"/>
  <c r="N31" i="1"/>
  <c r="N32" i="1" a="1"/>
  <c r="N32" i="1"/>
  <c r="N33" i="1" a="1"/>
  <c r="N33" i="1"/>
  <c r="N34" i="1" a="1"/>
  <c r="N34" i="1"/>
  <c r="N35" i="1" a="1"/>
  <c r="N35" i="1"/>
  <c r="N36" i="1" a="1"/>
  <c r="N36" i="1"/>
  <c r="N37" i="1" a="1"/>
  <c r="N37" i="1"/>
  <c r="N38" i="1" a="1"/>
  <c r="N38" i="1"/>
  <c r="N39" i="1" a="1"/>
  <c r="N39" i="1"/>
  <c r="N40" i="1" a="1"/>
  <c r="N40" i="1"/>
  <c r="N41" i="1" a="1"/>
  <c r="N41" i="1"/>
  <c r="N42" i="1" a="1"/>
  <c r="N42" i="1"/>
  <c r="N43" i="1" a="1"/>
  <c r="N43" i="1"/>
  <c r="N44" i="1" a="1"/>
  <c r="N44" i="1"/>
  <c r="N45" i="1" a="1"/>
  <c r="N45" i="1"/>
  <c r="N46" i="1" a="1"/>
  <c r="N46" i="1"/>
  <c r="N47" i="1" a="1"/>
  <c r="N47" i="1"/>
  <c r="N48" i="1" a="1"/>
  <c r="N48" i="1"/>
  <c r="N49" i="1" a="1"/>
  <c r="N49" i="1"/>
  <c r="N50" i="1" a="1"/>
  <c r="N50" i="1"/>
  <c r="N51" i="1" a="1"/>
  <c r="N51" i="1"/>
  <c r="N52" i="1" a="1"/>
  <c r="N52" i="1"/>
  <c r="N53" i="1" a="1"/>
  <c r="N53" i="1"/>
  <c r="N54" i="1" a="1"/>
  <c r="N54" i="1"/>
  <c r="N55" i="1" a="1"/>
  <c r="N55" i="1"/>
  <c r="N56" i="1" a="1"/>
  <c r="N56" i="1"/>
  <c r="N57" i="1" a="1"/>
  <c r="N57" i="1"/>
  <c r="N58" i="1" a="1"/>
  <c r="N58" i="1"/>
  <c r="N59" i="1" a="1"/>
  <c r="N59" i="1"/>
  <c r="N60" i="1" a="1"/>
  <c r="N60" i="1"/>
  <c r="N61" i="1" a="1"/>
  <c r="N61" i="1"/>
  <c r="N62" i="1" a="1"/>
  <c r="N62" i="1"/>
  <c r="N63" i="1" a="1"/>
  <c r="N63" i="1"/>
  <c r="N64" i="1" a="1"/>
  <c r="N64" i="1"/>
  <c r="N65" i="1" a="1"/>
  <c r="N65" i="1"/>
  <c r="N66" i="1" a="1"/>
  <c r="N66" i="1"/>
  <c r="N67" i="1" a="1"/>
  <c r="N67" i="1"/>
  <c r="N68" i="1" a="1"/>
  <c r="N68" i="1"/>
  <c r="N69" i="1" a="1"/>
  <c r="N69" i="1"/>
  <c r="N70" i="1" a="1"/>
  <c r="N70" i="1"/>
  <c r="N71" i="1" a="1"/>
  <c r="N71" i="1"/>
  <c r="N72" i="1" a="1"/>
  <c r="N72" i="1"/>
  <c r="N73" i="1" a="1"/>
  <c r="N73" i="1"/>
  <c r="N74" i="1" a="1"/>
  <c r="N74" i="1"/>
  <c r="N75" i="1" a="1"/>
  <c r="N75" i="1"/>
  <c r="N76" i="1" a="1"/>
  <c r="N76" i="1"/>
  <c r="N77" i="1" a="1"/>
  <c r="N77" i="1"/>
  <c r="N78" i="1" a="1"/>
  <c r="N78" i="1"/>
  <c r="N79" i="1" a="1"/>
  <c r="N79" i="1"/>
  <c r="N80" i="1" a="1"/>
  <c r="N80" i="1"/>
  <c r="N81" i="1" a="1"/>
  <c r="N81" i="1"/>
  <c r="N82" i="1" a="1"/>
  <c r="N82" i="1"/>
  <c r="N83" i="1" a="1"/>
  <c r="N83" i="1"/>
  <c r="N84" i="1" a="1"/>
  <c r="N84" i="1"/>
  <c r="N85" i="1" a="1"/>
  <c r="N85" i="1"/>
  <c r="N86" i="1" a="1"/>
  <c r="N86" i="1"/>
  <c r="N87" i="1" a="1"/>
  <c r="N87" i="1"/>
  <c r="N88" i="1" a="1"/>
  <c r="N88" i="1"/>
  <c r="N89" i="1" a="1"/>
  <c r="N89" i="1"/>
  <c r="N90" i="1" a="1"/>
  <c r="N90" i="1"/>
  <c r="N91" i="1" a="1"/>
  <c r="N91" i="1"/>
  <c r="N92" i="1" a="1"/>
  <c r="N92" i="1"/>
  <c r="N93" i="1" a="1"/>
  <c r="N93" i="1"/>
  <c r="N94" i="1" a="1"/>
  <c r="N94" i="1"/>
  <c r="N95" i="1" a="1"/>
  <c r="N95" i="1"/>
  <c r="N96" i="1" a="1"/>
  <c r="N96" i="1"/>
  <c r="N97" i="1" a="1"/>
  <c r="N97" i="1"/>
  <c r="N98" i="1" a="1"/>
  <c r="N98" i="1"/>
  <c r="N99" i="1" a="1"/>
  <c r="N99" i="1"/>
  <c r="N100" i="1" a="1"/>
  <c r="N100" i="1"/>
  <c r="N101" i="1" a="1"/>
  <c r="N101" i="1"/>
  <c r="N102" i="1" a="1"/>
  <c r="N102" i="1"/>
  <c r="N103" i="1" a="1"/>
  <c r="N103" i="1"/>
  <c r="N104" i="1" a="1"/>
  <c r="N104" i="1"/>
  <c r="N105" i="1" a="1"/>
  <c r="N105" i="1"/>
  <c r="N106" i="1" a="1"/>
  <c r="N106" i="1"/>
  <c r="N107" i="1" a="1"/>
  <c r="N107" i="1"/>
  <c r="N108" i="1" a="1"/>
  <c r="N108" i="1"/>
  <c r="N109" i="1" a="1"/>
  <c r="N109" i="1"/>
  <c r="N110" i="1" a="1"/>
  <c r="N110" i="1"/>
  <c r="N111" i="1" a="1"/>
  <c r="N111" i="1"/>
  <c r="N112" i="1" a="1"/>
  <c r="N112" i="1"/>
  <c r="N113" i="1" a="1"/>
  <c r="N113" i="1"/>
  <c r="N114" i="1" a="1"/>
  <c r="N114" i="1"/>
  <c r="N115" i="1" a="1"/>
  <c r="N115" i="1"/>
  <c r="N116" i="1" a="1"/>
  <c r="N116" i="1"/>
  <c r="N117" i="1" a="1"/>
  <c r="N117" i="1"/>
  <c r="N118" i="1" a="1"/>
  <c r="N118" i="1"/>
  <c r="N119" i="1" a="1"/>
  <c r="N119" i="1"/>
  <c r="N120" i="1" a="1"/>
  <c r="N120" i="1"/>
  <c r="N121" i="1" a="1"/>
  <c r="N121" i="1"/>
  <c r="N122" i="1" a="1"/>
  <c r="N122" i="1"/>
  <c r="N123" i="1" a="1"/>
  <c r="N123" i="1"/>
  <c r="N124" i="1" a="1"/>
  <c r="N124" i="1"/>
  <c r="N125" i="1" a="1"/>
  <c r="N125" i="1"/>
  <c r="N126" i="1" a="1"/>
  <c r="N126" i="1"/>
  <c r="N127" i="1" a="1"/>
  <c r="N127" i="1"/>
  <c r="N128" i="1" a="1"/>
  <c r="N128" i="1"/>
  <c r="N129" i="1" a="1"/>
  <c r="N129" i="1"/>
  <c r="N130" i="1" a="1"/>
  <c r="N130" i="1"/>
  <c r="N131" i="1" a="1"/>
  <c r="N131" i="1"/>
  <c r="N132" i="1" a="1"/>
  <c r="N132" i="1"/>
  <c r="N133" i="1" a="1"/>
  <c r="N133" i="1"/>
  <c r="N134" i="1" a="1"/>
  <c r="N134" i="1"/>
  <c r="N135" i="1" a="1"/>
  <c r="N135" i="1"/>
  <c r="N136" i="1" a="1"/>
  <c r="N136" i="1"/>
  <c r="N137" i="1" a="1"/>
  <c r="N137" i="1"/>
  <c r="N138" i="1" a="1"/>
  <c r="N138" i="1"/>
  <c r="N139" i="1" a="1"/>
  <c r="N139" i="1"/>
  <c r="N140" i="1" a="1"/>
  <c r="N140" i="1"/>
  <c r="N141" i="1" a="1"/>
  <c r="N141" i="1"/>
  <c r="N142" i="1" a="1"/>
  <c r="N142" i="1"/>
  <c r="N143" i="1" a="1"/>
  <c r="N143" i="1"/>
  <c r="N144" i="1" a="1"/>
  <c r="N144" i="1"/>
  <c r="N145" i="1" a="1"/>
  <c r="N145" i="1"/>
  <c r="N146" i="1" a="1"/>
  <c r="N146" i="1"/>
  <c r="N147" i="1" a="1"/>
  <c r="N147" i="1"/>
  <c r="N148" i="1" a="1"/>
  <c r="N148" i="1"/>
  <c r="N149" i="1" a="1"/>
  <c r="N149" i="1"/>
  <c r="N150" i="1" a="1"/>
  <c r="N150" i="1"/>
  <c r="N151" i="1" a="1"/>
  <c r="N151" i="1"/>
  <c r="N152" i="1" a="1"/>
  <c r="N152" i="1"/>
  <c r="N153" i="1" a="1"/>
  <c r="N153" i="1"/>
  <c r="N154" i="1" a="1"/>
  <c r="N154" i="1"/>
  <c r="N155" i="1" a="1"/>
  <c r="N155" i="1"/>
  <c r="N156" i="1" a="1"/>
  <c r="N156" i="1"/>
  <c r="N157" i="1" a="1"/>
  <c r="N157" i="1"/>
  <c r="N158" i="1" a="1"/>
  <c r="N158" i="1"/>
  <c r="N159" i="1" a="1"/>
  <c r="N159" i="1"/>
  <c r="N160" i="1" a="1"/>
  <c r="N160" i="1"/>
  <c r="N161" i="1" a="1"/>
  <c r="N161" i="1"/>
  <c r="N162" i="1" a="1"/>
  <c r="N162" i="1"/>
  <c r="N163" i="1" a="1"/>
  <c r="N163" i="1"/>
  <c r="N164" i="1" a="1"/>
  <c r="N164" i="1"/>
  <c r="N165" i="1" a="1"/>
  <c r="N165" i="1"/>
  <c r="N166" i="1" a="1"/>
  <c r="N166" i="1"/>
  <c r="N167" i="1" a="1"/>
  <c r="N167" i="1"/>
  <c r="N168" i="1" a="1"/>
  <c r="N168" i="1"/>
  <c r="N169" i="1" a="1"/>
  <c r="N169" i="1"/>
  <c r="N170" i="1" a="1"/>
  <c r="N170" i="1"/>
  <c r="N171" i="1" a="1"/>
  <c r="N171" i="1"/>
  <c r="N172" i="1" a="1"/>
  <c r="N172" i="1"/>
  <c r="N173" i="1" a="1"/>
  <c r="N173" i="1"/>
  <c r="N174" i="1" a="1"/>
  <c r="N174" i="1"/>
  <c r="N175" i="1" a="1"/>
  <c r="N175" i="1"/>
  <c r="N176" i="1" a="1"/>
  <c r="N176" i="1"/>
  <c r="N177" i="1" a="1"/>
  <c r="N177" i="1"/>
  <c r="N178" i="1" a="1"/>
  <c r="N178" i="1"/>
  <c r="N179" i="1" a="1"/>
  <c r="N179" i="1"/>
  <c r="N180" i="1" a="1"/>
  <c r="N180" i="1"/>
  <c r="N181" i="1" a="1"/>
  <c r="N181" i="1"/>
  <c r="N182" i="1" a="1"/>
  <c r="N182" i="1"/>
  <c r="N183" i="1" a="1"/>
  <c r="N183" i="1"/>
  <c r="N184" i="1" a="1"/>
  <c r="N184" i="1"/>
  <c r="N185" i="1" a="1"/>
  <c r="N185" i="1"/>
  <c r="N186" i="1" a="1"/>
  <c r="N186" i="1"/>
  <c r="N187" i="1" a="1"/>
  <c r="N187" i="1"/>
  <c r="N188" i="1" a="1"/>
  <c r="N188" i="1"/>
  <c r="N189" i="1" a="1"/>
  <c r="N189" i="1"/>
  <c r="N190" i="1" a="1"/>
  <c r="N190" i="1"/>
  <c r="N191" i="1" a="1"/>
  <c r="N191" i="1"/>
  <c r="N192" i="1" a="1"/>
  <c r="N192" i="1"/>
  <c r="N193" i="1" a="1"/>
  <c r="N193" i="1"/>
  <c r="N194" i="1" a="1"/>
  <c r="N194" i="1"/>
  <c r="N195" i="1" a="1"/>
  <c r="N195" i="1"/>
  <c r="N196" i="1" a="1"/>
  <c r="N196" i="1"/>
  <c r="N197" i="1" a="1"/>
  <c r="N197" i="1"/>
  <c r="N198" i="1" a="1"/>
  <c r="N198" i="1"/>
  <c r="N199" i="1" a="1"/>
  <c r="N199" i="1"/>
  <c r="N200" i="1" a="1"/>
  <c r="N200" i="1"/>
  <c r="N201" i="1" a="1"/>
  <c r="N201" i="1"/>
  <c r="N202" i="1" a="1"/>
  <c r="N202" i="1"/>
  <c r="N203" i="1" a="1"/>
  <c r="N203" i="1"/>
  <c r="N204" i="1" a="1"/>
  <c r="N204" i="1"/>
  <c r="N205" i="1" a="1"/>
  <c r="N205" i="1"/>
  <c r="N206" i="1" a="1"/>
  <c r="N206" i="1"/>
  <c r="N207" i="1" a="1"/>
  <c r="N207" i="1"/>
  <c r="N208" i="1" a="1"/>
  <c r="N208" i="1"/>
  <c r="N209" i="1" a="1"/>
  <c r="N209" i="1"/>
  <c r="N210" i="1" a="1"/>
  <c r="N210" i="1"/>
  <c r="N211" i="1" a="1"/>
  <c r="N211" i="1"/>
  <c r="N212" i="1" a="1"/>
  <c r="N212" i="1"/>
  <c r="N213" i="1" a="1"/>
  <c r="N213" i="1"/>
  <c r="N214" i="1" a="1"/>
  <c r="N214" i="1"/>
  <c r="N215" i="1" a="1"/>
  <c r="N215" i="1"/>
  <c r="N216" i="1" a="1"/>
  <c r="N216" i="1"/>
  <c r="N217" i="1" a="1"/>
  <c r="N217" i="1"/>
  <c r="N218" i="1" a="1"/>
  <c r="N218" i="1"/>
  <c r="N219" i="1" a="1"/>
  <c r="N219" i="1"/>
  <c r="N220" i="1" a="1"/>
  <c r="N220" i="1"/>
  <c r="N221" i="1" a="1"/>
  <c r="N221" i="1"/>
  <c r="N222" i="1" a="1"/>
  <c r="N222" i="1"/>
  <c r="N223" i="1" a="1"/>
  <c r="N223" i="1"/>
  <c r="N224" i="1" a="1"/>
  <c r="N224" i="1"/>
  <c r="N225" i="1" a="1"/>
  <c r="N225" i="1"/>
  <c r="N226" i="1" a="1"/>
  <c r="N226" i="1"/>
  <c r="N227" i="1" a="1"/>
  <c r="N227" i="1"/>
  <c r="N228" i="1" a="1"/>
  <c r="N228" i="1"/>
  <c r="N229" i="1" a="1"/>
  <c r="N229" i="1"/>
  <c r="N230" i="1" a="1"/>
  <c r="N230" i="1"/>
  <c r="N231" i="1" a="1"/>
  <c r="N231" i="1"/>
  <c r="N232" i="1" a="1"/>
  <c r="N232" i="1"/>
  <c r="N233" i="1" a="1"/>
  <c r="N233" i="1"/>
  <c r="N234" i="1" a="1"/>
  <c r="N234" i="1"/>
  <c r="N235" i="1" a="1"/>
  <c r="N235" i="1"/>
  <c r="N236" i="1" a="1"/>
  <c r="N236" i="1"/>
  <c r="N237" i="1" a="1"/>
  <c r="N237" i="1"/>
  <c r="N238" i="1" a="1"/>
  <c r="N238" i="1"/>
  <c r="N239" i="1" a="1"/>
  <c r="N239" i="1"/>
  <c r="N240" i="1" a="1"/>
  <c r="N240" i="1"/>
  <c r="N241" i="1" a="1"/>
  <c r="N241" i="1"/>
  <c r="N242" i="1" a="1"/>
  <c r="N242" i="1"/>
  <c r="N243" i="1" a="1"/>
  <c r="N243" i="1"/>
  <c r="N244" i="1" a="1"/>
  <c r="N244" i="1"/>
  <c r="N245" i="1" a="1"/>
  <c r="N245" i="1"/>
  <c r="N246" i="1" a="1"/>
  <c r="N246" i="1"/>
  <c r="N247" i="1" a="1"/>
  <c r="N247" i="1"/>
  <c r="N248" i="1" a="1"/>
  <c r="N248" i="1"/>
  <c r="N249" i="1" a="1"/>
  <c r="N249" i="1"/>
  <c r="N250" i="1" a="1"/>
  <c r="N250" i="1"/>
  <c r="N251" i="1" a="1"/>
  <c r="N251" i="1"/>
  <c r="N252" i="1" a="1"/>
  <c r="N252" i="1"/>
  <c r="N253" i="1" a="1"/>
  <c r="N253" i="1"/>
  <c r="N254" i="1" a="1"/>
  <c r="N254" i="1"/>
  <c r="N255" i="1" a="1"/>
  <c r="N255" i="1"/>
  <c r="N256" i="1" a="1"/>
  <c r="N256" i="1"/>
  <c r="N257" i="1" a="1"/>
  <c r="N257" i="1"/>
  <c r="N258" i="1" a="1"/>
  <c r="N258" i="1"/>
  <c r="N259" i="1" a="1"/>
  <c r="N259" i="1"/>
  <c r="N260" i="1" a="1"/>
  <c r="N260" i="1"/>
  <c r="N261" i="1" a="1"/>
  <c r="N261" i="1"/>
  <c r="N262" i="1" a="1"/>
  <c r="N262" i="1"/>
  <c r="N263" i="1" a="1"/>
  <c r="N263" i="1"/>
  <c r="N264" i="1" a="1"/>
  <c r="N264" i="1"/>
  <c r="N265" i="1" a="1"/>
  <c r="N265" i="1"/>
  <c r="N266" i="1" a="1"/>
  <c r="N266" i="1" s="1"/>
  <c r="N267" i="1" a="1"/>
  <c r="N267" i="1"/>
  <c r="N268" i="1" a="1"/>
  <c r="N268" i="1"/>
  <c r="N269" i="1" a="1"/>
  <c r="N269" i="1"/>
  <c r="N270" i="1" a="1"/>
  <c r="N270" i="1"/>
  <c r="N271" i="1" a="1"/>
  <c r="N271" i="1"/>
  <c r="N272" i="1" a="1"/>
  <c r="N272" i="1"/>
  <c r="N273" i="1" a="1"/>
  <c r="N273" i="1"/>
  <c r="N274" i="1" a="1"/>
  <c r="N274" i="1"/>
  <c r="N275" i="1" a="1"/>
  <c r="N275" i="1"/>
  <c r="N276" i="1" a="1"/>
  <c r="N276" i="1"/>
  <c r="N277" i="1" a="1"/>
  <c r="N277" i="1"/>
  <c r="N278" i="1" a="1"/>
  <c r="N278" i="1" s="1"/>
  <c r="N279" i="1" a="1"/>
  <c r="N279" i="1"/>
  <c r="N280" i="1" a="1"/>
  <c r="N280" i="1"/>
  <c r="N281" i="1" a="1"/>
  <c r="N281" i="1"/>
  <c r="N282" i="1" a="1"/>
  <c r="N282" i="1"/>
  <c r="N283" i="1" a="1"/>
  <c r="N283" i="1"/>
  <c r="N284" i="1" a="1"/>
  <c r="N284" i="1"/>
  <c r="N285" i="1" a="1"/>
  <c r="N285" i="1"/>
  <c r="N286" i="1" a="1"/>
  <c r="N286" i="1"/>
  <c r="N287" i="1" a="1"/>
  <c r="N287" i="1"/>
  <c r="N288" i="1" a="1"/>
  <c r="N288" i="1"/>
  <c r="N289" i="1" a="1"/>
  <c r="N289" i="1"/>
  <c r="N290" i="1" a="1"/>
  <c r="N290" i="1" s="1"/>
  <c r="N291" i="1" a="1"/>
  <c r="N291" i="1"/>
  <c r="N292" i="1" a="1"/>
  <c r="N292" i="1"/>
  <c r="N293" i="1" a="1"/>
  <c r="N293" i="1"/>
  <c r="N294" i="1" a="1"/>
  <c r="N294" i="1"/>
  <c r="N295" i="1" a="1"/>
  <c r="N295" i="1"/>
  <c r="N296" i="1" a="1"/>
  <c r="N296" i="1"/>
  <c r="N297" i="1" a="1"/>
  <c r="N297" i="1"/>
  <c r="N298" i="1" a="1"/>
  <c r="N298" i="1"/>
  <c r="N299" i="1" a="1"/>
  <c r="N299" i="1"/>
  <c r="N300" i="1" a="1"/>
  <c r="N300" i="1"/>
  <c r="N301" i="1" a="1"/>
  <c r="N301" i="1"/>
  <c r="N302" i="1" a="1"/>
  <c r="N302" i="1" s="1"/>
  <c r="N303" i="1" a="1"/>
  <c r="N303" i="1"/>
  <c r="N304" i="1" a="1"/>
  <c r="N304" i="1"/>
  <c r="N305" i="1" a="1"/>
  <c r="N305" i="1"/>
  <c r="N306" i="1" a="1"/>
  <c r="N306" i="1"/>
  <c r="N307" i="1" a="1"/>
  <c r="N307" i="1"/>
  <c r="N308" i="1" a="1"/>
  <c r="N308" i="1"/>
  <c r="N309" i="1" a="1"/>
  <c r="N309" i="1"/>
  <c r="N310" i="1" a="1"/>
  <c r="N310" i="1"/>
  <c r="N311" i="1" a="1"/>
  <c r="N311" i="1"/>
  <c r="N312" i="1" a="1"/>
  <c r="N312" i="1"/>
  <c r="N313" i="1" a="1"/>
  <c r="N313" i="1"/>
  <c r="N314" i="1" a="1"/>
  <c r="N314" i="1" s="1"/>
  <c r="N315" i="1" a="1"/>
  <c r="N315" i="1"/>
  <c r="N316" i="1" a="1"/>
  <c r="N316" i="1"/>
  <c r="N317" i="1" a="1"/>
  <c r="N317" i="1"/>
  <c r="N318" i="1" a="1"/>
  <c r="N318" i="1"/>
  <c r="N319" i="1" a="1"/>
  <c r="N319" i="1"/>
  <c r="N320" i="1" a="1"/>
  <c r="N320" i="1"/>
  <c r="N321" i="1" a="1"/>
  <c r="N321" i="1"/>
  <c r="N322" i="1" a="1"/>
  <c r="N322" i="1"/>
  <c r="N323" i="1" a="1"/>
  <c r="N323" i="1"/>
  <c r="N324" i="1" a="1"/>
  <c r="N324" i="1"/>
  <c r="N325" i="1" a="1"/>
  <c r="N325" i="1"/>
  <c r="N326" i="1" a="1"/>
  <c r="N326" i="1" s="1"/>
  <c r="N327" i="1" a="1"/>
  <c r="N327" i="1"/>
  <c r="N328" i="1" a="1"/>
  <c r="N328" i="1"/>
  <c r="N329" i="1" a="1"/>
  <c r="N329" i="1"/>
  <c r="N330" i="1" a="1"/>
  <c r="N330" i="1"/>
  <c r="N331" i="1" a="1"/>
  <c r="N331" i="1"/>
  <c r="N332" i="1" a="1"/>
  <c r="N332" i="1"/>
  <c r="N333" i="1" a="1"/>
  <c r="N333" i="1"/>
  <c r="N334" i="1" a="1"/>
  <c r="N334" i="1"/>
  <c r="N335" i="1" a="1"/>
  <c r="N335" i="1"/>
  <c r="N336" i="1" a="1"/>
  <c r="N336" i="1"/>
  <c r="N337" i="1" a="1"/>
  <c r="N337" i="1"/>
  <c r="N338" i="1" a="1"/>
  <c r="N338" i="1" s="1"/>
  <c r="N339" i="1" a="1"/>
  <c r="N339" i="1"/>
  <c r="N340" i="1" a="1"/>
  <c r="N340" i="1"/>
  <c r="N341" i="1" a="1"/>
  <c r="N341" i="1"/>
  <c r="N342" i="1" a="1"/>
  <c r="N342" i="1"/>
  <c r="N343" i="1" a="1"/>
  <c r="N343" i="1"/>
  <c r="N344" i="1" a="1"/>
  <c r="N344" i="1"/>
  <c r="N345" i="1" a="1"/>
  <c r="N345" i="1"/>
  <c r="N346" i="1" a="1"/>
  <c r="N346" i="1"/>
  <c r="N347" i="1" a="1"/>
  <c r="N347" i="1"/>
  <c r="N348" i="1" a="1"/>
  <c r="N348" i="1"/>
  <c r="N349" i="1" a="1"/>
  <c r="N349" i="1"/>
  <c r="N350" i="1" a="1"/>
  <c r="N350" i="1" s="1"/>
  <c r="N351" i="1" a="1"/>
  <c r="N351" i="1"/>
  <c r="N352" i="1" a="1"/>
  <c r="N352" i="1"/>
  <c r="N353" i="1" a="1"/>
  <c r="N353" i="1"/>
  <c r="N354" i="1" a="1"/>
  <c r="N354" i="1"/>
  <c r="N355" i="1" a="1"/>
  <c r="N355" i="1"/>
  <c r="N356" i="1" a="1"/>
  <c r="N356" i="1"/>
  <c r="N357" i="1" a="1"/>
  <c r="N357" i="1"/>
  <c r="N358" i="1" a="1"/>
  <c r="N358" i="1"/>
  <c r="N359" i="1" a="1"/>
  <c r="N359" i="1"/>
  <c r="N360" i="1" a="1"/>
  <c r="N360" i="1"/>
  <c r="N361" i="1" a="1"/>
  <c r="N361" i="1"/>
  <c r="N362" i="1" a="1"/>
  <c r="N362" i="1" s="1"/>
  <c r="N363" i="1" a="1"/>
  <c r="N363" i="1"/>
  <c r="N364" i="1" a="1"/>
  <c r="N364" i="1"/>
  <c r="N365" i="1" a="1"/>
  <c r="N365" i="1"/>
  <c r="N366" i="1" a="1"/>
  <c r="N366" i="1"/>
  <c r="N367" i="1" a="1"/>
  <c r="N367" i="1"/>
  <c r="N368" i="1" a="1"/>
  <c r="N368" i="1"/>
  <c r="N369" i="1" a="1"/>
  <c r="N369" i="1"/>
  <c r="N370" i="1" a="1"/>
  <c r="N370" i="1"/>
  <c r="N371" i="1" a="1"/>
  <c r="N371" i="1"/>
  <c r="N372" i="1" a="1"/>
  <c r="N372" i="1"/>
  <c r="N373" i="1" a="1"/>
  <c r="N373" i="1"/>
  <c r="N374" i="1" a="1"/>
  <c r="N374" i="1" s="1"/>
  <c r="N375" i="1" a="1"/>
  <c r="N375" i="1"/>
  <c r="N376" i="1" a="1"/>
  <c r="N376" i="1"/>
  <c r="N377" i="1" a="1"/>
  <c r="N377" i="1"/>
  <c r="N378" i="1" a="1"/>
  <c r="N378" i="1"/>
  <c r="N379" i="1" a="1"/>
  <c r="N379" i="1"/>
  <c r="N380" i="1" a="1"/>
  <c r="N380" i="1"/>
  <c r="N381" i="1" a="1"/>
  <c r="N381" i="1"/>
  <c r="N382" i="1" a="1"/>
  <c r="N382" i="1"/>
  <c r="N383" i="1" a="1"/>
  <c r="N383" i="1"/>
  <c r="N384" i="1" a="1"/>
  <c r="N384" i="1"/>
  <c r="N385" i="1" a="1"/>
  <c r="N385" i="1"/>
  <c r="N386" i="1" a="1"/>
  <c r="N386" i="1" s="1"/>
  <c r="N387" i="1" a="1"/>
  <c r="N387" i="1"/>
  <c r="N388" i="1" a="1"/>
  <c r="N388" i="1"/>
  <c r="N389" i="1" a="1"/>
  <c r="N389" i="1"/>
  <c r="N390" i="1" a="1"/>
  <c r="N390" i="1"/>
  <c r="N391" i="1" a="1"/>
  <c r="N391" i="1"/>
  <c r="N392" i="1" a="1"/>
  <c r="N392" i="1"/>
  <c r="N393" i="1" a="1"/>
  <c r="N393" i="1"/>
  <c r="N394" i="1" a="1"/>
  <c r="N394" i="1"/>
  <c r="N395" i="1" a="1"/>
  <c r="N395" i="1"/>
  <c r="N396" i="1" a="1"/>
  <c r="N396" i="1"/>
  <c r="N397" i="1" a="1"/>
  <c r="N397" i="1"/>
  <c r="N398" i="1" a="1"/>
  <c r="N398" i="1" s="1"/>
  <c r="N399" i="1" a="1"/>
  <c r="N399" i="1"/>
  <c r="N400" i="1" a="1"/>
  <c r="N400" i="1"/>
  <c r="N401" i="1" a="1"/>
  <c r="N401" i="1"/>
  <c r="N402" i="1" a="1"/>
  <c r="N402" i="1"/>
  <c r="N403" i="1" a="1"/>
  <c r="N403" i="1"/>
  <c r="N404" i="1" a="1"/>
  <c r="N404" i="1"/>
  <c r="N405" i="1" a="1"/>
  <c r="N405" i="1"/>
  <c r="N406" i="1" a="1"/>
  <c r="N406" i="1"/>
  <c r="N407" i="1" a="1"/>
  <c r="N407" i="1"/>
  <c r="N408" i="1" a="1"/>
  <c r="N408" i="1"/>
  <c r="N409" i="1" a="1"/>
  <c r="N409" i="1"/>
  <c r="N410" i="1" a="1"/>
  <c r="N410" i="1" s="1"/>
  <c r="N411" i="1" a="1"/>
  <c r="N411" i="1"/>
  <c r="N412" i="1" a="1"/>
  <c r="N412" i="1"/>
  <c r="N413" i="1" a="1"/>
  <c r="N413" i="1"/>
  <c r="N414" i="1" a="1"/>
  <c r="N414" i="1"/>
  <c r="N415" i="1" a="1"/>
  <c r="N415" i="1"/>
  <c r="N416" i="1" a="1"/>
  <c r="N416" i="1"/>
  <c r="N417" i="1" a="1"/>
  <c r="N417" i="1"/>
  <c r="N418" i="1" a="1"/>
  <c r="N418" i="1"/>
  <c r="N419" i="1" a="1"/>
  <c r="N419" i="1"/>
  <c r="N420" i="1" a="1"/>
  <c r="N420" i="1"/>
  <c r="N421" i="1" a="1"/>
  <c r="N421" i="1"/>
  <c r="N422" i="1" a="1"/>
  <c r="N422" i="1" s="1"/>
  <c r="N423" i="1" a="1"/>
  <c r="N423" i="1"/>
  <c r="N424" i="1" a="1"/>
  <c r="N424" i="1"/>
  <c r="N425" i="1" a="1"/>
  <c r="N425" i="1"/>
  <c r="N426" i="1" a="1"/>
  <c r="N426" i="1"/>
  <c r="N427" i="1" a="1"/>
  <c r="N427" i="1"/>
  <c r="N428" i="1" a="1"/>
  <c r="N428" i="1"/>
  <c r="N429" i="1" a="1"/>
  <c r="N429" i="1"/>
  <c r="N430" i="1" a="1"/>
  <c r="N430" i="1"/>
  <c r="N431" i="1" a="1"/>
  <c r="N431" i="1"/>
  <c r="N432" i="1" a="1"/>
  <c r="N432" i="1"/>
  <c r="N433" i="1" a="1"/>
  <c r="N433" i="1"/>
  <c r="N434" i="1" a="1"/>
  <c r="N434" i="1" s="1"/>
  <c r="N435" i="1" a="1"/>
  <c r="N435" i="1"/>
  <c r="N436" i="1" a="1"/>
  <c r="N436" i="1"/>
  <c r="N437" i="1" a="1"/>
  <c r="N437" i="1"/>
  <c r="N438" i="1" a="1"/>
  <c r="N438" i="1"/>
  <c r="N439" i="1" a="1"/>
  <c r="N439" i="1"/>
  <c r="N440" i="1" a="1"/>
  <c r="N440" i="1"/>
  <c r="N441" i="1" a="1"/>
  <c r="N441" i="1"/>
  <c r="N442" i="1" a="1"/>
  <c r="N442" i="1"/>
  <c r="N443" i="1" a="1"/>
  <c r="N443" i="1"/>
  <c r="N444" i="1" a="1"/>
  <c r="N444" i="1"/>
  <c r="N445" i="1" a="1"/>
  <c r="N445" i="1"/>
  <c r="N446" i="1" a="1"/>
  <c r="N446" i="1" s="1"/>
  <c r="N447" i="1" a="1"/>
  <c r="N447" i="1"/>
  <c r="N448" i="1" a="1"/>
  <c r="N448" i="1"/>
  <c r="N449" i="1" a="1"/>
  <c r="N449" i="1"/>
  <c r="N450" i="1" a="1"/>
  <c r="N450" i="1"/>
  <c r="N451" i="1" a="1"/>
  <c r="N451" i="1"/>
  <c r="N452" i="1" a="1"/>
  <c r="N452" i="1"/>
  <c r="N453" i="1" a="1"/>
  <c r="N453" i="1"/>
  <c r="N454" i="1" a="1"/>
  <c r="N454" i="1"/>
  <c r="N455" i="1" a="1"/>
  <c r="N455" i="1"/>
  <c r="N456" i="1" a="1"/>
  <c r="N456" i="1"/>
  <c r="N457" i="1" a="1"/>
  <c r="N457" i="1"/>
  <c r="N458" i="1" a="1"/>
  <c r="N458" i="1" s="1"/>
  <c r="N459" i="1" a="1"/>
  <c r="N459" i="1"/>
  <c r="N460" i="1" a="1"/>
  <c r="N460" i="1"/>
  <c r="N461" i="1" a="1"/>
  <c r="N461" i="1"/>
  <c r="N462" i="1" a="1"/>
  <c r="N462" i="1"/>
  <c r="N463" i="1" a="1"/>
  <c r="N463" i="1"/>
  <c r="N464" i="1" a="1"/>
  <c r="N464" i="1"/>
  <c r="N465" i="1" a="1"/>
  <c r="N465" i="1"/>
  <c r="N466" i="1" a="1"/>
  <c r="N466" i="1"/>
  <c r="N467" i="1" a="1"/>
  <c r="N467" i="1"/>
  <c r="N468" i="1" a="1"/>
  <c r="N468" i="1"/>
  <c r="N469" i="1" a="1"/>
  <c r="N469" i="1"/>
  <c r="N470" i="1" a="1"/>
  <c r="N470" i="1" s="1"/>
  <c r="N471" i="1" a="1"/>
  <c r="N471" i="1"/>
  <c r="N472" i="1" a="1"/>
  <c r="N472" i="1"/>
  <c r="N473" i="1" a="1"/>
  <c r="N473" i="1"/>
  <c r="N474" i="1" a="1"/>
  <c r="N474" i="1"/>
  <c r="N475" i="1" a="1"/>
  <c r="N475" i="1"/>
  <c r="N476" i="1" a="1"/>
  <c r="N476" i="1"/>
  <c r="N477" i="1" a="1"/>
  <c r="N477" i="1"/>
  <c r="N478" i="1" a="1"/>
  <c r="N478" i="1"/>
  <c r="N479" i="1" a="1"/>
  <c r="N479" i="1"/>
  <c r="N480" i="1" a="1"/>
  <c r="N480" i="1"/>
  <c r="N481" i="1" a="1"/>
  <c r="N481" i="1"/>
  <c r="N482" i="1" a="1"/>
  <c r="N482" i="1" s="1"/>
  <c r="N483" i="1" a="1"/>
  <c r="N483" i="1"/>
  <c r="N484" i="1" a="1"/>
  <c r="N484" i="1"/>
  <c r="N485" i="1" a="1"/>
  <c r="N485" i="1"/>
  <c r="N486" i="1" a="1"/>
  <c r="N486" i="1"/>
  <c r="N487" i="1" a="1"/>
  <c r="N487" i="1"/>
  <c r="N488" i="1" a="1"/>
  <c r="N488" i="1"/>
  <c r="N489" i="1" a="1"/>
  <c r="N489" i="1"/>
  <c r="N490" i="1" a="1"/>
  <c r="N490" i="1"/>
  <c r="N491" i="1" a="1"/>
  <c r="N491" i="1"/>
  <c r="N492" i="1" a="1"/>
  <c r="N492" i="1"/>
  <c r="N493" i="1" a="1"/>
  <c r="N493" i="1"/>
  <c r="N494" i="1" a="1"/>
  <c r="N494" i="1" s="1"/>
  <c r="N495" i="1" a="1"/>
  <c r="N495" i="1"/>
  <c r="N496" i="1" a="1"/>
  <c r="N496" i="1"/>
  <c r="N497" i="1" a="1"/>
  <c r="N497" i="1"/>
  <c r="N498" i="1" a="1"/>
  <c r="N498" i="1"/>
  <c r="N499" i="1" a="1"/>
  <c r="N499" i="1"/>
  <c r="N500" i="1" a="1"/>
  <c r="N500" i="1"/>
  <c r="N501" i="1" a="1"/>
  <c r="N501" i="1"/>
  <c r="N502" i="1" a="1"/>
  <c r="N502" i="1"/>
  <c r="N503" i="1" a="1"/>
  <c r="N503" i="1"/>
  <c r="N504" i="1" a="1"/>
  <c r="N504" i="1"/>
  <c r="N505" i="1" a="1"/>
  <c r="N505" i="1"/>
  <c r="N506" i="1" a="1"/>
  <c r="N506" i="1" s="1"/>
  <c r="N507" i="1" a="1"/>
  <c r="N507" i="1"/>
  <c r="N508" i="1" a="1"/>
  <c r="N508" i="1"/>
  <c r="N509" i="1" a="1"/>
  <c r="N509" i="1"/>
  <c r="N510" i="1" a="1"/>
  <c r="N510" i="1"/>
  <c r="N511" i="1" a="1"/>
  <c r="N511" i="1"/>
  <c r="N512" i="1" a="1"/>
  <c r="N512" i="1"/>
  <c r="N513" i="1" a="1"/>
  <c r="N513" i="1"/>
  <c r="N514" i="1" a="1"/>
  <c r="N514" i="1"/>
  <c r="N515" i="1" a="1"/>
  <c r="N515" i="1"/>
  <c r="N516" i="1" a="1"/>
  <c r="N516" i="1"/>
  <c r="N517" i="1" a="1"/>
  <c r="N517" i="1"/>
  <c r="N518" i="1" a="1"/>
  <c r="N518" i="1" s="1"/>
  <c r="N519" i="1" a="1"/>
  <c r="N519" i="1"/>
  <c r="N520" i="1" a="1"/>
  <c r="N520" i="1"/>
  <c r="N521" i="1" a="1"/>
  <c r="N521" i="1"/>
  <c r="N522" i="1" a="1"/>
  <c r="N522" i="1"/>
  <c r="N523" i="1" a="1"/>
  <c r="N523" i="1"/>
  <c r="N524" i="1" a="1"/>
  <c r="N524" i="1"/>
  <c r="N525" i="1" a="1"/>
  <c r="N525" i="1"/>
  <c r="N526" i="1" a="1"/>
  <c r="N526" i="1"/>
  <c r="N527" i="1" a="1"/>
  <c r="N527" i="1"/>
  <c r="N528" i="1" a="1"/>
  <c r="N528" i="1"/>
  <c r="N529" i="1" a="1"/>
  <c r="N529" i="1"/>
  <c r="N530" i="1" a="1"/>
  <c r="N530" i="1" s="1"/>
  <c r="N531" i="1" a="1"/>
  <c r="N531" i="1"/>
  <c r="N532" i="1" a="1"/>
  <c r="N532" i="1"/>
  <c r="N533" i="1" a="1"/>
  <c r="N533" i="1"/>
  <c r="N534" i="1" a="1"/>
  <c r="N534" i="1"/>
  <c r="N535" i="1" a="1"/>
  <c r="N535" i="1"/>
  <c r="N536" i="1" a="1"/>
  <c r="N536" i="1"/>
  <c r="N537" i="1" a="1"/>
  <c r="N537" i="1"/>
  <c r="N538" i="1" a="1"/>
  <c r="N538" i="1"/>
  <c r="N539" i="1" a="1"/>
  <c r="N539" i="1"/>
  <c r="N540" i="1" a="1"/>
  <c r="N540" i="1"/>
  <c r="N541" i="1" a="1"/>
  <c r="N541" i="1"/>
  <c r="N542" i="1" a="1"/>
  <c r="N542" i="1" s="1"/>
  <c r="N543" i="1" a="1"/>
  <c r="N543" i="1"/>
  <c r="N544" i="1" a="1"/>
  <c r="N544" i="1"/>
  <c r="N545" i="1" a="1"/>
  <c r="N545" i="1"/>
  <c r="N546" i="1" a="1"/>
  <c r="N546" i="1"/>
  <c r="N547" i="1" a="1"/>
  <c r="N547" i="1"/>
  <c r="N548" i="1" a="1"/>
  <c r="N548" i="1"/>
  <c r="N549" i="1" a="1"/>
  <c r="N549" i="1"/>
  <c r="N550" i="1" a="1"/>
  <c r="N550" i="1"/>
  <c r="N551" i="1" a="1"/>
  <c r="N551" i="1"/>
  <c r="N552" i="1" a="1"/>
  <c r="N552" i="1"/>
  <c r="N553" i="1" a="1"/>
  <c r="N553" i="1"/>
  <c r="N554" i="1" a="1"/>
  <c r="N554" i="1" s="1"/>
  <c r="N555" i="1" a="1"/>
  <c r="N555" i="1"/>
  <c r="N556" i="1" a="1"/>
  <c r="N556" i="1"/>
  <c r="N557" i="1" a="1"/>
  <c r="N557" i="1"/>
  <c r="N558" i="1" a="1"/>
  <c r="N558" i="1"/>
  <c r="N559" i="1" a="1"/>
  <c r="N559" i="1"/>
  <c r="N560" i="1" a="1"/>
  <c r="N560" i="1"/>
  <c r="N561" i="1" a="1"/>
  <c r="N561" i="1"/>
  <c r="N562" i="1" a="1"/>
  <c r="N562" i="1"/>
  <c r="N563" i="1" a="1"/>
  <c r="N563" i="1"/>
  <c r="N564" i="1" a="1"/>
  <c r="N564" i="1"/>
  <c r="N565" i="1" a="1"/>
  <c r="N565" i="1"/>
  <c r="N566" i="1" a="1"/>
  <c r="N566" i="1" s="1"/>
  <c r="N567" i="1" a="1"/>
  <c r="N567" i="1"/>
  <c r="N568" i="1" a="1"/>
  <c r="N568" i="1"/>
  <c r="N569" i="1" a="1"/>
  <c r="N569" i="1"/>
  <c r="N570" i="1" a="1"/>
  <c r="N570" i="1"/>
  <c r="N571" i="1" a="1"/>
  <c r="N571" i="1"/>
  <c r="N572" i="1" a="1"/>
  <c r="N572" i="1"/>
  <c r="N573" i="1" a="1"/>
  <c r="N573" i="1"/>
  <c r="N574" i="1" a="1"/>
  <c r="N574" i="1"/>
  <c r="N575" i="1" a="1"/>
  <c r="N575" i="1"/>
  <c r="N576" i="1" a="1"/>
  <c r="N576" i="1"/>
  <c r="N577" i="1" a="1"/>
  <c r="N577" i="1"/>
  <c r="N578" i="1" a="1"/>
  <c r="N578" i="1" s="1"/>
  <c r="N579" i="1" a="1"/>
  <c r="N579" i="1"/>
  <c r="N580" i="1" a="1"/>
  <c r="N580" i="1"/>
  <c r="N581" i="1" a="1"/>
  <c r="N581" i="1"/>
  <c r="N582" i="1" a="1"/>
  <c r="N582" i="1"/>
  <c r="N583" i="1" a="1"/>
  <c r="N583" i="1"/>
  <c r="N584" i="1" a="1"/>
  <c r="N584" i="1"/>
  <c r="N585" i="1" a="1"/>
  <c r="N585" i="1"/>
  <c r="N586" i="1" a="1"/>
  <c r="N586" i="1"/>
  <c r="N587" i="1" a="1"/>
  <c r="N587" i="1"/>
  <c r="N588" i="1" a="1"/>
  <c r="N588" i="1"/>
  <c r="N589" i="1" a="1"/>
  <c r="N589" i="1"/>
  <c r="N590" i="1" a="1"/>
  <c r="N590" i="1" s="1"/>
  <c r="N591" i="1" a="1"/>
  <c r="N591" i="1"/>
  <c r="N592" i="1" a="1"/>
  <c r="N592" i="1"/>
  <c r="N593" i="1" a="1"/>
  <c r="N593" i="1"/>
  <c r="N594" i="1" a="1"/>
  <c r="N594" i="1"/>
  <c r="N595" i="1" a="1"/>
  <c r="N595" i="1"/>
  <c r="N596" i="1" a="1"/>
  <c r="N596" i="1"/>
  <c r="N597" i="1" a="1"/>
  <c r="N597" i="1"/>
  <c r="N598" i="1" a="1"/>
  <c r="N598" i="1"/>
  <c r="N599" i="1" a="1"/>
  <c r="N599" i="1"/>
  <c r="N600" i="1" a="1"/>
  <c r="N600" i="1"/>
  <c r="N601" i="1" a="1"/>
  <c r="N601" i="1"/>
  <c r="N602" i="1" a="1"/>
  <c r="N602" i="1" s="1"/>
  <c r="N603" i="1" a="1"/>
  <c r="N603" i="1"/>
  <c r="N604" i="1" a="1"/>
  <c r="N604" i="1"/>
  <c r="N605" i="1" a="1"/>
  <c r="N605" i="1"/>
  <c r="N606" i="1" a="1"/>
  <c r="N606" i="1"/>
  <c r="N607" i="1" a="1"/>
  <c r="N607" i="1"/>
  <c r="N608" i="1" a="1"/>
  <c r="N608" i="1"/>
  <c r="N609" i="1" a="1"/>
  <c r="N609" i="1"/>
  <c r="N610" i="1" a="1"/>
  <c r="N610" i="1"/>
  <c r="N611" i="1" a="1"/>
  <c r="N611" i="1"/>
  <c r="N612" i="1" a="1"/>
  <c r="N612" i="1"/>
  <c r="N613" i="1" a="1"/>
  <c r="N613" i="1"/>
  <c r="N614" i="1" a="1"/>
  <c r="N614" i="1" s="1"/>
  <c r="N615" i="1" a="1"/>
  <c r="N615" i="1"/>
  <c r="N616" i="1" a="1"/>
  <c r="N616" i="1"/>
  <c r="N617" i="1" a="1"/>
  <c r="N617" i="1"/>
  <c r="N618" i="1" a="1"/>
  <c r="N618" i="1"/>
  <c r="N619" i="1" a="1"/>
  <c r="N619" i="1"/>
  <c r="N620" i="1" a="1"/>
  <c r="N620" i="1"/>
  <c r="N621" i="1" a="1"/>
  <c r="N621" i="1"/>
  <c r="N622" i="1" a="1"/>
  <c r="N622" i="1"/>
  <c r="N623" i="1" a="1"/>
  <c r="N623" i="1"/>
  <c r="N624" i="1" a="1"/>
  <c r="N624" i="1"/>
  <c r="N625" i="1" a="1"/>
  <c r="N625" i="1"/>
  <c r="N626" i="1" a="1"/>
  <c r="N626" i="1" s="1"/>
  <c r="N627" i="1" a="1"/>
  <c r="N627" i="1"/>
  <c r="N628" i="1" a="1"/>
  <c r="N628" i="1"/>
  <c r="N629" i="1" a="1"/>
  <c r="N629" i="1"/>
  <c r="N630" i="1" a="1"/>
  <c r="N630" i="1"/>
  <c r="N631" i="1" a="1"/>
  <c r="N631" i="1"/>
  <c r="N632" i="1" a="1"/>
  <c r="N632" i="1"/>
  <c r="N633" i="1" a="1"/>
  <c r="N633" i="1"/>
  <c r="N634" i="1" a="1"/>
  <c r="N634" i="1"/>
  <c r="N635" i="1" a="1"/>
  <c r="N635" i="1"/>
  <c r="N636" i="1" a="1"/>
  <c r="N636" i="1"/>
  <c r="N637" i="1" a="1"/>
  <c r="N637" i="1"/>
  <c r="N638" i="1" a="1"/>
  <c r="N638" i="1" s="1"/>
  <c r="N639" i="1" a="1"/>
  <c r="N639" i="1"/>
  <c r="N640" i="1" a="1"/>
  <c r="N640" i="1"/>
  <c r="N641" i="1" a="1"/>
  <c r="N641" i="1"/>
  <c r="N642" i="1" a="1"/>
  <c r="N642" i="1"/>
  <c r="N643" i="1" a="1"/>
  <c r="N643" i="1"/>
  <c r="N644" i="1" a="1"/>
  <c r="N644" i="1"/>
  <c r="N645" i="1" a="1"/>
  <c r="N645" i="1"/>
  <c r="N646" i="1" a="1"/>
  <c r="N646" i="1"/>
  <c r="N647" i="1" a="1"/>
  <c r="N647" i="1"/>
  <c r="N648" i="1" a="1"/>
  <c r="N648" i="1"/>
  <c r="N649" i="1" a="1"/>
  <c r="N649" i="1"/>
  <c r="N650" i="1" a="1"/>
  <c r="N650" i="1" s="1"/>
  <c r="N651" i="1" a="1"/>
  <c r="N651" i="1"/>
  <c r="N652" i="1" a="1"/>
  <c r="N652" i="1"/>
  <c r="N653" i="1" a="1"/>
  <c r="N653" i="1"/>
  <c r="N654" i="1" a="1"/>
  <c r="N654" i="1"/>
  <c r="N655" i="1" a="1"/>
  <c r="N655" i="1"/>
  <c r="N656" i="1" a="1"/>
  <c r="N656" i="1"/>
  <c r="N657" i="1" a="1"/>
  <c r="N657" i="1"/>
  <c r="N658" i="1" a="1"/>
  <c r="N658" i="1"/>
  <c r="N659" i="1" a="1"/>
  <c r="N659" i="1"/>
  <c r="N660" i="1" a="1"/>
  <c r="N660" i="1"/>
  <c r="N661" i="1" a="1"/>
  <c r="N661" i="1"/>
  <c r="N662" i="1" a="1"/>
  <c r="N662" i="1" s="1"/>
  <c r="N663" i="1" a="1"/>
  <c r="N663" i="1"/>
  <c r="N664" i="1" a="1"/>
  <c r="N664" i="1"/>
  <c r="N665" i="1" a="1"/>
  <c r="N665" i="1"/>
  <c r="N666" i="1" a="1"/>
  <c r="N666" i="1"/>
  <c r="N667" i="1" a="1"/>
  <c r="N667" i="1"/>
  <c r="N668" i="1" a="1"/>
  <c r="N668" i="1"/>
  <c r="N669" i="1" a="1"/>
  <c r="N669" i="1"/>
  <c r="N670" i="1" a="1"/>
  <c r="N670" i="1"/>
  <c r="N671" i="1" a="1"/>
  <c r="N671" i="1"/>
  <c r="N672" i="1" a="1"/>
  <c r="N672" i="1"/>
  <c r="N673" i="1" a="1"/>
  <c r="N673" i="1"/>
  <c r="N674" i="1" a="1"/>
  <c r="N674" i="1" s="1"/>
  <c r="N675" i="1" a="1"/>
  <c r="N675" i="1"/>
  <c r="N676" i="1" a="1"/>
  <c r="N676" i="1"/>
  <c r="N677" i="1" a="1"/>
  <c r="N677" i="1"/>
  <c r="N678" i="1" a="1"/>
  <c r="N678" i="1"/>
  <c r="N679" i="1" a="1"/>
  <c r="N679" i="1"/>
  <c r="N680" i="1" a="1"/>
  <c r="N680" i="1"/>
  <c r="N681" i="1" a="1"/>
  <c r="N681" i="1"/>
  <c r="N682" i="1" a="1"/>
  <c r="N682" i="1"/>
  <c r="N683" i="1" a="1"/>
  <c r="N683" i="1"/>
  <c r="N684" i="1" a="1"/>
  <c r="N684" i="1"/>
  <c r="N685" i="1" a="1"/>
  <c r="N685" i="1"/>
  <c r="N686" i="1" a="1"/>
  <c r="N686" i="1" s="1"/>
  <c r="N687" i="1" a="1"/>
  <c r="N687" i="1"/>
  <c r="N688" i="1" a="1"/>
  <c r="N688" i="1"/>
  <c r="N689" i="1" a="1"/>
  <c r="N689" i="1"/>
  <c r="N690" i="1" a="1"/>
  <c r="N690" i="1"/>
  <c r="N691" i="1" a="1"/>
  <c r="N691" i="1"/>
  <c r="N692" i="1" a="1"/>
  <c r="N692" i="1"/>
  <c r="N693" i="1" a="1"/>
  <c r="N693" i="1"/>
  <c r="N694" i="1" a="1"/>
  <c r="N694" i="1"/>
  <c r="N695" i="1" a="1"/>
  <c r="N695" i="1"/>
  <c r="N696" i="1" a="1"/>
  <c r="N696" i="1"/>
  <c r="N697" i="1" a="1"/>
  <c r="N697" i="1"/>
  <c r="N698" i="1" a="1"/>
  <c r="N698" i="1" s="1"/>
  <c r="N699" i="1" a="1"/>
  <c r="N699" i="1"/>
  <c r="N700" i="1" a="1"/>
  <c r="N700" i="1"/>
  <c r="N701" i="1" a="1"/>
  <c r="N701" i="1"/>
  <c r="N702" i="1" a="1"/>
  <c r="N702" i="1"/>
  <c r="N703" i="1" a="1"/>
  <c r="N703" i="1"/>
  <c r="N704" i="1" a="1"/>
  <c r="N704" i="1"/>
  <c r="N705" i="1" a="1"/>
  <c r="N705" i="1"/>
  <c r="N706" i="1" a="1"/>
  <c r="N706" i="1"/>
  <c r="N707" i="1" a="1"/>
  <c r="N707" i="1"/>
  <c r="N708" i="1" a="1"/>
  <c r="N708" i="1"/>
  <c r="N709" i="1" a="1"/>
  <c r="N709" i="1"/>
  <c r="N710" i="1" a="1"/>
  <c r="N710" i="1" s="1"/>
  <c r="N711" i="1" a="1"/>
  <c r="N711" i="1"/>
  <c r="N712" i="1" a="1"/>
  <c r="N712" i="1"/>
  <c r="N713" i="1" a="1"/>
  <c r="N713" i="1"/>
  <c r="N714" i="1" a="1"/>
  <c r="N714" i="1"/>
  <c r="N715" i="1" a="1"/>
  <c r="N715" i="1"/>
  <c r="N716" i="1" a="1"/>
  <c r="N716" i="1"/>
  <c r="N717" i="1" a="1"/>
  <c r="N717" i="1"/>
  <c r="N718" i="1" a="1"/>
  <c r="N718" i="1"/>
  <c r="N719" i="1" a="1"/>
  <c r="N719" i="1"/>
  <c r="N720" i="1" a="1"/>
  <c r="N720" i="1"/>
  <c r="N721" i="1" a="1"/>
  <c r="N721" i="1"/>
  <c r="N722" i="1" a="1"/>
  <c r="N722" i="1" s="1"/>
  <c r="N723" i="1" a="1"/>
  <c r="N723" i="1"/>
  <c r="N724" i="1" a="1"/>
  <c r="N724" i="1"/>
  <c r="N725" i="1" a="1"/>
  <c r="N725" i="1"/>
  <c r="N726" i="1" a="1"/>
  <c r="N726" i="1"/>
  <c r="N727" i="1" a="1"/>
  <c r="N727" i="1"/>
  <c r="N728" i="1" a="1"/>
  <c r="N728" i="1"/>
  <c r="N729" i="1" a="1"/>
  <c r="N729" i="1"/>
  <c r="N730" i="1" a="1"/>
  <c r="N730" i="1"/>
  <c r="N731" i="1" a="1"/>
  <c r="N731" i="1"/>
  <c r="N732" i="1" a="1"/>
  <c r="N732" i="1"/>
  <c r="N733" i="1" a="1"/>
  <c r="N733" i="1"/>
  <c r="N734" i="1" a="1"/>
  <c r="N734" i="1" s="1"/>
  <c r="N735" i="1" a="1"/>
  <c r="N735" i="1"/>
  <c r="N736" i="1" a="1"/>
  <c r="N736" i="1"/>
  <c r="N737" i="1" a="1"/>
  <c r="N737" i="1"/>
  <c r="N738" i="1" a="1"/>
  <c r="N738" i="1"/>
  <c r="N739" i="1" a="1"/>
  <c r="N739" i="1"/>
  <c r="N740" i="1" a="1"/>
  <c r="N740" i="1"/>
  <c r="N741" i="1" a="1"/>
  <c r="N741" i="1"/>
  <c r="N742" i="1" a="1"/>
  <c r="N742" i="1"/>
  <c r="N743" i="1" a="1"/>
  <c r="N743" i="1"/>
  <c r="N744" i="1" a="1"/>
  <c r="N744" i="1"/>
  <c r="N745" i="1" a="1"/>
  <c r="N745" i="1"/>
  <c r="N746" i="1" a="1"/>
  <c r="N746" i="1" s="1"/>
  <c r="N747" i="1" a="1"/>
  <c r="N747" i="1"/>
  <c r="N748" i="1" a="1"/>
  <c r="N748" i="1"/>
  <c r="N749" i="1" a="1"/>
  <c r="N749" i="1"/>
  <c r="N750" i="1" a="1"/>
  <c r="N750" i="1"/>
  <c r="N751" i="1" a="1"/>
  <c r="N751" i="1"/>
  <c r="N752" i="1" a="1"/>
  <c r="N752" i="1"/>
  <c r="N753" i="1" a="1"/>
  <c r="N753" i="1"/>
  <c r="N754" i="1" a="1"/>
  <c r="N754" i="1"/>
  <c r="N755" i="1" a="1"/>
  <c r="N755" i="1"/>
  <c r="N756" i="1" a="1"/>
  <c r="N756" i="1"/>
  <c r="N757" i="1" a="1"/>
  <c r="N757" i="1"/>
  <c r="N758" i="1" a="1"/>
  <c r="N758" i="1" s="1"/>
  <c r="N759" i="1" a="1"/>
  <c r="N759" i="1"/>
  <c r="N760" i="1" a="1"/>
  <c r="N760" i="1"/>
  <c r="N761" i="1" a="1"/>
  <c r="N761" i="1"/>
  <c r="N762" i="1" a="1"/>
  <c r="N762" i="1"/>
  <c r="N763" i="1" a="1"/>
  <c r="N763" i="1"/>
  <c r="N764" i="1" a="1"/>
  <c r="N764" i="1"/>
  <c r="N765" i="1" a="1"/>
  <c r="N765" i="1"/>
  <c r="N766" i="1" a="1"/>
  <c r="N766" i="1"/>
  <c r="N767" i="1" a="1"/>
  <c r="N767" i="1"/>
  <c r="N768" i="1" a="1"/>
  <c r="N768" i="1"/>
  <c r="N769" i="1" a="1"/>
  <c r="N769" i="1"/>
  <c r="N770" i="1" a="1"/>
  <c r="N770" i="1" s="1"/>
  <c r="N771" i="1" a="1"/>
  <c r="N771" i="1"/>
  <c r="N772" i="1" a="1"/>
  <c r="N772" i="1"/>
  <c r="N773" i="1" a="1"/>
  <c r="N773" i="1"/>
  <c r="N774" i="1" a="1"/>
  <c r="N774" i="1"/>
  <c r="N775" i="1" a="1"/>
  <c r="N775" i="1"/>
  <c r="N776" i="1" a="1"/>
  <c r="N776" i="1"/>
  <c r="N777" i="1" a="1"/>
  <c r="N777" i="1"/>
  <c r="N778" i="1" a="1"/>
  <c r="N778" i="1"/>
  <c r="N779" i="1" a="1"/>
  <c r="N779" i="1"/>
  <c r="N780" i="1" a="1"/>
  <c r="N780" i="1"/>
  <c r="N781" i="1" a="1"/>
  <c r="N781" i="1"/>
  <c r="N782" i="1" a="1"/>
  <c r="N782" i="1" s="1"/>
  <c r="N783" i="1" a="1"/>
  <c r="N783" i="1"/>
  <c r="N784" i="1" a="1"/>
  <c r="N784" i="1"/>
  <c r="N785" i="1" a="1"/>
  <c r="N785" i="1"/>
  <c r="N786" i="1" a="1"/>
  <c r="N786" i="1"/>
  <c r="N787" i="1" a="1"/>
  <c r="N787" i="1"/>
  <c r="N788" i="1" a="1"/>
  <c r="N788" i="1"/>
  <c r="N789" i="1" a="1"/>
  <c r="N789" i="1"/>
  <c r="N790" i="1" a="1"/>
  <c r="N790" i="1"/>
  <c r="N791" i="1" a="1"/>
  <c r="N791" i="1"/>
  <c r="N792" i="1" a="1"/>
  <c r="N792" i="1"/>
  <c r="N793" i="1" a="1"/>
  <c r="N793" i="1"/>
  <c r="N794" i="1" a="1"/>
  <c r="N794" i="1" s="1"/>
  <c r="N795" i="1" a="1"/>
  <c r="N795" i="1"/>
  <c r="N796" i="1" a="1"/>
  <c r="N796" i="1"/>
  <c r="N797" i="1" a="1"/>
  <c r="N797" i="1"/>
  <c r="N798" i="1" a="1"/>
  <c r="N798" i="1"/>
  <c r="N799" i="1" a="1"/>
  <c r="N799" i="1"/>
  <c r="N800" i="1" a="1"/>
  <c r="N800" i="1"/>
  <c r="N801" i="1" a="1"/>
  <c r="N801" i="1"/>
  <c r="N802" i="1" a="1"/>
  <c r="N802" i="1"/>
  <c r="N803" i="1" a="1"/>
  <c r="N803" i="1"/>
  <c r="N804" i="1" a="1"/>
  <c r="N804" i="1"/>
  <c r="N805" i="1" a="1"/>
  <c r="N805" i="1"/>
  <c r="N806" i="1" a="1"/>
  <c r="N806" i="1" s="1"/>
  <c r="N807" i="1" a="1"/>
  <c r="N807" i="1"/>
  <c r="N808" i="1" a="1"/>
  <c r="N808" i="1"/>
  <c r="N809" i="1" a="1"/>
  <c r="N809" i="1"/>
  <c r="N810" i="1" a="1"/>
  <c r="N810" i="1"/>
  <c r="N811" i="1" a="1"/>
  <c r="N811" i="1"/>
  <c r="N812" i="1" a="1"/>
  <c r="N812" i="1"/>
  <c r="N813" i="1" a="1"/>
  <c r="N813" i="1"/>
  <c r="N814" i="1" a="1"/>
  <c r="N814" i="1"/>
  <c r="N815" i="1" a="1"/>
  <c r="N815" i="1"/>
  <c r="N816" i="1" a="1"/>
  <c r="N816" i="1"/>
  <c r="N817" i="1" a="1"/>
  <c r="N817" i="1"/>
  <c r="N818" i="1" a="1"/>
  <c r="N818" i="1" s="1"/>
  <c r="N819" i="1" a="1"/>
  <c r="N819" i="1"/>
  <c r="N820" i="1" a="1"/>
  <c r="N820" i="1"/>
  <c r="N821" i="1" a="1"/>
  <c r="N821" i="1"/>
  <c r="N822" i="1" a="1"/>
  <c r="N822" i="1"/>
  <c r="N823" i="1" a="1"/>
  <c r="N823" i="1"/>
  <c r="N824" i="1" a="1"/>
  <c r="N824" i="1"/>
  <c r="N825" i="1" a="1"/>
  <c r="N825" i="1"/>
  <c r="N826" i="1" a="1"/>
  <c r="N826" i="1"/>
  <c r="N827" i="1" a="1"/>
  <c r="N827" i="1"/>
  <c r="N828" i="1" a="1"/>
  <c r="N828" i="1"/>
  <c r="N829" i="1" a="1"/>
  <c r="N829" i="1"/>
  <c r="N830" i="1" a="1"/>
  <c r="N830" i="1" s="1"/>
  <c r="N831" i="1" a="1"/>
  <c r="N831" i="1"/>
  <c r="N832" i="1" a="1"/>
  <c r="N832" i="1"/>
  <c r="N833" i="1" a="1"/>
  <c r="N833" i="1"/>
  <c r="N834" i="1" a="1"/>
  <c r="N834" i="1"/>
  <c r="N835" i="1" a="1"/>
  <c r="N835" i="1"/>
  <c r="N836" i="1" a="1"/>
  <c r="N836" i="1"/>
  <c r="N837" i="1" a="1"/>
  <c r="N837" i="1"/>
  <c r="N838" i="1" a="1"/>
  <c r="N838" i="1"/>
  <c r="N839" i="1" a="1"/>
  <c r="N839" i="1"/>
  <c r="N840" i="1" a="1"/>
  <c r="N840" i="1"/>
  <c r="N841" i="1" a="1"/>
  <c r="N841" i="1"/>
  <c r="N842" i="1" a="1"/>
  <c r="N842" i="1" s="1"/>
  <c r="N843" i="1" a="1"/>
  <c r="N843" i="1"/>
  <c r="N844" i="1" a="1"/>
  <c r="N844" i="1"/>
  <c r="N845" i="1" a="1"/>
  <c r="N845" i="1"/>
  <c r="N846" i="1" a="1"/>
  <c r="N846" i="1"/>
  <c r="N847" i="1" a="1"/>
  <c r="N847" i="1"/>
  <c r="N848" i="1" a="1"/>
  <c r="N848" i="1"/>
  <c r="N849" i="1" a="1"/>
  <c r="N849" i="1"/>
  <c r="N850" i="1" a="1"/>
  <c r="N850" i="1"/>
  <c r="N851" i="1" a="1"/>
  <c r="N851" i="1"/>
  <c r="N852" i="1" a="1"/>
  <c r="N852" i="1"/>
  <c r="N853" i="1" a="1"/>
  <c r="N853" i="1"/>
  <c r="N854" i="1" a="1"/>
  <c r="N854" i="1" s="1"/>
  <c r="N855" i="1" a="1"/>
  <c r="N855" i="1"/>
  <c r="N856" i="1" a="1"/>
  <c r="N856" i="1"/>
  <c r="N857" i="1" a="1"/>
  <c r="N857" i="1"/>
  <c r="N858" i="1" a="1"/>
  <c r="N858" i="1"/>
  <c r="N859" i="1" a="1"/>
  <c r="N859" i="1"/>
  <c r="N860" i="1" a="1"/>
  <c r="N860" i="1"/>
  <c r="N861" i="1" a="1"/>
  <c r="N861" i="1"/>
  <c r="N862" i="1" a="1"/>
  <c r="N862" i="1"/>
  <c r="N863" i="1" a="1"/>
  <c r="N863" i="1"/>
  <c r="N864" i="1" a="1"/>
  <c r="N864" i="1"/>
  <c r="N865" i="1" a="1"/>
  <c r="N865" i="1"/>
  <c r="N866" i="1" a="1"/>
  <c r="N866" i="1" s="1"/>
  <c r="N867" i="1" a="1"/>
  <c r="N867" i="1"/>
  <c r="N868" i="1" a="1"/>
  <c r="N868" i="1"/>
  <c r="N869" i="1" a="1"/>
  <c r="N869" i="1"/>
  <c r="N870" i="1" a="1"/>
  <c r="N870" i="1"/>
  <c r="N871" i="1" a="1"/>
  <c r="N871" i="1"/>
  <c r="N872" i="1" a="1"/>
  <c r="N872" i="1"/>
  <c r="N873" i="1" a="1"/>
  <c r="N873" i="1"/>
  <c r="N874" i="1" a="1"/>
  <c r="N874" i="1"/>
  <c r="N875" i="1" a="1"/>
  <c r="N875" i="1"/>
  <c r="N876" i="1" a="1"/>
  <c r="N876" i="1"/>
  <c r="N877" i="1" a="1"/>
  <c r="N877" i="1"/>
  <c r="N878" i="1" a="1"/>
  <c r="N878" i="1" s="1"/>
  <c r="N879" i="1" a="1"/>
  <c r="N879" i="1"/>
  <c r="N880" i="1" a="1"/>
  <c r="N880" i="1"/>
  <c r="N881" i="1" a="1"/>
  <c r="N881" i="1"/>
  <c r="N882" i="1" a="1"/>
  <c r="N882" i="1"/>
  <c r="N883" i="1" a="1"/>
  <c r="N883" i="1"/>
  <c r="N884" i="1" a="1"/>
  <c r="N884" i="1"/>
  <c r="N885" i="1" a="1"/>
  <c r="N885" i="1"/>
  <c r="N886" i="1" a="1"/>
  <c r="N886" i="1"/>
  <c r="N887" i="1" a="1"/>
  <c r="N887" i="1"/>
  <c r="N888" i="1" a="1"/>
  <c r="N888" i="1"/>
  <c r="N889" i="1" a="1"/>
  <c r="N889" i="1"/>
  <c r="N890" i="1" a="1"/>
  <c r="N890" i="1" s="1"/>
  <c r="N891" i="1" a="1"/>
  <c r="N891" i="1"/>
  <c r="N892" i="1" a="1"/>
  <c r="N892" i="1"/>
  <c r="N893" i="1" a="1"/>
  <c r="N893" i="1"/>
  <c r="N894" i="1" a="1"/>
  <c r="N894" i="1"/>
  <c r="N895" i="1" a="1"/>
  <c r="N895" i="1"/>
  <c r="N896" i="1" a="1"/>
  <c r="N896" i="1"/>
  <c r="N897" i="1" a="1"/>
  <c r="N897" i="1"/>
  <c r="N898" i="1" a="1"/>
  <c r="N898" i="1"/>
  <c r="N899" i="1" a="1"/>
  <c r="N899" i="1"/>
  <c r="N900" i="1" a="1"/>
  <c r="N900" i="1"/>
  <c r="N901" i="1" a="1"/>
  <c r="N901" i="1"/>
  <c r="N902" i="1" a="1"/>
  <c r="N902" i="1" s="1"/>
  <c r="N903" i="1" a="1"/>
  <c r="N903" i="1"/>
  <c r="N904" i="1" a="1"/>
  <c r="N904" i="1"/>
  <c r="N905" i="1" a="1"/>
  <c r="N905" i="1"/>
  <c r="N906" i="1" a="1"/>
  <c r="N906" i="1"/>
  <c r="N907" i="1" a="1"/>
  <c r="N907" i="1"/>
  <c r="N908" i="1" a="1"/>
  <c r="N908" i="1"/>
  <c r="N909" i="1" a="1"/>
  <c r="N909" i="1"/>
  <c r="N910" i="1" a="1"/>
  <c r="N910" i="1"/>
  <c r="N911" i="1" a="1"/>
  <c r="N911" i="1"/>
  <c r="N912" i="1" a="1"/>
  <c r="N912" i="1"/>
  <c r="N913" i="1" a="1"/>
  <c r="N913" i="1"/>
  <c r="N914" i="1" a="1"/>
  <c r="N914" i="1" s="1"/>
  <c r="N915" i="1" a="1"/>
  <c r="N915" i="1"/>
  <c r="N916" i="1" a="1"/>
  <c r="N916" i="1"/>
  <c r="N917" i="1" a="1"/>
  <c r="N917" i="1"/>
  <c r="N918" i="1" a="1"/>
  <c r="N918" i="1"/>
  <c r="N919" i="1" a="1"/>
  <c r="N919" i="1"/>
  <c r="N920" i="1" a="1"/>
  <c r="N920" i="1"/>
  <c r="N921" i="1" a="1"/>
  <c r="N921" i="1"/>
  <c r="N922" i="1" a="1"/>
  <c r="N922" i="1"/>
  <c r="N923" i="1" a="1"/>
  <c r="N923" i="1"/>
  <c r="N924" i="1" a="1"/>
  <c r="N924" i="1"/>
  <c r="N925" i="1" a="1"/>
  <c r="N925" i="1"/>
  <c r="N926" i="1" a="1"/>
  <c r="N926" i="1" s="1"/>
  <c r="N927" i="1" a="1"/>
  <c r="N927" i="1"/>
  <c r="N928" i="1" a="1"/>
  <c r="N928" i="1"/>
  <c r="N929" i="1" a="1"/>
  <c r="N929" i="1"/>
  <c r="N930" i="1" a="1"/>
  <c r="N930" i="1"/>
  <c r="N931" i="1" a="1"/>
  <c r="N931" i="1"/>
  <c r="N932" i="1" a="1"/>
  <c r="N932" i="1"/>
  <c r="N933" i="1" a="1"/>
  <c r="N933" i="1"/>
  <c r="N934" i="1" a="1"/>
  <c r="N934" i="1"/>
  <c r="N935" i="1" a="1"/>
  <c r="N935" i="1"/>
  <c r="N936" i="1" a="1"/>
  <c r="N936" i="1"/>
  <c r="N937" i="1" a="1"/>
  <c r="N937" i="1"/>
  <c r="N938" i="1" a="1"/>
  <c r="N938" i="1" s="1"/>
  <c r="N939" i="1" a="1"/>
  <c r="N939" i="1"/>
  <c r="N940" i="1" a="1"/>
  <c r="N940" i="1"/>
  <c r="N941" i="1" a="1"/>
  <c r="N941" i="1"/>
  <c r="N942" i="1" a="1"/>
  <c r="N942" i="1"/>
  <c r="N943" i="1" a="1"/>
  <c r="N943" i="1"/>
  <c r="N944" i="1" a="1"/>
  <c r="N944" i="1"/>
  <c r="N945" i="1" a="1"/>
  <c r="N945" i="1"/>
  <c r="N946" i="1" a="1"/>
  <c r="N946" i="1"/>
  <c r="N947" i="1" a="1"/>
  <c r="N947" i="1"/>
  <c r="N948" i="1" a="1"/>
  <c r="N948" i="1"/>
  <c r="N949" i="1" a="1"/>
  <c r="N949" i="1"/>
  <c r="N950" i="1" a="1"/>
  <c r="N950" i="1" s="1"/>
  <c r="N951" i="1" a="1"/>
  <c r="N951" i="1"/>
  <c r="N952" i="1" a="1"/>
  <c r="N952" i="1"/>
  <c r="N953" i="1" a="1"/>
  <c r="N953" i="1"/>
  <c r="N954" i="1" a="1"/>
  <c r="N954" i="1"/>
  <c r="N955" i="1" a="1"/>
  <c r="N955" i="1"/>
  <c r="N956" i="1" a="1"/>
  <c r="N956" i="1"/>
  <c r="N957" i="1" a="1"/>
  <c r="N957" i="1"/>
  <c r="N958" i="1" a="1"/>
  <c r="N958" i="1"/>
  <c r="N959" i="1" a="1"/>
  <c r="N959" i="1"/>
  <c r="N960" i="1" a="1"/>
  <c r="N960" i="1"/>
  <c r="N961" i="1" a="1"/>
  <c r="N961" i="1"/>
  <c r="N962" i="1" a="1"/>
  <c r="N962" i="1" s="1"/>
  <c r="N963" i="1" a="1"/>
  <c r="N963" i="1"/>
  <c r="N964" i="1" a="1"/>
  <c r="N964" i="1"/>
  <c r="N965" i="1" a="1"/>
  <c r="N965" i="1"/>
  <c r="N966" i="1" a="1"/>
  <c r="N966" i="1"/>
  <c r="N967" i="1" a="1"/>
  <c r="N967" i="1"/>
  <c r="N968" i="1" a="1"/>
  <c r="N968" i="1"/>
  <c r="N969" i="1" a="1"/>
  <c r="N969" i="1"/>
  <c r="N970" i="1" a="1"/>
  <c r="N970" i="1"/>
  <c r="N971" i="1" a="1"/>
  <c r="N971" i="1"/>
  <c r="N972" i="1" a="1"/>
  <c r="N972" i="1"/>
  <c r="N973" i="1" a="1"/>
  <c r="N973" i="1"/>
  <c r="N974" i="1" a="1"/>
  <c r="N974" i="1" s="1"/>
  <c r="N975" i="1" a="1"/>
  <c r="N975" i="1"/>
  <c r="N976" i="1" a="1"/>
  <c r="N976" i="1"/>
  <c r="N977" i="1" a="1"/>
  <c r="N977" i="1"/>
  <c r="N978" i="1" a="1"/>
  <c r="N978" i="1"/>
  <c r="N979" i="1" a="1"/>
  <c r="N979" i="1"/>
  <c r="N980" i="1" a="1"/>
  <c r="N980" i="1"/>
  <c r="N981" i="1" a="1"/>
  <c r="N981" i="1"/>
  <c r="N982" i="1" a="1"/>
  <c r="N982" i="1"/>
  <c r="N983" i="1" a="1"/>
  <c r="N983" i="1"/>
  <c r="N984" i="1" a="1"/>
  <c r="N984" i="1"/>
  <c r="N985" i="1" a="1"/>
  <c r="N985" i="1"/>
  <c r="N986" i="1" a="1"/>
  <c r="N986" i="1" s="1"/>
  <c r="N987" i="1" a="1"/>
  <c r="N987" i="1"/>
  <c r="N988" i="1" a="1"/>
  <c r="N988" i="1"/>
  <c r="N989" i="1" a="1"/>
  <c r="N989" i="1"/>
  <c r="N990" i="1" a="1"/>
  <c r="N990" i="1"/>
  <c r="N991" i="1" a="1"/>
  <c r="N991" i="1"/>
  <c r="N992" i="1" a="1"/>
  <c r="N992" i="1"/>
  <c r="N993" i="1" a="1"/>
  <c r="N993" i="1"/>
  <c r="N994" i="1" a="1"/>
  <c r="N994" i="1"/>
  <c r="N995" i="1" a="1"/>
  <c r="N995" i="1"/>
  <c r="N996" i="1" a="1"/>
  <c r="N996" i="1"/>
  <c r="N997" i="1" a="1"/>
  <c r="N997" i="1"/>
  <c r="N998" i="1" a="1"/>
  <c r="N998" i="1" s="1"/>
  <c r="N999" i="1" a="1"/>
  <c r="N999" i="1"/>
  <c r="N1000" i="1" a="1"/>
  <c r="N1000" i="1"/>
  <c r="N1001" i="1" a="1"/>
  <c r="N1001" i="1"/>
  <c r="Z6"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<sst xmlns="http://schemas.openxmlformats.org/spreadsheetml/2006/main" count="12173" uniqueCount="1072">
  <si>
    <t>Game_ID</t>
  </si>
  <si>
    <t>Game_Title</t>
  </si>
  <si>
    <t>Platform</t>
  </si>
  <si>
    <t>Genre</t>
  </si>
  <si>
    <t>Publisher</t>
  </si>
  <si>
    <t>Release_Year</t>
  </si>
  <si>
    <t>Critic_Rating</t>
  </si>
  <si>
    <t>Global_Sales_Millions</t>
  </si>
  <si>
    <t>North_America_Sales_Millions</t>
  </si>
  <si>
    <t>Europe_Sales_Millions</t>
  </si>
  <si>
    <t>Japan_Sales_Millions</t>
  </si>
  <si>
    <t>Other_Sales_Millions</t>
  </si>
  <si>
    <t>Sales_Category</t>
  </si>
  <si>
    <t>Grand Theft Auto V</t>
  </si>
  <si>
    <t>PS3</t>
  </si>
  <si>
    <t>Action</t>
  </si>
  <si>
    <t>Take-Two Interactive</t>
  </si>
  <si>
    <t>Medium</t>
  </si>
  <si>
    <t>God of War</t>
  </si>
  <si>
    <t>PS4</t>
  </si>
  <si>
    <t>Sony Computer Entertainment</t>
  </si>
  <si>
    <t>Blockbuster</t>
  </si>
  <si>
    <t>God of War Ragnarök</t>
  </si>
  <si>
    <t>PS5</t>
  </si>
  <si>
    <t>Low</t>
  </si>
  <si>
    <t>The Last of Us</t>
  </si>
  <si>
    <t>The Last of Us Part II</t>
  </si>
  <si>
    <t>High</t>
  </si>
  <si>
    <t>Gran Turismo 7</t>
  </si>
  <si>
    <t>Racing</t>
  </si>
  <si>
    <t>Gran Turismo 4</t>
  </si>
  <si>
    <t>PS2</t>
  </si>
  <si>
    <t>Uncharted 4: A Thief's End</t>
  </si>
  <si>
    <t>Adventure</t>
  </si>
  <si>
    <t>Spider-Man</t>
  </si>
  <si>
    <t>Spider-Man: Miles Morales</t>
  </si>
  <si>
    <t>Horizon Zero Dawn</t>
  </si>
  <si>
    <t>RPG</t>
  </si>
  <si>
    <t>Ghost of Tsushima</t>
  </si>
  <si>
    <t>Bloodborne</t>
  </si>
  <si>
    <t>Final Fantasy VII Remake</t>
  </si>
  <si>
    <t>Square Enix</t>
  </si>
  <si>
    <t>Resident Evil 2</t>
  </si>
  <si>
    <t>Capcom</t>
  </si>
  <si>
    <t>Tekken 7</t>
  </si>
  <si>
    <t>Fighting</t>
  </si>
  <si>
    <t>Bandai Namco</t>
  </si>
  <si>
    <t>FIFA 23</t>
  </si>
  <si>
    <t>Sports</t>
  </si>
  <si>
    <t>Electronic Arts</t>
  </si>
  <si>
    <t>Call of Duty: Modern Warfare</t>
  </si>
  <si>
    <t>Shooter</t>
  </si>
  <si>
    <t>Activision</t>
  </si>
  <si>
    <t>Assassin's Creed Odyssey</t>
  </si>
  <si>
    <t>Ubisoft</t>
  </si>
  <si>
    <t>Red Dead Redemption 2</t>
  </si>
  <si>
    <t>Legends War 21</t>
  </si>
  <si>
    <t>PSP</t>
  </si>
  <si>
    <t>Extreme Football 22</t>
  </si>
  <si>
    <t>PS1</t>
  </si>
  <si>
    <t>Konami</t>
  </si>
  <si>
    <t>Legends Adventure 23</t>
  </si>
  <si>
    <t>Strategy</t>
  </si>
  <si>
    <t>Champions Arena 24</t>
  </si>
  <si>
    <t>PS Vita</t>
  </si>
  <si>
    <t>Simulation</t>
  </si>
  <si>
    <t>Pro Arena 25</t>
  </si>
  <si>
    <t>Ultimate Football 26</t>
  </si>
  <si>
    <t>World Heroes 27</t>
  </si>
  <si>
    <t>Dark Adventure 28</t>
  </si>
  <si>
    <t>Final Racer 29</t>
  </si>
  <si>
    <t>World Football 30</t>
  </si>
  <si>
    <t>Final Arena 31</t>
  </si>
  <si>
    <t>World Kingdom 32</t>
  </si>
  <si>
    <t>Bethesda</t>
  </si>
  <si>
    <t>Extreme Battle 33</t>
  </si>
  <si>
    <t>World Adventure 34</t>
  </si>
  <si>
    <t>Chronicles Quest 35</t>
  </si>
  <si>
    <t>Legends Quest 36</t>
  </si>
  <si>
    <t>Chronicles Battle 37</t>
  </si>
  <si>
    <t>Dark Kingdom 38</t>
  </si>
  <si>
    <t>Pro Battle 39</t>
  </si>
  <si>
    <t>Champions Heroes 40</t>
  </si>
  <si>
    <t>Ultimate Arena 41</t>
  </si>
  <si>
    <t>Chronicles Adventure 42</t>
  </si>
  <si>
    <t>Ultimate Racer 43</t>
  </si>
  <si>
    <t>Dark Battle 44</t>
  </si>
  <si>
    <t>Extreme Adventure 45</t>
  </si>
  <si>
    <t>Warriors Heroes 46</t>
  </si>
  <si>
    <t>Extreme Adventure 47</t>
  </si>
  <si>
    <t>Final Strike 48</t>
  </si>
  <si>
    <t>Extreme Football 49</t>
  </si>
  <si>
    <t>Champions Kingdom 50</t>
  </si>
  <si>
    <t>Pro Arena 51</t>
  </si>
  <si>
    <t>Final Arena 52</t>
  </si>
  <si>
    <t>Warriors Heroes 53</t>
  </si>
  <si>
    <t>Extreme Battle 54</t>
  </si>
  <si>
    <t>World Football 55</t>
  </si>
  <si>
    <t>Extreme Kingdom 56</t>
  </si>
  <si>
    <t>Chronicles Heroes 57</t>
  </si>
  <si>
    <t>World Battle 58</t>
  </si>
  <si>
    <t>Champions Football 59</t>
  </si>
  <si>
    <t>Legends Quest 60</t>
  </si>
  <si>
    <t>Chronicles Strike 61</t>
  </si>
  <si>
    <t>Dark Arena 62</t>
  </si>
  <si>
    <t>Extreme Kingdom 63</t>
  </si>
  <si>
    <t>World Strike 64</t>
  </si>
  <si>
    <t>Extreme War 65</t>
  </si>
  <si>
    <t>Warriors Heroes 66</t>
  </si>
  <si>
    <t>World War 67</t>
  </si>
  <si>
    <t>World War 68</t>
  </si>
  <si>
    <t>Ultimate Kingdom 69</t>
  </si>
  <si>
    <t>World Arena 70</t>
  </si>
  <si>
    <t>Final Heroes 71</t>
  </si>
  <si>
    <t>Extreme Battle 72</t>
  </si>
  <si>
    <t>Dark Arena 73</t>
  </si>
  <si>
    <t>Extreme Football 74</t>
  </si>
  <si>
    <t>Extreme War 75</t>
  </si>
  <si>
    <t>Ultimate Heroes 76</t>
  </si>
  <si>
    <t>Ultimate Quest 77</t>
  </si>
  <si>
    <t>Pro Heroes 78</t>
  </si>
  <si>
    <t>World Racer 79</t>
  </si>
  <si>
    <t>Dark Battle 80</t>
  </si>
  <si>
    <t>World Racer 81</t>
  </si>
  <si>
    <t>Champions Arena 82</t>
  </si>
  <si>
    <t>Extreme Kingdom 83</t>
  </si>
  <si>
    <t>Chronicles Strike 84</t>
  </si>
  <si>
    <t>Extreme Heroes 85</t>
  </si>
  <si>
    <t>Ultimate Quest 86</t>
  </si>
  <si>
    <t>Champions Racer 87</t>
  </si>
  <si>
    <t>Final Battle 88</t>
  </si>
  <si>
    <t>Ultimate Adventure 89</t>
  </si>
  <si>
    <t>Legends Strike 90</t>
  </si>
  <si>
    <t>World War 91</t>
  </si>
  <si>
    <t>Warriors Heroes 92</t>
  </si>
  <si>
    <t>Ultimate Strike 93</t>
  </si>
  <si>
    <t>Chronicles Arena 94</t>
  </si>
  <si>
    <t>Pro Kingdom 95</t>
  </si>
  <si>
    <t>Champions Football 96</t>
  </si>
  <si>
    <t>Dark Adventure 97</t>
  </si>
  <si>
    <t>Chronicles Heroes 98</t>
  </si>
  <si>
    <t>Extreme Quest 99</t>
  </si>
  <si>
    <t>World Football 100</t>
  </si>
  <si>
    <t>Extreme Battle 101</t>
  </si>
  <si>
    <t>Warriors Football 102</t>
  </si>
  <si>
    <t>Legends Battle 103</t>
  </si>
  <si>
    <t>World Adventure 104</t>
  </si>
  <si>
    <t>Ultimate Battle 105</t>
  </si>
  <si>
    <t>Legends Quest 106</t>
  </si>
  <si>
    <t>Dark Racer 107</t>
  </si>
  <si>
    <t>World Heroes 108</t>
  </si>
  <si>
    <t>Legends Racer 109</t>
  </si>
  <si>
    <t>Ultimate War 110</t>
  </si>
  <si>
    <t>Pro Racer 111</t>
  </si>
  <si>
    <t>Extreme War 112</t>
  </si>
  <si>
    <t>Legends Quest 113</t>
  </si>
  <si>
    <t>Champions Strike 114</t>
  </si>
  <si>
    <t>Pro Heroes 115</t>
  </si>
  <si>
    <t>Chronicles Football 116</t>
  </si>
  <si>
    <t>Final Kingdom 117</t>
  </si>
  <si>
    <t>Champions Strike 118</t>
  </si>
  <si>
    <t>Legends Kingdom 119</t>
  </si>
  <si>
    <t>Champions War 120</t>
  </si>
  <si>
    <t>Extreme Arena 121</t>
  </si>
  <si>
    <t>Legends Arena 122</t>
  </si>
  <si>
    <t>Pro War 123</t>
  </si>
  <si>
    <t>Warriors Adventure 124</t>
  </si>
  <si>
    <t>Ultimate Football 125</t>
  </si>
  <si>
    <t>Legends Adventure 126</t>
  </si>
  <si>
    <t>Legends Strike 127</t>
  </si>
  <si>
    <t>Final Heroes 128</t>
  </si>
  <si>
    <t>Pro Battle 129</t>
  </si>
  <si>
    <t>Final Battle 130</t>
  </si>
  <si>
    <t>Dark Adventure 131</t>
  </si>
  <si>
    <t>Extreme Arena 132</t>
  </si>
  <si>
    <t>Chronicles Battle 133</t>
  </si>
  <si>
    <t>Chronicles Arena 134</t>
  </si>
  <si>
    <t>Dark Kingdom 135</t>
  </si>
  <si>
    <t>Chronicles Arena 136</t>
  </si>
  <si>
    <t>Extreme Kingdom 137</t>
  </si>
  <si>
    <t>World Strike 138</t>
  </si>
  <si>
    <t>Pro Racer 139</t>
  </si>
  <si>
    <t>Chronicles Battle 140</t>
  </si>
  <si>
    <t>Pro Kingdom 141</t>
  </si>
  <si>
    <t>World Battle 142</t>
  </si>
  <si>
    <t>Ultimate Football 143</t>
  </si>
  <si>
    <t>Dark Adventure 144</t>
  </si>
  <si>
    <t>Extreme Quest 145</t>
  </si>
  <si>
    <t>Pro Arena 146</t>
  </si>
  <si>
    <t>Final Quest 147</t>
  </si>
  <si>
    <t>Extreme Battle 148</t>
  </si>
  <si>
    <t>Pro War 149</t>
  </si>
  <si>
    <t>Chronicles Arena 150</t>
  </si>
  <si>
    <t>Final Kingdom 151</t>
  </si>
  <si>
    <t>Pro Kingdom 152</t>
  </si>
  <si>
    <t>Dark Heroes 153</t>
  </si>
  <si>
    <t>Champions Heroes 154</t>
  </si>
  <si>
    <t>Warriors Kingdom 155</t>
  </si>
  <si>
    <t>Extreme Adventure 156</t>
  </si>
  <si>
    <t>Chronicles Arena 157</t>
  </si>
  <si>
    <t>Warriors Adventure 158</t>
  </si>
  <si>
    <t>World Football 159</t>
  </si>
  <si>
    <t>Pro Football 160</t>
  </si>
  <si>
    <t>Warriors Strike 161</t>
  </si>
  <si>
    <t>Champions War 162</t>
  </si>
  <si>
    <t>Final Arena 163</t>
  </si>
  <si>
    <t>Extreme Kingdom 164</t>
  </si>
  <si>
    <t>Champions Adventure 165</t>
  </si>
  <si>
    <t>World Strike 166</t>
  </si>
  <si>
    <t>Chronicles Strike 167</t>
  </si>
  <si>
    <t>Legends Football 168</t>
  </si>
  <si>
    <t>Final Football 169</t>
  </si>
  <si>
    <t>Chronicles Strike 170</t>
  </si>
  <si>
    <t>Pro Arena 171</t>
  </si>
  <si>
    <t>Champions War 172</t>
  </si>
  <si>
    <t>Chronicles Kingdom 173</t>
  </si>
  <si>
    <t>Legends Heroes 174</t>
  </si>
  <si>
    <t>Warriors War 175</t>
  </si>
  <si>
    <t>Champions Battle 176</t>
  </si>
  <si>
    <t>Extreme Racer 177</t>
  </si>
  <si>
    <t>Champions Arena 178</t>
  </si>
  <si>
    <t>Dark Heroes 179</t>
  </si>
  <si>
    <t>Warriors Arena 180</t>
  </si>
  <si>
    <t>World War 181</t>
  </si>
  <si>
    <t>Extreme Football 182</t>
  </si>
  <si>
    <t>Warriors Football 183</t>
  </si>
  <si>
    <t>Extreme Kingdom 184</t>
  </si>
  <si>
    <t>Final Heroes 185</t>
  </si>
  <si>
    <t>Legends Battle 186</t>
  </si>
  <si>
    <t>Champions Quest 187</t>
  </si>
  <si>
    <t>Legends Quest 188</t>
  </si>
  <si>
    <t>Final Heroes 189</t>
  </si>
  <si>
    <t>Ultimate Football 190</t>
  </si>
  <si>
    <t>World Football 191</t>
  </si>
  <si>
    <t>Champions Kingdom 192</t>
  </si>
  <si>
    <t>World Battle 193</t>
  </si>
  <si>
    <t>Warriors War 194</t>
  </si>
  <si>
    <t>Pro Racer 195</t>
  </si>
  <si>
    <t>Final Football 196</t>
  </si>
  <si>
    <t>Dark Football 197</t>
  </si>
  <si>
    <t>World Adventure 198</t>
  </si>
  <si>
    <t>Warriors Adventure 199</t>
  </si>
  <si>
    <t>Champions Adventure 200</t>
  </si>
  <si>
    <t>Ultimate Battle 201</t>
  </si>
  <si>
    <t>Extreme Arena 202</t>
  </si>
  <si>
    <t>Dark Quest 203</t>
  </si>
  <si>
    <t>Pro Heroes 204</t>
  </si>
  <si>
    <t>Dark Heroes 205</t>
  </si>
  <si>
    <t>Final Battle 206</t>
  </si>
  <si>
    <t>Pro Battle 207</t>
  </si>
  <si>
    <t>Dark Kingdom 208</t>
  </si>
  <si>
    <t>Dark Football 209</t>
  </si>
  <si>
    <t>World Football 210</t>
  </si>
  <si>
    <t>Legends War 211</t>
  </si>
  <si>
    <t>Pro War 212</t>
  </si>
  <si>
    <t>Legends Strike 213</t>
  </si>
  <si>
    <t>Dark Quest 214</t>
  </si>
  <si>
    <t>Chronicles Football 215</t>
  </si>
  <si>
    <t>Pro Arena 216</t>
  </si>
  <si>
    <t>Pro Quest 217</t>
  </si>
  <si>
    <t>Dark Adventure 218</t>
  </si>
  <si>
    <t>World War 219</t>
  </si>
  <si>
    <t>World Strike 220</t>
  </si>
  <si>
    <t>Legends Racer 221</t>
  </si>
  <si>
    <t>Dark Racer 222</t>
  </si>
  <si>
    <t>World Strike 223</t>
  </si>
  <si>
    <t>Pro Arena 224</t>
  </si>
  <si>
    <t>Ultimate Adventure 225</t>
  </si>
  <si>
    <t>Dark Heroes 226</t>
  </si>
  <si>
    <t>Final Quest 227</t>
  </si>
  <si>
    <t>Extreme Heroes 228</t>
  </si>
  <si>
    <t>Legends Quest 229</t>
  </si>
  <si>
    <t>Dark Quest 230</t>
  </si>
  <si>
    <t>Pro Arena 231</t>
  </si>
  <si>
    <t>World Heroes 232</t>
  </si>
  <si>
    <t>Champions Arena 233</t>
  </si>
  <si>
    <t>Ultimate Arena 234</t>
  </si>
  <si>
    <t>Pro Racer 235</t>
  </si>
  <si>
    <t>Extreme Quest 236</t>
  </si>
  <si>
    <t>Final Racer 237</t>
  </si>
  <si>
    <t>Champions Strike 238</t>
  </si>
  <si>
    <t>Pro Arena 239</t>
  </si>
  <si>
    <t>Warriors Heroes 240</t>
  </si>
  <si>
    <t>Ultimate Racer 241</t>
  </si>
  <si>
    <t>Chronicles Quest 242</t>
  </si>
  <si>
    <t>Dark Racer 243</t>
  </si>
  <si>
    <t>World Racer 244</t>
  </si>
  <si>
    <t>Legends Kingdom 245</t>
  </si>
  <si>
    <t>Legends Quest 246</t>
  </si>
  <si>
    <t>Extreme Strike 247</t>
  </si>
  <si>
    <t>Dark Racer 248</t>
  </si>
  <si>
    <t>Dark Adventure 249</t>
  </si>
  <si>
    <t>Ultimate Battle 250</t>
  </si>
  <si>
    <t>Extreme Quest 251</t>
  </si>
  <si>
    <t>Warriors Battle 252</t>
  </si>
  <si>
    <t>Ultimate Quest 253</t>
  </si>
  <si>
    <t>Pro Heroes 254</t>
  </si>
  <si>
    <t>Extreme Quest 255</t>
  </si>
  <si>
    <t>World Adventure 256</t>
  </si>
  <si>
    <t>Pro Football 257</t>
  </si>
  <si>
    <t>Final Battle 258</t>
  </si>
  <si>
    <t>Warriors War 259</t>
  </si>
  <si>
    <t>Champions Battle 260</t>
  </si>
  <si>
    <t>Final Football 261</t>
  </si>
  <si>
    <t>Pro Arena 262</t>
  </si>
  <si>
    <t>Chronicles War 263</t>
  </si>
  <si>
    <t>Extreme Racer 264</t>
  </si>
  <si>
    <t>World War 265</t>
  </si>
  <si>
    <t>Dark Kingdom 266</t>
  </si>
  <si>
    <t>Legends Arena 267</t>
  </si>
  <si>
    <t>Legends Strike 268</t>
  </si>
  <si>
    <t>Legends Battle 269</t>
  </si>
  <si>
    <t>Chronicles Arena 270</t>
  </si>
  <si>
    <t>Warriors Kingdom 271</t>
  </si>
  <si>
    <t>Pro Strike 272</t>
  </si>
  <si>
    <t>Final Adventure 273</t>
  </si>
  <si>
    <t>Pro Quest 274</t>
  </si>
  <si>
    <t>Champions Strike 275</t>
  </si>
  <si>
    <t>World Battle 276</t>
  </si>
  <si>
    <t>Champions Strike 277</t>
  </si>
  <si>
    <t>Final Strike 278</t>
  </si>
  <si>
    <t>Dark Strike 279</t>
  </si>
  <si>
    <t>Legends Football 280</t>
  </si>
  <si>
    <t>Chronicles Racer 281</t>
  </si>
  <si>
    <t>Legends Arena 282</t>
  </si>
  <si>
    <t>Legends Racer 283</t>
  </si>
  <si>
    <t>World Battle 284</t>
  </si>
  <si>
    <t>Chronicles War 285</t>
  </si>
  <si>
    <t>Extreme Arena 286</t>
  </si>
  <si>
    <t>World War 287</t>
  </si>
  <si>
    <t>Chronicles Football 288</t>
  </si>
  <si>
    <t>Warriors Kingdom 289</t>
  </si>
  <si>
    <t>Ultimate Kingdom 290</t>
  </si>
  <si>
    <t>Ultimate Heroes 291</t>
  </si>
  <si>
    <t>Dark Kingdom 292</t>
  </si>
  <si>
    <t>Dark Racer 293</t>
  </si>
  <si>
    <t>Final Adventure 294</t>
  </si>
  <si>
    <t>Dark Battle 295</t>
  </si>
  <si>
    <t>Chronicles War 296</t>
  </si>
  <si>
    <t>Dark Strike 297</t>
  </si>
  <si>
    <t>Final Quest 298</t>
  </si>
  <si>
    <t>Ultimate Football 299</t>
  </si>
  <si>
    <t>Warriors Adventure 300</t>
  </si>
  <si>
    <t>Chronicles Battle 301</t>
  </si>
  <si>
    <t>Ultimate Arena 302</t>
  </si>
  <si>
    <t>Pro Arena 303</t>
  </si>
  <si>
    <t>Extreme Strike 304</t>
  </si>
  <si>
    <t>Warriors Quest 305</t>
  </si>
  <si>
    <t>Dark Battle 306</t>
  </si>
  <si>
    <t>Final War 307</t>
  </si>
  <si>
    <t>Warriors Adventure 308</t>
  </si>
  <si>
    <t>Ultimate Strike 309</t>
  </si>
  <si>
    <t>Pro Heroes 310</t>
  </si>
  <si>
    <t>Legends Quest 311</t>
  </si>
  <si>
    <t>Pro Kingdom 312</t>
  </si>
  <si>
    <t>Legends Battle 313</t>
  </si>
  <si>
    <t>Pro Football 314</t>
  </si>
  <si>
    <t>Pro Battle 315</t>
  </si>
  <si>
    <t>Legends Heroes 316</t>
  </si>
  <si>
    <t>Legends Kingdom 317</t>
  </si>
  <si>
    <t>Legends Arena 318</t>
  </si>
  <si>
    <t>Final Arena 319</t>
  </si>
  <si>
    <t>Legends Kingdom 320</t>
  </si>
  <si>
    <t>Legends Quest 321</t>
  </si>
  <si>
    <t>Champions Adventure 322</t>
  </si>
  <si>
    <t>World Heroes 323</t>
  </si>
  <si>
    <t>Extreme Arena 324</t>
  </si>
  <si>
    <t>Legends Heroes 325</t>
  </si>
  <si>
    <t>Final Strike 326</t>
  </si>
  <si>
    <t>Ultimate Battle 327</t>
  </si>
  <si>
    <t>Pro War 328</t>
  </si>
  <si>
    <t>World Adventure 329</t>
  </si>
  <si>
    <t>Warriors Arena 330</t>
  </si>
  <si>
    <t>World Racer 331</t>
  </si>
  <si>
    <t>Champions Arena 332</t>
  </si>
  <si>
    <t>Warriors Adventure 333</t>
  </si>
  <si>
    <t>Ultimate Kingdom 334</t>
  </si>
  <si>
    <t>Champions Racer 335</t>
  </si>
  <si>
    <t>Dark Adventure 336</t>
  </si>
  <si>
    <t>Warriors Football 337</t>
  </si>
  <si>
    <t>Legends Adventure 338</t>
  </si>
  <si>
    <t>Ultimate Kingdom 339</t>
  </si>
  <si>
    <t>Warriors Kingdom 340</t>
  </si>
  <si>
    <t>Warriors Kingdom 341</t>
  </si>
  <si>
    <t>Ultimate War 342</t>
  </si>
  <si>
    <t>Final Strike 343</t>
  </si>
  <si>
    <t>Dark War 344</t>
  </si>
  <si>
    <t>Extreme Battle 345</t>
  </si>
  <si>
    <t>Champions Kingdom 346</t>
  </si>
  <si>
    <t>Pro War 347</t>
  </si>
  <si>
    <t>Extreme Football 348</t>
  </si>
  <si>
    <t>Final Adventure 349</t>
  </si>
  <si>
    <t>Final Kingdom 350</t>
  </si>
  <si>
    <t>Dark Racer 351</t>
  </si>
  <si>
    <t>Extreme Football 352</t>
  </si>
  <si>
    <t>Legends Strike 353</t>
  </si>
  <si>
    <t>Dark Heroes 354</t>
  </si>
  <si>
    <t>Ultimate Kingdom 355</t>
  </si>
  <si>
    <t>Final Quest 356</t>
  </si>
  <si>
    <t>World Kingdom 357</t>
  </si>
  <si>
    <t>Legends War 358</t>
  </si>
  <si>
    <t>Extreme Adventure 359</t>
  </si>
  <si>
    <t>World Arena 360</t>
  </si>
  <si>
    <t>Chronicles Racer 361</t>
  </si>
  <si>
    <t>Final Arena 362</t>
  </si>
  <si>
    <t>Final Racer 363</t>
  </si>
  <si>
    <t>Ultimate Football 364</t>
  </si>
  <si>
    <t>World Battle 365</t>
  </si>
  <si>
    <t>Extreme Quest 366</t>
  </si>
  <si>
    <t>Pro Adventure 367</t>
  </si>
  <si>
    <t>Warriors Heroes 368</t>
  </si>
  <si>
    <t>Ultimate Quest 369</t>
  </si>
  <si>
    <t>Dark Strike 370</t>
  </si>
  <si>
    <t>World Quest 371</t>
  </si>
  <si>
    <t>Pro Arena 372</t>
  </si>
  <si>
    <t>Extreme Racer 373</t>
  </si>
  <si>
    <t>Extreme Kingdom 374</t>
  </si>
  <si>
    <t>Pro Strike 375</t>
  </si>
  <si>
    <t>Ultimate Strike 376</t>
  </si>
  <si>
    <t>Final Heroes 377</t>
  </si>
  <si>
    <t>Pro Kingdom 378</t>
  </si>
  <si>
    <t>World Quest 379</t>
  </si>
  <si>
    <t>Ultimate Racer 380</t>
  </si>
  <si>
    <t>Extreme Kingdom 381</t>
  </si>
  <si>
    <t>Chronicles Football 382</t>
  </si>
  <si>
    <t>Legends War 383</t>
  </si>
  <si>
    <t>Final Strike 384</t>
  </si>
  <si>
    <t>Dark Kingdom 385</t>
  </si>
  <si>
    <t>Extreme Arena 386</t>
  </si>
  <si>
    <t>Pro Heroes 387</t>
  </si>
  <si>
    <t>Champions Arena 388</t>
  </si>
  <si>
    <t>Warriors War 389</t>
  </si>
  <si>
    <t>Final Battle 390</t>
  </si>
  <si>
    <t>Chronicles Heroes 391</t>
  </si>
  <si>
    <t>Champions Arena 392</t>
  </si>
  <si>
    <t>Extreme War 393</t>
  </si>
  <si>
    <t>Pro Adventure 394</t>
  </si>
  <si>
    <t>Final Heroes 395</t>
  </si>
  <si>
    <t>World War 396</t>
  </si>
  <si>
    <t>World Adventure 397</t>
  </si>
  <si>
    <t>Extreme Strike 398</t>
  </si>
  <si>
    <t>Extreme War 399</t>
  </si>
  <si>
    <t>Legends Racer 400</t>
  </si>
  <si>
    <t>Extreme Kingdom 401</t>
  </si>
  <si>
    <t>Dark Racer 402</t>
  </si>
  <si>
    <t>Chronicles Football 403</t>
  </si>
  <si>
    <t>World Arena 404</t>
  </si>
  <si>
    <t>Dark Kingdom 405</t>
  </si>
  <si>
    <t>Chronicles Quest 406</t>
  </si>
  <si>
    <t>Dark War 407</t>
  </si>
  <si>
    <t>Warriors War 408</t>
  </si>
  <si>
    <t>Chronicles Heroes 409</t>
  </si>
  <si>
    <t>Ultimate Quest 410</t>
  </si>
  <si>
    <t>Warriors Adventure 411</t>
  </si>
  <si>
    <t>Chronicles Heroes 412</t>
  </si>
  <si>
    <t>World Football 413</t>
  </si>
  <si>
    <t>Ultimate Kingdom 414</t>
  </si>
  <si>
    <t>Dark Adventure 415</t>
  </si>
  <si>
    <t>Champions Adventure 416</t>
  </si>
  <si>
    <t>Champions Kingdom 417</t>
  </si>
  <si>
    <t>Dark Adventure 418</t>
  </si>
  <si>
    <t>Chronicles Strike 419</t>
  </si>
  <si>
    <t>Champions Battle 420</t>
  </si>
  <si>
    <t>Champions Strike 421</t>
  </si>
  <si>
    <t>Warriors Racer 422</t>
  </si>
  <si>
    <t>Legends Battle 423</t>
  </si>
  <si>
    <t>Chronicles Kingdom 424</t>
  </si>
  <si>
    <t>Dark Football 425</t>
  </si>
  <si>
    <t>World Heroes 426</t>
  </si>
  <si>
    <t>Final Adventure 427</t>
  </si>
  <si>
    <t>Chronicles Adventure 428</t>
  </si>
  <si>
    <t>Chronicles Football 429</t>
  </si>
  <si>
    <t>World Adventure 430</t>
  </si>
  <si>
    <t>Warriors Racer 431</t>
  </si>
  <si>
    <t>Extreme Heroes 432</t>
  </si>
  <si>
    <t>Dark Battle 433</t>
  </si>
  <si>
    <t>Extreme Strike 434</t>
  </si>
  <si>
    <t>Chronicles Racer 435</t>
  </si>
  <si>
    <t>Final Strike 436</t>
  </si>
  <si>
    <t>Pro Adventure 437</t>
  </si>
  <si>
    <t>Champions Arena 438</t>
  </si>
  <si>
    <t>Extreme Quest 439</t>
  </si>
  <si>
    <t>Final Arena 440</t>
  </si>
  <si>
    <t>Champions Battle 441</t>
  </si>
  <si>
    <t>Legends Battle 442</t>
  </si>
  <si>
    <t>Final Racer 443</t>
  </si>
  <si>
    <t>Pro Adventure 444</t>
  </si>
  <si>
    <t>Final War 445</t>
  </si>
  <si>
    <t>Warriors Strike 446</t>
  </si>
  <si>
    <t>Warriors Quest 447</t>
  </si>
  <si>
    <t>Final Kingdom 448</t>
  </si>
  <si>
    <t>Legends Quest 449</t>
  </si>
  <si>
    <t>Champions Kingdom 450</t>
  </si>
  <si>
    <t>Dark Battle 451</t>
  </si>
  <si>
    <t>Pro Arena 452</t>
  </si>
  <si>
    <t>Final Racer 453</t>
  </si>
  <si>
    <t>Final Battle 454</t>
  </si>
  <si>
    <t>Final Quest 455</t>
  </si>
  <si>
    <t>Dark Adventure 456</t>
  </si>
  <si>
    <t>Legends Racer 457</t>
  </si>
  <si>
    <t>Final Heroes 458</t>
  </si>
  <si>
    <t>Chronicles Arena 459</t>
  </si>
  <si>
    <t>World Kingdom 460</t>
  </si>
  <si>
    <t>Ultimate Football 461</t>
  </si>
  <si>
    <t>Champions Battle 462</t>
  </si>
  <si>
    <t>Extreme Strike 463</t>
  </si>
  <si>
    <t>Legends Heroes 464</t>
  </si>
  <si>
    <t>Extreme Battle 465</t>
  </si>
  <si>
    <t>Pro War 466</t>
  </si>
  <si>
    <t>Champions Strike 467</t>
  </si>
  <si>
    <t>Final Football 468</t>
  </si>
  <si>
    <t>Pro Adventure 469</t>
  </si>
  <si>
    <t>Champions Arena 470</t>
  </si>
  <si>
    <t>Extreme Adventure 471</t>
  </si>
  <si>
    <t>Ultimate Adventure 472</t>
  </si>
  <si>
    <t>Chronicles Heroes 473</t>
  </si>
  <si>
    <t>Ultimate Football 474</t>
  </si>
  <si>
    <t>Champions Racer 475</t>
  </si>
  <si>
    <t>Ultimate Strike 476</t>
  </si>
  <si>
    <t>Pro Football 477</t>
  </si>
  <si>
    <t>Extreme Kingdom 478</t>
  </si>
  <si>
    <t>Champions Racer 479</t>
  </si>
  <si>
    <t>Ultimate Racer 480</t>
  </si>
  <si>
    <t>Warriors Kingdom 481</t>
  </si>
  <si>
    <t>Warriors Football 482</t>
  </si>
  <si>
    <t>World Battle 483</t>
  </si>
  <si>
    <t>Legends Heroes 484</t>
  </si>
  <si>
    <t>Final Quest 485</t>
  </si>
  <si>
    <t>Champions Racer 486</t>
  </si>
  <si>
    <t>Legends Strike 487</t>
  </si>
  <si>
    <t>Extreme Battle 488</t>
  </si>
  <si>
    <t>Extreme War 489</t>
  </si>
  <si>
    <t>Pro Racer 490</t>
  </si>
  <si>
    <t>Final Football 491</t>
  </si>
  <si>
    <t>Champions Battle 492</t>
  </si>
  <si>
    <t>World Strike 493</t>
  </si>
  <si>
    <t>Ultimate Strike 494</t>
  </si>
  <si>
    <t>World Adventure 495</t>
  </si>
  <si>
    <t>Legends Kingdom 496</t>
  </si>
  <si>
    <t>Extreme Battle 497</t>
  </si>
  <si>
    <t>Chronicles Quest 498</t>
  </si>
  <si>
    <t>Extreme Battle 499</t>
  </si>
  <si>
    <t>Chronicles War 500</t>
  </si>
  <si>
    <t>Final Battle 501</t>
  </si>
  <si>
    <t>Warriors Strike 502</t>
  </si>
  <si>
    <t>Warriors Heroes 503</t>
  </si>
  <si>
    <t>Final Battle 504</t>
  </si>
  <si>
    <t>Chronicles Racer 505</t>
  </si>
  <si>
    <t>Pro Quest 506</t>
  </si>
  <si>
    <t>Warriors War 507</t>
  </si>
  <si>
    <t>Dark Strike 508</t>
  </si>
  <si>
    <t>Champions Racer 509</t>
  </si>
  <si>
    <t>World Football 510</t>
  </si>
  <si>
    <t>Chronicles Racer 511</t>
  </si>
  <si>
    <t>Dark War 512</t>
  </si>
  <si>
    <t>Ultimate Heroes 513</t>
  </si>
  <si>
    <t>Final Adventure 514</t>
  </si>
  <si>
    <t>World Racer 515</t>
  </si>
  <si>
    <t>Final War 516</t>
  </si>
  <si>
    <t>Legends Football 517</t>
  </si>
  <si>
    <t>Champions Arena 518</t>
  </si>
  <si>
    <t>Champions Strike 519</t>
  </si>
  <si>
    <t>Dark Adventure 520</t>
  </si>
  <si>
    <t>Pro Kingdom 521</t>
  </si>
  <si>
    <t>World Racer 522</t>
  </si>
  <si>
    <t>Chronicles Kingdom 523</t>
  </si>
  <si>
    <t>Dark Battle 524</t>
  </si>
  <si>
    <t>World Football 525</t>
  </si>
  <si>
    <t>Chronicles Adventure 526</t>
  </si>
  <si>
    <t>Final Racer 527</t>
  </si>
  <si>
    <t>Legends Football 528</t>
  </si>
  <si>
    <t>World Quest 529</t>
  </si>
  <si>
    <t>Ultimate War 530</t>
  </si>
  <si>
    <t>Extreme Kingdom 531</t>
  </si>
  <si>
    <t>Pro Heroes 532</t>
  </si>
  <si>
    <t>Dark Arena 533</t>
  </si>
  <si>
    <t>Warriors Racer 534</t>
  </si>
  <si>
    <t>Dark Quest 535</t>
  </si>
  <si>
    <t>Chronicles Heroes 536</t>
  </si>
  <si>
    <t>Pro Battle 537</t>
  </si>
  <si>
    <t>Champions Adventure 538</t>
  </si>
  <si>
    <t>Pro War 539</t>
  </si>
  <si>
    <t>Final Kingdom 540</t>
  </si>
  <si>
    <t>Legends Heroes 541</t>
  </si>
  <si>
    <t>Dark Kingdom 542</t>
  </si>
  <si>
    <t>Dark Strike 543</t>
  </si>
  <si>
    <t>Extreme Quest 544</t>
  </si>
  <si>
    <t>World Quest 545</t>
  </si>
  <si>
    <t>World War 546</t>
  </si>
  <si>
    <t>Final War 547</t>
  </si>
  <si>
    <t>Final Adventure 548</t>
  </si>
  <si>
    <t>World Adventure 549</t>
  </si>
  <si>
    <t>Ultimate Strike 550</t>
  </si>
  <si>
    <t>Final Heroes 551</t>
  </si>
  <si>
    <t>Dark Adventure 552</t>
  </si>
  <si>
    <t>Chronicles Quest 553</t>
  </si>
  <si>
    <t>Legends Strike 554</t>
  </si>
  <si>
    <t>Champions Heroes 555</t>
  </si>
  <si>
    <t>Ultimate Battle 556</t>
  </si>
  <si>
    <t>Chronicles Arena 557</t>
  </si>
  <si>
    <t>Final Strike 558</t>
  </si>
  <si>
    <t>Chronicles Adventure 559</t>
  </si>
  <si>
    <t>Champions Kingdom 560</t>
  </si>
  <si>
    <t>Champions Kingdom 561</t>
  </si>
  <si>
    <t>Final Strike 562</t>
  </si>
  <si>
    <t>World Adventure 563</t>
  </si>
  <si>
    <t>Legends Football 564</t>
  </si>
  <si>
    <t>Ultimate Arena 565</t>
  </si>
  <si>
    <t>Legends Strike 566</t>
  </si>
  <si>
    <t>Pro Quest 567</t>
  </si>
  <si>
    <t>Warriors War 568</t>
  </si>
  <si>
    <t>Extreme Quest 569</t>
  </si>
  <si>
    <t>Pro Racer 570</t>
  </si>
  <si>
    <t>Extreme War 571</t>
  </si>
  <si>
    <t>Pro Quest 572</t>
  </si>
  <si>
    <t>Pro Football 573</t>
  </si>
  <si>
    <t>World Strike 574</t>
  </si>
  <si>
    <t>Legends Arena 575</t>
  </si>
  <si>
    <t>Warriors War 576</t>
  </si>
  <si>
    <t>Dark Arena 577</t>
  </si>
  <si>
    <t>Dark Quest 578</t>
  </si>
  <si>
    <t>World Kingdom 579</t>
  </si>
  <si>
    <t>Ultimate Strike 580</t>
  </si>
  <si>
    <t>Dark Adventure 581</t>
  </si>
  <si>
    <t>Legends Adventure 582</t>
  </si>
  <si>
    <t>Extreme Battle 583</t>
  </si>
  <si>
    <t>Final Adventure 584</t>
  </si>
  <si>
    <t>Chronicles War 585</t>
  </si>
  <si>
    <t>Pro War 586</t>
  </si>
  <si>
    <t>Dark Kingdom 587</t>
  </si>
  <si>
    <t>Extreme Arena 588</t>
  </si>
  <si>
    <t>Final Football 589</t>
  </si>
  <si>
    <t>Dark War 590</t>
  </si>
  <si>
    <t>World Arena 591</t>
  </si>
  <si>
    <t>Champions Battle 592</t>
  </si>
  <si>
    <t>Warriors Racer 593</t>
  </si>
  <si>
    <t>Pro Adventure 594</t>
  </si>
  <si>
    <t>World Heroes 595</t>
  </si>
  <si>
    <t>World Adventure 596</t>
  </si>
  <si>
    <t>Dark War 597</t>
  </si>
  <si>
    <t>Dark War 598</t>
  </si>
  <si>
    <t>Legends Arena 599</t>
  </si>
  <si>
    <t>Extreme Kingdom 600</t>
  </si>
  <si>
    <t>Warriors War 601</t>
  </si>
  <si>
    <t>Pro Arena 602</t>
  </si>
  <si>
    <t>Pro Quest 603</t>
  </si>
  <si>
    <t>Warriors War 604</t>
  </si>
  <si>
    <t>World Arena 605</t>
  </si>
  <si>
    <t>Dark Football 606</t>
  </si>
  <si>
    <t>Warriors Adventure 607</t>
  </si>
  <si>
    <t>Dark Strike 608</t>
  </si>
  <si>
    <t>Final Strike 609</t>
  </si>
  <si>
    <t>Final Arena 610</t>
  </si>
  <si>
    <t>World War 611</t>
  </si>
  <si>
    <t>Pro Arena 612</t>
  </si>
  <si>
    <t>World War 613</t>
  </si>
  <si>
    <t>Legends Quest 614</t>
  </si>
  <si>
    <t>Warriors Strike 615</t>
  </si>
  <si>
    <t>Chronicles Racer 616</t>
  </si>
  <si>
    <t>Extreme Battle 617</t>
  </si>
  <si>
    <t>Chronicles Adventure 618</t>
  </si>
  <si>
    <t>Ultimate Football 619</t>
  </si>
  <si>
    <t>Extreme Quest 620</t>
  </si>
  <si>
    <t>Dark Racer 621</t>
  </si>
  <si>
    <t>World Kingdom 622</t>
  </si>
  <si>
    <t>Warriors Kingdom 623</t>
  </si>
  <si>
    <t>Extreme War 624</t>
  </si>
  <si>
    <t>Ultimate Racer 625</t>
  </si>
  <si>
    <t>Champions Football 626</t>
  </si>
  <si>
    <t>Dark Strike 627</t>
  </si>
  <si>
    <t>Champions Quest 628</t>
  </si>
  <si>
    <t>Legends War 629</t>
  </si>
  <si>
    <t>World Strike 630</t>
  </si>
  <si>
    <t>Extreme Strike 631</t>
  </si>
  <si>
    <t>Final Battle 632</t>
  </si>
  <si>
    <t>World Heroes 633</t>
  </si>
  <si>
    <t>World Quest 634</t>
  </si>
  <si>
    <t>Warriors War 635</t>
  </si>
  <si>
    <t>Warriors Kingdom 636</t>
  </si>
  <si>
    <t>Legends Strike 637</t>
  </si>
  <si>
    <t>Final Strike 638</t>
  </si>
  <si>
    <t>Pro Quest 639</t>
  </si>
  <si>
    <t>Warriors Arena 640</t>
  </si>
  <si>
    <t>Champions Kingdom 641</t>
  </si>
  <si>
    <t>World Quest 642</t>
  </si>
  <si>
    <t>Dark Battle 643</t>
  </si>
  <si>
    <t>Final Strike 644</t>
  </si>
  <si>
    <t>Warriors War 645</t>
  </si>
  <si>
    <t>Final Kingdom 646</t>
  </si>
  <si>
    <t>Dark Kingdom 647</t>
  </si>
  <si>
    <t>Extreme Battle 648</t>
  </si>
  <si>
    <t>Warriors Adventure 649</t>
  </si>
  <si>
    <t>Pro Kingdom 650</t>
  </si>
  <si>
    <t>Dark Quest 651</t>
  </si>
  <si>
    <t>World Heroes 652</t>
  </si>
  <si>
    <t>Legends Football 653</t>
  </si>
  <si>
    <t>Legends Adventure 654</t>
  </si>
  <si>
    <t>Champions Strike 655</t>
  </si>
  <si>
    <t>World Strike 656</t>
  </si>
  <si>
    <t>World Arena 657</t>
  </si>
  <si>
    <t>Pro Kingdom 658</t>
  </si>
  <si>
    <t>Final Racer 659</t>
  </si>
  <si>
    <t>Legends Kingdom 660</t>
  </si>
  <si>
    <t>Extreme Adventure 661</t>
  </si>
  <si>
    <t>Chronicles Racer 662</t>
  </si>
  <si>
    <t>Pro Quest 663</t>
  </si>
  <si>
    <t>Warriors Football 664</t>
  </si>
  <si>
    <t>Dark Racer 665</t>
  </si>
  <si>
    <t>World Racer 666</t>
  </si>
  <si>
    <t>World Battle 667</t>
  </si>
  <si>
    <t>Warriors Strike 668</t>
  </si>
  <si>
    <t>Chronicles Heroes 669</t>
  </si>
  <si>
    <t>Pro Football 670</t>
  </si>
  <si>
    <t>Champions Heroes 671</t>
  </si>
  <si>
    <t>Pro Heroes 672</t>
  </si>
  <si>
    <t>Ultimate Football 673</t>
  </si>
  <si>
    <t>World Adventure 674</t>
  </si>
  <si>
    <t>World Quest 675</t>
  </si>
  <si>
    <t>Chronicles Strike 676</t>
  </si>
  <si>
    <t>Ultimate Heroes 677</t>
  </si>
  <si>
    <t>World Arena 678</t>
  </si>
  <si>
    <t>Dark Football 679</t>
  </si>
  <si>
    <t>Champions Adventure 680</t>
  </si>
  <si>
    <t>World Football 681</t>
  </si>
  <si>
    <t>Legends Racer 682</t>
  </si>
  <si>
    <t>Extreme Heroes 683</t>
  </si>
  <si>
    <t>World Heroes 684</t>
  </si>
  <si>
    <t>Ultimate Strike 685</t>
  </si>
  <si>
    <t>World Quest 686</t>
  </si>
  <si>
    <t>World War 687</t>
  </si>
  <si>
    <t>Ultimate Heroes 688</t>
  </si>
  <si>
    <t>Pro Strike 689</t>
  </si>
  <si>
    <t>World Strike 690</t>
  </si>
  <si>
    <t>Pro Battle 691</t>
  </si>
  <si>
    <t>Warriors Football 692</t>
  </si>
  <si>
    <t>Champions Heroes 693</t>
  </si>
  <si>
    <t>Extreme Heroes 694</t>
  </si>
  <si>
    <t>Extreme Football 695</t>
  </si>
  <si>
    <t>World Football 696</t>
  </si>
  <si>
    <t>Final Arena 697</t>
  </si>
  <si>
    <t>Warriors Football 698</t>
  </si>
  <si>
    <t>Final Racer 699</t>
  </si>
  <si>
    <t>World Arena 700</t>
  </si>
  <si>
    <t>Legends War 701</t>
  </si>
  <si>
    <t>Warriors Adventure 702</t>
  </si>
  <si>
    <t>Final War 703</t>
  </si>
  <si>
    <t>Champions Heroes 704</t>
  </si>
  <si>
    <t>Legends Adventure 705</t>
  </si>
  <si>
    <t>Champions War 706</t>
  </si>
  <si>
    <t>Pro Strike 707</t>
  </si>
  <si>
    <t>Extreme Heroes 708</t>
  </si>
  <si>
    <t>Champions Racer 709</t>
  </si>
  <si>
    <t>Warriors War 710</t>
  </si>
  <si>
    <t>Champions Kingdom 711</t>
  </si>
  <si>
    <t>Champions Strike 712</t>
  </si>
  <si>
    <t>Dark Strike 713</t>
  </si>
  <si>
    <t>Pro War 714</t>
  </si>
  <si>
    <t>Champions Strike 715</t>
  </si>
  <si>
    <t>Warriors Arena 716</t>
  </si>
  <si>
    <t>Pro Heroes 717</t>
  </si>
  <si>
    <t>Legends Racer 718</t>
  </si>
  <si>
    <t>Legends Quest 719</t>
  </si>
  <si>
    <t>Warriors Arena 720</t>
  </si>
  <si>
    <t>Dark Football 721</t>
  </si>
  <si>
    <t>Legends Quest 722</t>
  </si>
  <si>
    <t>Dark Racer 723</t>
  </si>
  <si>
    <t>Legends War 724</t>
  </si>
  <si>
    <t>Champions War 725</t>
  </si>
  <si>
    <t>Pro Battle 726</t>
  </si>
  <si>
    <t>Extreme Racer 727</t>
  </si>
  <si>
    <t>Dark Football 728</t>
  </si>
  <si>
    <t>Chronicles Battle 729</t>
  </si>
  <si>
    <t>Dark Kingdom 730</t>
  </si>
  <si>
    <t>Champions Racer 731</t>
  </si>
  <si>
    <t>Warriors Football 732</t>
  </si>
  <si>
    <t>Dark Heroes 733</t>
  </si>
  <si>
    <t>Dark Racer 734</t>
  </si>
  <si>
    <t>Extreme Arena 735</t>
  </si>
  <si>
    <t>Dark Heroes 736</t>
  </si>
  <si>
    <t>Extreme Quest 737</t>
  </si>
  <si>
    <t>Warriors Football 738</t>
  </si>
  <si>
    <t>Extreme Strike 739</t>
  </si>
  <si>
    <t>Champions Heroes 740</t>
  </si>
  <si>
    <t>Extreme Adventure 741</t>
  </si>
  <si>
    <t>Legends Racer 742</t>
  </si>
  <si>
    <t>Champions Kingdom 743</t>
  </si>
  <si>
    <t>World Strike 744</t>
  </si>
  <si>
    <t>World Arena 745</t>
  </si>
  <si>
    <t>World Adventure 746</t>
  </si>
  <si>
    <t>Ultimate Adventure 747</t>
  </si>
  <si>
    <t>Pro Arena 748</t>
  </si>
  <si>
    <t>Ultimate Adventure 749</t>
  </si>
  <si>
    <t>Chronicles Strike 750</t>
  </si>
  <si>
    <t>Chronicles Kingdom 751</t>
  </si>
  <si>
    <t>Dark Battle 752</t>
  </si>
  <si>
    <t>Final Arena 753</t>
  </si>
  <si>
    <t>Dark Kingdom 754</t>
  </si>
  <si>
    <t>Extreme Adventure 755</t>
  </si>
  <si>
    <t>Extreme Football 756</t>
  </si>
  <si>
    <t>Champions Strike 757</t>
  </si>
  <si>
    <t>World Football 758</t>
  </si>
  <si>
    <t>Dark War 759</t>
  </si>
  <si>
    <t>Chronicles War 760</t>
  </si>
  <si>
    <t>Champions Strike 761</t>
  </si>
  <si>
    <t>Extreme Racer 762</t>
  </si>
  <si>
    <t>Extreme Heroes 763</t>
  </si>
  <si>
    <t>Legends Arena 764</t>
  </si>
  <si>
    <t>Ultimate Strike 765</t>
  </si>
  <si>
    <t>Extreme Quest 766</t>
  </si>
  <si>
    <t>Final Kingdom 767</t>
  </si>
  <si>
    <t>Champions Battle 768</t>
  </si>
  <si>
    <t>Legends Racer 769</t>
  </si>
  <si>
    <t>World Adventure 770</t>
  </si>
  <si>
    <t>Warriors Quest 771</t>
  </si>
  <si>
    <t>Champions Heroes 772</t>
  </si>
  <si>
    <t>Pro Strike 773</t>
  </si>
  <si>
    <t>Extreme Football 774</t>
  </si>
  <si>
    <t>Champions Football 775</t>
  </si>
  <si>
    <t>Extreme Arena 776</t>
  </si>
  <si>
    <t>Champions Adventure 777</t>
  </si>
  <si>
    <t>Champions Quest 778</t>
  </si>
  <si>
    <t>World Quest 779</t>
  </si>
  <si>
    <t>Chronicles Heroes 780</t>
  </si>
  <si>
    <t>Final Arena 781</t>
  </si>
  <si>
    <t>Dark Battle 782</t>
  </si>
  <si>
    <t>Extreme Arena 783</t>
  </si>
  <si>
    <t>Ultimate Heroes 784</t>
  </si>
  <si>
    <t>Chronicles Arena 785</t>
  </si>
  <si>
    <t>Extreme Arena 786</t>
  </si>
  <si>
    <t>Ultimate Racer 787</t>
  </si>
  <si>
    <t>Warriors Arena 788</t>
  </si>
  <si>
    <t>Pro Heroes 789</t>
  </si>
  <si>
    <t>Champions Football 790</t>
  </si>
  <si>
    <t>Champions Racer 791</t>
  </si>
  <si>
    <t>Extreme Battle 792</t>
  </si>
  <si>
    <t>Chronicles Racer 793</t>
  </si>
  <si>
    <t>Extreme Quest 794</t>
  </si>
  <si>
    <t>Ultimate Heroes 795</t>
  </si>
  <si>
    <t>Chronicles Racer 796</t>
  </si>
  <si>
    <t>World War 797</t>
  </si>
  <si>
    <t>Champions Adventure 798</t>
  </si>
  <si>
    <t>Dark Racer 799</t>
  </si>
  <si>
    <t>Final Strike 800</t>
  </si>
  <si>
    <t>Chronicles Kingdom 801</t>
  </si>
  <si>
    <t>Champions Strike 802</t>
  </si>
  <si>
    <t>Final Kingdom 803</t>
  </si>
  <si>
    <t>Champions Strike 804</t>
  </si>
  <si>
    <t>Warriors War 805</t>
  </si>
  <si>
    <t>Ultimate Football 806</t>
  </si>
  <si>
    <t>Champions Heroes 807</t>
  </si>
  <si>
    <t>Chronicles Strike 808</t>
  </si>
  <si>
    <t>Warriors Heroes 809</t>
  </si>
  <si>
    <t>Champions War 810</t>
  </si>
  <si>
    <t>World Heroes 811</t>
  </si>
  <si>
    <t>Ultimate Quest 812</t>
  </si>
  <si>
    <t>Legends Football 813</t>
  </si>
  <si>
    <t>Chronicles Kingdom 814</t>
  </si>
  <si>
    <t>Dark Quest 815</t>
  </si>
  <si>
    <t>Legends Football 816</t>
  </si>
  <si>
    <t>Champions Heroes 817</t>
  </si>
  <si>
    <t>Legends War 818</t>
  </si>
  <si>
    <t>Champions Heroes 819</t>
  </si>
  <si>
    <t>Pro Quest 820</t>
  </si>
  <si>
    <t>Warriors Heroes 821</t>
  </si>
  <si>
    <t>Extreme Football 822</t>
  </si>
  <si>
    <t>Champions Kingdom 823</t>
  </si>
  <si>
    <t>Dark Adventure 824</t>
  </si>
  <si>
    <t>Legends Football 825</t>
  </si>
  <si>
    <t>World Battle 826</t>
  </si>
  <si>
    <t>Extreme Kingdom 827</t>
  </si>
  <si>
    <t>Extreme Battle 828</t>
  </si>
  <si>
    <t>Dark Heroes 829</t>
  </si>
  <si>
    <t>Chronicles Quest 830</t>
  </si>
  <si>
    <t>Chronicles Racer 831</t>
  </si>
  <si>
    <t>Dark Kingdom 832</t>
  </si>
  <si>
    <t>Final Quest 833</t>
  </si>
  <si>
    <t>Legends Football 834</t>
  </si>
  <si>
    <t>Pro Arena 835</t>
  </si>
  <si>
    <t>Extreme Strike 836</t>
  </si>
  <si>
    <t>World Racer 837</t>
  </si>
  <si>
    <t>Chronicles Arena 838</t>
  </si>
  <si>
    <t>Pro Kingdom 839</t>
  </si>
  <si>
    <t>Warriors Kingdom 840</t>
  </si>
  <si>
    <t>Pro Arena 841</t>
  </si>
  <si>
    <t>Pro Racer 842</t>
  </si>
  <si>
    <t>World Quest 843</t>
  </si>
  <si>
    <t>Warriors Battle 844</t>
  </si>
  <si>
    <t>Dark Kingdom 845</t>
  </si>
  <si>
    <t>Pro Heroes 846</t>
  </si>
  <si>
    <t>Final Strike 847</t>
  </si>
  <si>
    <t>World Quest 848</t>
  </si>
  <si>
    <t>Legends Battle 849</t>
  </si>
  <si>
    <t>Extreme Battle 850</t>
  </si>
  <si>
    <t>Pro Kingdom 851</t>
  </si>
  <si>
    <t>Final Heroes 852</t>
  </si>
  <si>
    <t>Legends Battle 853</t>
  </si>
  <si>
    <t>Warriors Football 854</t>
  </si>
  <si>
    <t>Ultimate Adventure 855</t>
  </si>
  <si>
    <t>Ultimate Battle 856</t>
  </si>
  <si>
    <t>Warriors Kingdom 857</t>
  </si>
  <si>
    <t>Dark Adventure 858</t>
  </si>
  <si>
    <t>Final Quest 859</t>
  </si>
  <si>
    <t>Extreme Heroes 860</t>
  </si>
  <si>
    <t>Warriors Kingdom 861</t>
  </si>
  <si>
    <t>Legends Racer 862</t>
  </si>
  <si>
    <t>World Battle 863</t>
  </si>
  <si>
    <t>Ultimate Racer 864</t>
  </si>
  <si>
    <t>Ultimate Kingdom 865</t>
  </si>
  <si>
    <t>Chronicles War 866</t>
  </si>
  <si>
    <t>Dark Football 867</t>
  </si>
  <si>
    <t>Champions Football 868</t>
  </si>
  <si>
    <t>Warriors Strike 869</t>
  </si>
  <si>
    <t>Chronicles Strike 870</t>
  </si>
  <si>
    <t>Legends Football 871</t>
  </si>
  <si>
    <t>Extreme Adventure 872</t>
  </si>
  <si>
    <t>Dark Adventure 873</t>
  </si>
  <si>
    <t>Warriors Strike 874</t>
  </si>
  <si>
    <t>Final Kingdom 875</t>
  </si>
  <si>
    <t>Pro Arena 876</t>
  </si>
  <si>
    <t>Ultimate Football 877</t>
  </si>
  <si>
    <t>Pro Kingdom 878</t>
  </si>
  <si>
    <t>Champions Strike 879</t>
  </si>
  <si>
    <t>Final Football 880</t>
  </si>
  <si>
    <t>Pro Kingdom 881</t>
  </si>
  <si>
    <t>World Heroes 882</t>
  </si>
  <si>
    <t>Final Racer 883</t>
  </si>
  <si>
    <t>Chronicles Heroes 884</t>
  </si>
  <si>
    <t>Ultimate Arena 885</t>
  </si>
  <si>
    <t>Dark Kingdom 886</t>
  </si>
  <si>
    <t>Dark Quest 887</t>
  </si>
  <si>
    <t>Ultimate Battle 888</t>
  </si>
  <si>
    <t>Legends Football 889</t>
  </si>
  <si>
    <t>Final Strike 890</t>
  </si>
  <si>
    <t>Dark Adventure 891</t>
  </si>
  <si>
    <t>Ultimate Arena 892</t>
  </si>
  <si>
    <t>Champions Racer 893</t>
  </si>
  <si>
    <t>World Battle 894</t>
  </si>
  <si>
    <t>Final Battle 895</t>
  </si>
  <si>
    <t>Warriors Heroes 896</t>
  </si>
  <si>
    <t>Pro Heroes 897</t>
  </si>
  <si>
    <t>Chronicles Racer 898</t>
  </si>
  <si>
    <t>World War 899</t>
  </si>
  <si>
    <t>Chronicles Quest 900</t>
  </si>
  <si>
    <t>Extreme Racer 901</t>
  </si>
  <si>
    <t>Chronicles Strike 902</t>
  </si>
  <si>
    <t>Dark Kingdom 903</t>
  </si>
  <si>
    <t>Final Arena 904</t>
  </si>
  <si>
    <t>Ultimate Heroes 905</t>
  </si>
  <si>
    <t>Chronicles Battle 906</t>
  </si>
  <si>
    <t>Chronicles Racer 907</t>
  </si>
  <si>
    <t>Ultimate Football 908</t>
  </si>
  <si>
    <t>Warriors Racer 909</t>
  </si>
  <si>
    <t>Champions Football 910</t>
  </si>
  <si>
    <t>Champions Football 911</t>
  </si>
  <si>
    <t>Chronicles Heroes 912</t>
  </si>
  <si>
    <t>Ultimate Strike 913</t>
  </si>
  <si>
    <t>Champions Adventure 914</t>
  </si>
  <si>
    <t>Extreme Adventure 915</t>
  </si>
  <si>
    <t>World Strike 916</t>
  </si>
  <si>
    <t>Pro Strike 917</t>
  </si>
  <si>
    <t>Champions Heroes 918</t>
  </si>
  <si>
    <t>Dark Quest 919</t>
  </si>
  <si>
    <t>Final Football 920</t>
  </si>
  <si>
    <t>Final Racer 921</t>
  </si>
  <si>
    <t>Final Adventure 922</t>
  </si>
  <si>
    <t>Champions Kingdom 923</t>
  </si>
  <si>
    <t>Pro Racer 924</t>
  </si>
  <si>
    <t>World War 925</t>
  </si>
  <si>
    <t>Ultimate Football 926</t>
  </si>
  <si>
    <t>World Kingdom 927</t>
  </si>
  <si>
    <t>Final Strike 928</t>
  </si>
  <si>
    <t>Final Quest 929</t>
  </si>
  <si>
    <t>Legends Strike 930</t>
  </si>
  <si>
    <t>Legends Battle 931</t>
  </si>
  <si>
    <t>World Racer 932</t>
  </si>
  <si>
    <t>Pro Kingdom 933</t>
  </si>
  <si>
    <t>Extreme Arena 934</t>
  </si>
  <si>
    <t>World Arena 935</t>
  </si>
  <si>
    <t>Dark Heroes 936</t>
  </si>
  <si>
    <t>Chronicles Strike 937</t>
  </si>
  <si>
    <t>Dark War 938</t>
  </si>
  <si>
    <t>Ultimate War 939</t>
  </si>
  <si>
    <t>Ultimate Racer 940</t>
  </si>
  <si>
    <t>Pro Arena 941</t>
  </si>
  <si>
    <t>World Quest 942</t>
  </si>
  <si>
    <t>Warriors Racer 943</t>
  </si>
  <si>
    <t>Pro Kingdom 944</t>
  </si>
  <si>
    <t>Pro Heroes 945</t>
  </si>
  <si>
    <t>Chronicles Strike 946</t>
  </si>
  <si>
    <t>Ultimate Quest 947</t>
  </si>
  <si>
    <t>Dark Kingdom 948</t>
  </si>
  <si>
    <t>Extreme War 949</t>
  </si>
  <si>
    <t>Dark Adventure 950</t>
  </si>
  <si>
    <t>Champions Kingdom 951</t>
  </si>
  <si>
    <t>Legends Heroes 952</t>
  </si>
  <si>
    <t>Legends Heroes 953</t>
  </si>
  <si>
    <t>Legends Quest 954</t>
  </si>
  <si>
    <t>Extreme Strike 955</t>
  </si>
  <si>
    <t>Champions Quest 956</t>
  </si>
  <si>
    <t>Legends Football 957</t>
  </si>
  <si>
    <t>Pro Quest 958</t>
  </si>
  <si>
    <t>World Arena 959</t>
  </si>
  <si>
    <t>Legends Football 960</t>
  </si>
  <si>
    <t>World Battle 961</t>
  </si>
  <si>
    <t>Dark Arena 962</t>
  </si>
  <si>
    <t>Champions Kingdom 963</t>
  </si>
  <si>
    <t>Final Adventure 964</t>
  </si>
  <si>
    <t>Dark Football 965</t>
  </si>
  <si>
    <t>Warriors Battle 966</t>
  </si>
  <si>
    <t>Pro Arena 967</t>
  </si>
  <si>
    <t>Pro Kingdom 968</t>
  </si>
  <si>
    <t>Dark Racer 969</t>
  </si>
  <si>
    <t>Dark Football 970</t>
  </si>
  <si>
    <t>Dark Heroes 971</t>
  </si>
  <si>
    <t>Dark Football 972</t>
  </si>
  <si>
    <t>Final Battle 973</t>
  </si>
  <si>
    <t>Warriors Adventure 974</t>
  </si>
  <si>
    <t>Dark Football 975</t>
  </si>
  <si>
    <t>Legends Heroes 976</t>
  </si>
  <si>
    <t>Ultimate Kingdom 977</t>
  </si>
  <si>
    <t>Chronicles Arena 978</t>
  </si>
  <si>
    <t>Final Football 979</t>
  </si>
  <si>
    <t>Ultimate Heroes 980</t>
  </si>
  <si>
    <t>Champions Football 981</t>
  </si>
  <si>
    <t>Chronicles Heroes 982</t>
  </si>
  <si>
    <t>Final Arena 983</t>
  </si>
  <si>
    <t>Dark Racer 984</t>
  </si>
  <si>
    <t>World Quest 985</t>
  </si>
  <si>
    <t>Extreme Adventure 986</t>
  </si>
  <si>
    <t>Chronicles Arena 987</t>
  </si>
  <si>
    <t>Pro Heroes 988</t>
  </si>
  <si>
    <t>World Strike 989</t>
  </si>
  <si>
    <t>Pro Strike 990</t>
  </si>
  <si>
    <t>Champions War 991</t>
  </si>
  <si>
    <t>Ultimate Football 992</t>
  </si>
  <si>
    <t>Dark Arena 993</t>
  </si>
  <si>
    <t>Final Adventure 994</t>
  </si>
  <si>
    <t>World Arena 995</t>
  </si>
  <si>
    <t>Warriors Strike 996</t>
  </si>
  <si>
    <t>Chronicles Adventure 997</t>
  </si>
  <si>
    <t>Ultimate Strike 998</t>
  </si>
  <si>
    <t>Champions Quest 999</t>
  </si>
  <si>
    <t>Pro Adventure 1000</t>
  </si>
  <si>
    <t>Ratings by Category</t>
  </si>
  <si>
    <t>Row Labels</t>
  </si>
  <si>
    <t>Grand Total</t>
  </si>
  <si>
    <t>Sum of Global_Sales_Millions</t>
  </si>
  <si>
    <t>Column Labels</t>
  </si>
  <si>
    <t>Sum of North_America_Sales_Millions</t>
  </si>
  <si>
    <t>Sum of Europe_Sales_Millions</t>
  </si>
  <si>
    <t>Sum of Japan_Sales_Millions</t>
  </si>
  <si>
    <t>Sum of Other_Sales_Millions</t>
  </si>
  <si>
    <t>TOTAL GAMES</t>
  </si>
  <si>
    <t>TOTAL SALES</t>
  </si>
  <si>
    <t>AVERAGE SALES</t>
  </si>
  <si>
    <t>TOP GAME</t>
  </si>
  <si>
    <t>TOP GENRE</t>
  </si>
  <si>
    <t>TOP PLATFORM</t>
  </si>
  <si>
    <t>Count of Game_Title</t>
  </si>
  <si>
    <t>Average of Global_Sales_Millions</t>
  </si>
  <si>
    <t>Total count of games</t>
  </si>
  <si>
    <t>Sum of sales</t>
  </si>
  <si>
    <t>average Sales</t>
  </si>
  <si>
    <t>Top Game</t>
  </si>
  <si>
    <t>TopGener</t>
  </si>
  <si>
    <t>id</t>
  </si>
  <si>
    <t>title</t>
  </si>
  <si>
    <t>Rating_Category</t>
  </si>
  <si>
    <t>Excellent</t>
  </si>
  <si>
    <t>Good</t>
  </si>
  <si>
    <t>Average</t>
  </si>
  <si>
    <t>Poor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</si>
</sst>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quot;M&quot;"/>
  </numFmts>
  <fonts count="3" x14ac:knownFonts="1">
    <font>
      <sz val="11"/>
      <color theme="1"/>
      <name val="Calibri"/>
      <family val="2"/>
      <scheme val="minor"/>
    </font>
    <font>
      <b/>
      <sz val="11"/>
      <name val="Calibri"/>
    </font>
    <font>
      <b/>
      <sz val="13"/>
      <color theme="3"/>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ck">
        <color theme="4" tint="0.499984740745262"/>
      </bottom>
      <diagonal/>
    </border>
  </borders>
  <cellStyleXfs count="2">
    <xf numFmtId="0" fontId="0" fillId="0" borderId="0"/>
    <xf numFmtId="0" fontId="2" fillId="0" borderId="2" applyNumberFormat="0" applyFill="0" applyAlignment="0" applyProtection="0"/>
  </cellStyleXfs>
  <cellXfs count="14">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164" fontId="0" fillId="0" borderId="0" xfId="0" applyNumberFormat="1"/>
    <xf numFmtId="0" fontId="2" fillId="0" borderId="2" xfId="1" applyAlignment="1">
      <alignment horizontal="center" vertical="top"/>
    </xf>
    <xf numFmtId="2" fontId="2" fillId="0" borderId="2" xfId="1" applyNumberFormat="1" applyAlignment="1">
      <alignment horizontal="center" vertical="top"/>
    </xf>
    <xf numFmtId="164" fontId="2" fillId="0" borderId="2" xfId="1" applyNumberFormat="1" applyAlignment="1">
      <alignment horizontal="center" vertical="top"/>
    </xf>
    <xf numFmtId="0" fontId="2" fillId="0" borderId="2" xfId="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2">
    <cellStyle name="Heading 2" xfId="1" builtinId="17"/>
    <cellStyle name="Normal" xfId="0" builtinId="0"/>
  </cellStyles>
  <dxfs count="24">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numFmt numFmtId="164" formatCode="\$0.00\ &quot;M&quot;"/>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00\ &quot;M&quot;"/>
      <alignment horizontal="center" vertical="bottom" textRotation="0" wrapText="0" indent="0" justifyLastLine="0" shrinkToFit="0" readingOrder="0"/>
    </dxf>
    <dxf>
      <numFmt numFmtId="164" formatCode="\$0.00\ &quot;M&quot;"/>
      <alignment horizontal="center" vertical="bottom" textRotation="0" wrapText="0" indent="0" justifyLastLine="0" shrinkToFit="0" readingOrder="0"/>
    </dxf>
    <dxf>
      <numFmt numFmtId="164" formatCode="\$0.00\ &quot;M&quot;"/>
      <alignment horizontal="center" vertical="bottom" textRotation="0" wrapText="0" indent="0" justifyLastLine="0" shrinkToFit="0" readingOrder="0"/>
    </dxf>
    <dxf>
      <numFmt numFmtId="164" formatCode="\$0.00\ &quot;M&quot;"/>
      <alignment horizontal="center" vertical="bottom" textRotation="0" wrapText="0" indent="0" justifyLastLine="0" shrinkToFit="0" readingOrder="0"/>
    </dxf>
    <dxf>
      <numFmt numFmtId="164" formatCode="\$0.00\ &quot;M&quo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alignment horizontal="center" vertical="top" textRotation="0" wrapText="0" indent="0" justifyLastLine="0" shrinkToFit="0" readingOrder="0"/>
    </dxf>
    <dxf>
      <fill>
        <patternFill>
          <bgColor theme="3" tint="-0.24994659260841701"/>
        </patternFill>
      </fill>
    </dxf>
    <dxf>
      <font>
        <color theme="0"/>
      </font>
      <fill>
        <patternFill>
          <bgColor rgb="FF0D1730"/>
        </patternFill>
      </fill>
    </dxf>
  </dxfs>
  <tableStyles count="1" defaultTableStyle="TableStyleMedium9" defaultPivotStyle="PivotStyleLight16">
    <tableStyle name="Slicer Style 1" pivot="0" table="0" count="4" xr9:uid="{70D36566-2775-41B8-BA0F-6772004D5661}">
      <tableStyleElement type="wholeTable" dxfId="23"/>
      <tableStyleElement type="headerRow" dxfId="22"/>
    </tableStyle>
  </tableStyles>
  <colors>
    <mruColors>
      <color rgb="FF0D1730"/>
      <color rgb="FFFFFFFF"/>
      <color rgb="FFAAB7D4"/>
      <color rgb="FF00A8FF"/>
      <color rgb="FF1C3D70"/>
      <color rgb="FF0070CC"/>
      <color rgb="FF070B18"/>
      <color rgb="FF10014F"/>
    </mruColors>
  </colors>
  <extLst>
    <ext xmlns:x14="http://schemas.microsoft.com/office/spreadsheetml/2009/9/main" uri="{46F421CA-312F-682f-3DD2-61675219B42D}">
      <x14:dxfs count="2">
        <dxf>
          <fill>
            <patternFill>
              <bgColor rgb="FF1C3D70"/>
            </patternFill>
          </fill>
        </dxf>
        <dxf>
          <fill>
            <patternFill>
              <bgColor rgb="FF0070CC"/>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[PlayStation Dashboard.xlsx]Pivot Tables!PivotTable11</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kumimoji="0" lang="en-IN" sz="2400" b="1" i="0" u="none" strike="noStrike" kern="1200" cap="none" spc="0" normalizeH="0" baseline="0" noProof="0">
                <a:ln>
                  <a:noFill/>
                </a:ln>
                <a:solidFill>
                  <a:srgbClr val="7030A0"/>
                </a:solidFill>
                <a:effectLst/>
                <a:uLnTx/>
                <a:uFillTx/>
                <a:latin typeface="+mn-lt"/>
              </a:rPr>
              <a:t>Top 10 Games by Sales </a:t>
            </a:r>
          </a:p>
          <a:p>
            <a:pPr>
              <a:defRPr/>
            </a:pPr>
            <a:endParaRPr lang="en-US"/>
          </a:p>
        </c:rich>
      </c:tx>
      <c:layout>
        <c:manualLayout>
          <c:xMode val="edge"/>
          <c:yMode val="edge"/>
          <c:x val="0.24309892026969684"/>
          <c:y val="6.517422215426955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rgbClr val="FFFFFF"/>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rgbClr val="FFFFFF"/>
            </a:solid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solidFill>
              <a:srgbClr val="FFFFFF"/>
            </a:solid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solidFill>
              <a:srgbClr val="FFFFFF"/>
            </a:solid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solidFill>
              <a:srgbClr val="FFFFFF"/>
            </a:solid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solidFill>
              <a:srgbClr val="FFFFFF"/>
            </a:solid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solidFill>
              <a:srgbClr val="FFFFFF"/>
            </a:solid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solidFill>
              <a:srgbClr val="FFFFFF"/>
            </a:solid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solidFill>
              <a:srgbClr val="FFFFFF"/>
            </a:solid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solidFill>
              <a:srgbClr val="FFFFFF"/>
            </a:solid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solidFill>
              <a:srgbClr val="FFFFFF"/>
            </a:solid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588971662973266"/>
          <c:y val="0.19635073771118419"/>
          <c:w val="0.53899429487481731"/>
          <c:h val="0.69912269704151053"/>
        </c:manualLayout>
      </c:layout>
      <c:doughnutChart>
        <c:varyColors val="1"/>
        <c:ser>
          <c:idx val="1"/>
          <c:order val="0"/>
          <c:tx>
            <c:strRef>
              <c:f>'Pivot Tables'!$B$89</c:f>
              <c:strCache>
                <c:ptCount val="1"/>
                <c:pt idx="0">
                  <c:v>Total</c:v>
                </c:pt>
              </c:strCache>
            </c:strRef>
          </c:tx>
          <c:spPr>
            <a:ln>
              <a:solidFill>
                <a:srgbClr val="FFFFFF"/>
              </a:solidFill>
            </a:ln>
          </c:spPr>
          <c:dPt>
            <c:idx val="0"/>
            <c:bubble3D val="0"/>
            <c:spPr>
              <a:solidFill>
                <a:schemeClr val="accent1"/>
              </a:solidFill>
              <a:ln>
                <a:solidFill>
                  <a:srgbClr val="FFFFFF"/>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4D4-42E5-AEA3-8AA85A365190}"/>
              </c:ext>
            </c:extLst>
          </c:dPt>
          <c:dPt>
            <c:idx val="1"/>
            <c:bubble3D val="0"/>
            <c:spPr>
              <a:solidFill>
                <a:schemeClr val="accent2"/>
              </a:solidFill>
              <a:ln>
                <a:solidFill>
                  <a:srgbClr val="FFFFFF"/>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4D4-42E5-AEA3-8AA85A365190}"/>
              </c:ext>
            </c:extLst>
          </c:dPt>
          <c:dPt>
            <c:idx val="2"/>
            <c:bubble3D val="0"/>
            <c:spPr>
              <a:solidFill>
                <a:schemeClr val="accent3"/>
              </a:solidFill>
              <a:ln>
                <a:solidFill>
                  <a:srgbClr val="FFFFFF"/>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4D4-42E5-AEA3-8AA85A365190}"/>
              </c:ext>
            </c:extLst>
          </c:dPt>
          <c:dPt>
            <c:idx val="3"/>
            <c:bubble3D val="0"/>
            <c:spPr>
              <a:solidFill>
                <a:schemeClr val="accent4"/>
              </a:solidFill>
              <a:ln>
                <a:solidFill>
                  <a:srgbClr val="FFFFFF"/>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4D4-42E5-AEA3-8AA85A365190}"/>
              </c:ext>
            </c:extLst>
          </c:dPt>
          <c:dPt>
            <c:idx val="4"/>
            <c:bubble3D val="0"/>
            <c:spPr>
              <a:solidFill>
                <a:schemeClr val="accent5"/>
              </a:solidFill>
              <a:ln>
                <a:solidFill>
                  <a:srgbClr val="FFFFFF"/>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4D4-42E5-AEA3-8AA85A365190}"/>
              </c:ext>
            </c:extLst>
          </c:dPt>
          <c:dPt>
            <c:idx val="5"/>
            <c:bubble3D val="0"/>
            <c:spPr>
              <a:solidFill>
                <a:schemeClr val="accent6"/>
              </a:solidFill>
              <a:ln>
                <a:solidFill>
                  <a:srgbClr val="FFFFFF"/>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44D4-42E5-AEA3-8AA85A365190}"/>
              </c:ext>
            </c:extLst>
          </c:dPt>
          <c:dPt>
            <c:idx val="6"/>
            <c:bubble3D val="0"/>
            <c:spPr>
              <a:solidFill>
                <a:schemeClr val="accent1">
                  <a:lumMod val="60000"/>
                </a:schemeClr>
              </a:solidFill>
              <a:ln>
                <a:solidFill>
                  <a:srgbClr val="FFFFFF"/>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44D4-42E5-AEA3-8AA85A365190}"/>
              </c:ext>
            </c:extLst>
          </c:dPt>
          <c:dPt>
            <c:idx val="7"/>
            <c:bubble3D val="0"/>
            <c:spPr>
              <a:solidFill>
                <a:schemeClr val="accent2">
                  <a:lumMod val="60000"/>
                </a:schemeClr>
              </a:solidFill>
              <a:ln>
                <a:solidFill>
                  <a:srgbClr val="FFFFFF"/>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44D4-42E5-AEA3-8AA85A365190}"/>
              </c:ext>
            </c:extLst>
          </c:dPt>
          <c:dPt>
            <c:idx val="8"/>
            <c:bubble3D val="0"/>
            <c:spPr>
              <a:solidFill>
                <a:schemeClr val="accent3">
                  <a:lumMod val="60000"/>
                </a:schemeClr>
              </a:solidFill>
              <a:ln>
                <a:solidFill>
                  <a:srgbClr val="FFFFFF"/>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44D4-42E5-AEA3-8AA85A365190}"/>
              </c:ext>
            </c:extLst>
          </c:dPt>
          <c:dPt>
            <c:idx val="9"/>
            <c:bubble3D val="0"/>
            <c:spPr>
              <a:solidFill>
                <a:schemeClr val="accent4">
                  <a:lumMod val="60000"/>
                </a:schemeClr>
              </a:solidFill>
              <a:ln>
                <a:solidFill>
                  <a:srgbClr val="FFFFFF"/>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44D4-42E5-AEA3-8AA85A3651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Tables'!$A$90:$A$120</c:f>
              <c:multiLvlStrCache>
                <c:ptCount val="10"/>
                <c:lvl>
                  <c:pt idx="0">
                    <c:v>Action</c:v>
                  </c:pt>
                  <c:pt idx="1">
                    <c:v>Adventure</c:v>
                  </c:pt>
                  <c:pt idx="2">
                    <c:v>Sports</c:v>
                  </c:pt>
                  <c:pt idx="3">
                    <c:v>Sports</c:v>
                  </c:pt>
                  <c:pt idx="4">
                    <c:v>Action</c:v>
                  </c:pt>
                  <c:pt idx="5">
                    <c:v>Shooter</c:v>
                  </c:pt>
                  <c:pt idx="6">
                    <c:v>Strategy</c:v>
                  </c:pt>
                  <c:pt idx="7">
                    <c:v>Strategy</c:v>
                  </c:pt>
                  <c:pt idx="8">
                    <c:v>Action</c:v>
                  </c:pt>
                  <c:pt idx="9">
                    <c:v>Sports</c:v>
                  </c:pt>
                </c:lvl>
                <c:lvl>
                  <c:pt idx="0">
                    <c:v>PS4</c:v>
                  </c:pt>
                  <c:pt idx="1">
                    <c:v>PS4</c:v>
                  </c:pt>
                  <c:pt idx="2">
                    <c:v>PS4</c:v>
                  </c:pt>
                  <c:pt idx="3">
                    <c:v>PS5</c:v>
                  </c:pt>
                  <c:pt idx="4">
                    <c:v>PS4</c:v>
                  </c:pt>
                  <c:pt idx="5">
                    <c:v>PS2</c:v>
                  </c:pt>
                  <c:pt idx="6">
                    <c:v>PS2</c:v>
                  </c:pt>
                  <c:pt idx="7">
                    <c:v>PS Vita</c:v>
                  </c:pt>
                  <c:pt idx="8">
                    <c:v>PS3</c:v>
                  </c:pt>
                  <c:pt idx="9">
                    <c:v>PSP</c:v>
                  </c:pt>
                </c:lvl>
                <c:lvl>
                  <c:pt idx="0">
                    <c:v>Chronicles Kingdom 424</c:v>
                  </c:pt>
                  <c:pt idx="1">
                    <c:v>Chronicles Strike 750</c:v>
                  </c:pt>
                  <c:pt idx="2">
                    <c:v>Dark Football 728</c:v>
                  </c:pt>
                  <c:pt idx="3">
                    <c:v>Dark Kingdom 647</c:v>
                  </c:pt>
                  <c:pt idx="4">
                    <c:v>God of War</c:v>
                  </c:pt>
                  <c:pt idx="5">
                    <c:v>Legends Football 960</c:v>
                  </c:pt>
                  <c:pt idx="6">
                    <c:v>Pro Arena 841</c:v>
                  </c:pt>
                  <c:pt idx="7">
                    <c:v>Warriors War 194</c:v>
                  </c:pt>
                  <c:pt idx="8">
                    <c:v>World Adventure 495</c:v>
                  </c:pt>
                  <c:pt idx="9">
                    <c:v>World Football 100</c:v>
                  </c:pt>
                </c:lvl>
              </c:multiLvlStrCache>
            </c:multiLvlStrRef>
          </c:cat>
          <c:val>
            <c:numRef>
              <c:f>'Pivot Tables'!$B$90:$B$120</c:f>
              <c:numCache>
                <c:formatCode>\$0.00\ "M"</c:formatCode>
                <c:ptCount val="10"/>
                <c:pt idx="0">
                  <c:v>7.21</c:v>
                </c:pt>
                <c:pt idx="1">
                  <c:v>10.02</c:v>
                </c:pt>
                <c:pt idx="2">
                  <c:v>13.3</c:v>
                </c:pt>
                <c:pt idx="3">
                  <c:v>7.07</c:v>
                </c:pt>
                <c:pt idx="4">
                  <c:v>10.18</c:v>
                </c:pt>
                <c:pt idx="5">
                  <c:v>5.6</c:v>
                </c:pt>
                <c:pt idx="6">
                  <c:v>6</c:v>
                </c:pt>
                <c:pt idx="7">
                  <c:v>5.86</c:v>
                </c:pt>
                <c:pt idx="8">
                  <c:v>15.04</c:v>
                </c:pt>
                <c:pt idx="9">
                  <c:v>10.61</c:v>
                </c:pt>
              </c:numCache>
            </c:numRef>
          </c:val>
          <c:extLst>
            <c:ext xmlns:c16="http://schemas.microsoft.com/office/drawing/2014/chart" uri="{C3380CC4-5D6E-409C-BE32-E72D297353CC}">
              <c16:uniqueId val="{0000001A-3195-428C-84E0-D72BDA0C739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402164175585838"/>
          <c:y val="0.23890986927604924"/>
          <c:w val="0.23005021453156682"/>
          <c:h val="0.6466074459139209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[PlayStation Dashboard.xlsx]Pivot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solidFill>
                  <a:srgbClr val="7030A0"/>
                </a:solidFill>
              </a:rPr>
              <a:t>Global</a:t>
            </a:r>
            <a:r>
              <a:rPr lang="en-IN" sz="2400" b="1" baseline="0">
                <a:solidFill>
                  <a:srgbClr val="7030A0"/>
                </a:solidFill>
              </a:rPr>
              <a:t> Sales by Platform &amp; Genre</a:t>
            </a:r>
            <a:endParaRPr lang="en-IN" sz="2400" b="1">
              <a:solidFill>
                <a:srgbClr val="7030A0"/>
              </a:solidFill>
            </a:endParaRPr>
          </a:p>
        </c:rich>
      </c:tx>
      <c:layout>
        <c:manualLayout>
          <c:xMode val="edge"/>
          <c:yMode val="edge"/>
          <c:x val="0.1269091472975068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67880218473785"/>
          <c:y val="0.17757354330708661"/>
          <c:w val="0.76554489222763999"/>
          <c:h val="0.69870236220472437"/>
        </c:manualLayout>
      </c:layout>
      <c:barChart>
        <c:barDir val="col"/>
        <c:grouping val="stacked"/>
        <c:varyColors val="0"/>
        <c:ser>
          <c:idx val="0"/>
          <c:order val="0"/>
          <c:tx>
            <c:strRef>
              <c:f>'Pivot Tables'!$B$15:$B$16</c:f>
              <c:strCache>
                <c:ptCount val="1"/>
                <c:pt idx="0">
                  <c:v>Action</c:v>
                </c:pt>
              </c:strCache>
            </c:strRef>
          </c:tx>
          <c:spPr>
            <a:solidFill>
              <a:schemeClr val="accent1"/>
            </a:solidFill>
            <a:ln>
              <a:noFill/>
            </a:ln>
            <a:effectLst/>
          </c:spPr>
          <c:invertIfNegative val="0"/>
          <c:cat>
            <c:strRef>
              <c:f>'Pivot Tables'!$A$17:$A$24</c:f>
              <c:strCache>
                <c:ptCount val="7"/>
                <c:pt idx="0">
                  <c:v>PS Vita</c:v>
                </c:pt>
                <c:pt idx="1">
                  <c:v>PS1</c:v>
                </c:pt>
                <c:pt idx="2">
                  <c:v>PS2</c:v>
                </c:pt>
                <c:pt idx="3">
                  <c:v>PS3</c:v>
                </c:pt>
                <c:pt idx="4">
                  <c:v>PS4</c:v>
                </c:pt>
                <c:pt idx="5">
                  <c:v>PS5</c:v>
                </c:pt>
                <c:pt idx="6">
                  <c:v>PSP</c:v>
                </c:pt>
              </c:strCache>
            </c:strRef>
          </c:cat>
          <c:val>
            <c:numRef>
              <c:f>'Pivot Tables'!$B$17:$B$24</c:f>
              <c:numCache>
                <c:formatCode>\$0.00\ "M"</c:formatCode>
                <c:ptCount val="7"/>
                <c:pt idx="0">
                  <c:v>6.16</c:v>
                </c:pt>
                <c:pt idx="1">
                  <c:v>7.3999999999999977</c:v>
                </c:pt>
                <c:pt idx="2">
                  <c:v>11.709999999999999</c:v>
                </c:pt>
                <c:pt idx="3">
                  <c:v>28.51</c:v>
                </c:pt>
                <c:pt idx="4">
                  <c:v>40.769999999999996</c:v>
                </c:pt>
                <c:pt idx="5">
                  <c:v>21.090000000000003</c:v>
                </c:pt>
                <c:pt idx="6">
                  <c:v>4.4800000000000004</c:v>
                </c:pt>
              </c:numCache>
            </c:numRef>
          </c:val>
          <c:extLst>
            <c:ext xmlns:c16="http://schemas.microsoft.com/office/drawing/2014/chart" uri="{C3380CC4-5D6E-409C-BE32-E72D297353CC}">
              <c16:uniqueId val="{00000000-A9CD-4E35-A1B1-90F664C5B9F9}"/>
            </c:ext>
          </c:extLst>
        </c:ser>
        <c:ser>
          <c:idx val="1"/>
          <c:order val="1"/>
          <c:tx>
            <c:strRef>
              <c:f>'Pivot Tables'!$C$15:$C$16</c:f>
              <c:strCache>
                <c:ptCount val="1"/>
                <c:pt idx="0">
                  <c:v>Adventure</c:v>
                </c:pt>
              </c:strCache>
            </c:strRef>
          </c:tx>
          <c:spPr>
            <a:solidFill>
              <a:schemeClr val="accent2"/>
            </a:solidFill>
            <a:ln>
              <a:noFill/>
            </a:ln>
            <a:effectLst/>
          </c:spPr>
          <c:invertIfNegative val="0"/>
          <c:cat>
            <c:strRef>
              <c:f>'Pivot Tables'!$A$17:$A$24</c:f>
              <c:strCache>
                <c:ptCount val="7"/>
                <c:pt idx="0">
                  <c:v>PS Vita</c:v>
                </c:pt>
                <c:pt idx="1">
                  <c:v>PS1</c:v>
                </c:pt>
                <c:pt idx="2">
                  <c:v>PS2</c:v>
                </c:pt>
                <c:pt idx="3">
                  <c:v>PS3</c:v>
                </c:pt>
                <c:pt idx="4">
                  <c:v>PS4</c:v>
                </c:pt>
                <c:pt idx="5">
                  <c:v>PS5</c:v>
                </c:pt>
                <c:pt idx="6">
                  <c:v>PSP</c:v>
                </c:pt>
              </c:strCache>
            </c:strRef>
          </c:cat>
          <c:val>
            <c:numRef>
              <c:f>'Pivot Tables'!$C$17:$C$24</c:f>
              <c:numCache>
                <c:formatCode>\$0.00\ "M"</c:formatCode>
                <c:ptCount val="7"/>
                <c:pt idx="0">
                  <c:v>3.91</c:v>
                </c:pt>
                <c:pt idx="1">
                  <c:v>3.51</c:v>
                </c:pt>
                <c:pt idx="2">
                  <c:v>11.469999999999999</c:v>
                </c:pt>
                <c:pt idx="3">
                  <c:v>22.319999999999997</c:v>
                </c:pt>
                <c:pt idx="4">
                  <c:v>30.279999999999998</c:v>
                </c:pt>
                <c:pt idx="5">
                  <c:v>15.119999999999997</c:v>
                </c:pt>
                <c:pt idx="6">
                  <c:v>8.11</c:v>
                </c:pt>
              </c:numCache>
            </c:numRef>
          </c:val>
          <c:extLst>
            <c:ext xmlns:c16="http://schemas.microsoft.com/office/drawing/2014/chart" uri="{C3380CC4-5D6E-409C-BE32-E72D297353CC}">
              <c16:uniqueId val="{0000006F-A9CD-4E35-A1B1-90F664C5B9F9}"/>
            </c:ext>
          </c:extLst>
        </c:ser>
        <c:ser>
          <c:idx val="2"/>
          <c:order val="2"/>
          <c:tx>
            <c:strRef>
              <c:f>'Pivot Tables'!$D$15:$D$16</c:f>
              <c:strCache>
                <c:ptCount val="1"/>
                <c:pt idx="0">
                  <c:v>Fighting</c:v>
                </c:pt>
              </c:strCache>
            </c:strRef>
          </c:tx>
          <c:spPr>
            <a:solidFill>
              <a:schemeClr val="accent3"/>
            </a:solidFill>
            <a:ln>
              <a:noFill/>
            </a:ln>
            <a:effectLst/>
          </c:spPr>
          <c:invertIfNegative val="0"/>
          <c:cat>
            <c:strRef>
              <c:f>'Pivot Tables'!$A$17:$A$24</c:f>
              <c:strCache>
                <c:ptCount val="7"/>
                <c:pt idx="0">
                  <c:v>PS Vita</c:v>
                </c:pt>
                <c:pt idx="1">
                  <c:v>PS1</c:v>
                </c:pt>
                <c:pt idx="2">
                  <c:v>PS2</c:v>
                </c:pt>
                <c:pt idx="3">
                  <c:v>PS3</c:v>
                </c:pt>
                <c:pt idx="4">
                  <c:v>PS4</c:v>
                </c:pt>
                <c:pt idx="5">
                  <c:v>PS5</c:v>
                </c:pt>
                <c:pt idx="6">
                  <c:v>PSP</c:v>
                </c:pt>
              </c:strCache>
            </c:strRef>
          </c:cat>
          <c:val>
            <c:numRef>
              <c:f>'Pivot Tables'!$D$17:$D$24</c:f>
              <c:numCache>
                <c:formatCode>\$0.00\ "M"</c:formatCode>
                <c:ptCount val="7"/>
                <c:pt idx="0">
                  <c:v>7.1099999999999985</c:v>
                </c:pt>
                <c:pt idx="1">
                  <c:v>8.64</c:v>
                </c:pt>
                <c:pt idx="2">
                  <c:v>15.85</c:v>
                </c:pt>
                <c:pt idx="3">
                  <c:v>20.839999999999996</c:v>
                </c:pt>
                <c:pt idx="4">
                  <c:v>5.1899999999999995</c:v>
                </c:pt>
                <c:pt idx="5">
                  <c:v>10.849999999999998</c:v>
                </c:pt>
                <c:pt idx="6">
                  <c:v>10.750000000000002</c:v>
                </c:pt>
              </c:numCache>
            </c:numRef>
          </c:val>
          <c:extLst>
            <c:ext xmlns:c16="http://schemas.microsoft.com/office/drawing/2014/chart" uri="{C3380CC4-5D6E-409C-BE32-E72D297353CC}">
              <c16:uniqueId val="{00000070-A9CD-4E35-A1B1-90F664C5B9F9}"/>
            </c:ext>
          </c:extLst>
        </c:ser>
        <c:ser>
          <c:idx val="3"/>
          <c:order val="3"/>
          <c:tx>
            <c:strRef>
              <c:f>'Pivot Tables'!$E$15:$E$16</c:f>
              <c:strCache>
                <c:ptCount val="1"/>
                <c:pt idx="0">
                  <c:v>Platform</c:v>
                </c:pt>
              </c:strCache>
            </c:strRef>
          </c:tx>
          <c:spPr>
            <a:solidFill>
              <a:schemeClr val="accent4"/>
            </a:solidFill>
            <a:ln>
              <a:noFill/>
            </a:ln>
            <a:effectLst/>
          </c:spPr>
          <c:invertIfNegative val="0"/>
          <c:cat>
            <c:strRef>
              <c:f>'Pivot Tables'!$A$17:$A$24</c:f>
              <c:strCache>
                <c:ptCount val="7"/>
                <c:pt idx="0">
                  <c:v>PS Vita</c:v>
                </c:pt>
                <c:pt idx="1">
                  <c:v>PS1</c:v>
                </c:pt>
                <c:pt idx="2">
                  <c:v>PS2</c:v>
                </c:pt>
                <c:pt idx="3">
                  <c:v>PS3</c:v>
                </c:pt>
                <c:pt idx="4">
                  <c:v>PS4</c:v>
                </c:pt>
                <c:pt idx="5">
                  <c:v>PS5</c:v>
                </c:pt>
                <c:pt idx="6">
                  <c:v>PSP</c:v>
                </c:pt>
              </c:strCache>
            </c:strRef>
          </c:cat>
          <c:val>
            <c:numRef>
              <c:f>'Pivot Tables'!$E$17:$E$24</c:f>
              <c:numCache>
                <c:formatCode>\$0.00\ "M"</c:formatCode>
                <c:ptCount val="7"/>
                <c:pt idx="0">
                  <c:v>4.46</c:v>
                </c:pt>
                <c:pt idx="1">
                  <c:v>7.3599999999999994</c:v>
                </c:pt>
                <c:pt idx="2">
                  <c:v>11.030000000000001</c:v>
                </c:pt>
                <c:pt idx="3">
                  <c:v>11.450000000000001</c:v>
                </c:pt>
                <c:pt idx="4">
                  <c:v>13.600000000000001</c:v>
                </c:pt>
                <c:pt idx="5">
                  <c:v>8.0299999999999994</c:v>
                </c:pt>
                <c:pt idx="6">
                  <c:v>16.640000000000004</c:v>
                </c:pt>
              </c:numCache>
            </c:numRef>
          </c:val>
          <c:extLst>
            <c:ext xmlns:c16="http://schemas.microsoft.com/office/drawing/2014/chart" uri="{C3380CC4-5D6E-409C-BE32-E72D297353CC}">
              <c16:uniqueId val="{00000071-A9CD-4E35-A1B1-90F664C5B9F9}"/>
            </c:ext>
          </c:extLst>
        </c:ser>
        <c:ser>
          <c:idx val="4"/>
          <c:order val="4"/>
          <c:tx>
            <c:strRef>
              <c:f>'Pivot Tables'!$F$15:$F$16</c:f>
              <c:strCache>
                <c:ptCount val="1"/>
                <c:pt idx="0">
                  <c:v>Racing</c:v>
                </c:pt>
              </c:strCache>
            </c:strRef>
          </c:tx>
          <c:spPr>
            <a:solidFill>
              <a:schemeClr val="accent5"/>
            </a:solidFill>
            <a:ln>
              <a:noFill/>
            </a:ln>
            <a:effectLst/>
          </c:spPr>
          <c:invertIfNegative val="0"/>
          <c:cat>
            <c:strRef>
              <c:f>'Pivot Tables'!$A$17:$A$24</c:f>
              <c:strCache>
                <c:ptCount val="7"/>
                <c:pt idx="0">
                  <c:v>PS Vita</c:v>
                </c:pt>
                <c:pt idx="1">
                  <c:v>PS1</c:v>
                </c:pt>
                <c:pt idx="2">
                  <c:v>PS2</c:v>
                </c:pt>
                <c:pt idx="3">
                  <c:v>PS3</c:v>
                </c:pt>
                <c:pt idx="4">
                  <c:v>PS4</c:v>
                </c:pt>
                <c:pt idx="5">
                  <c:v>PS5</c:v>
                </c:pt>
                <c:pt idx="6">
                  <c:v>PSP</c:v>
                </c:pt>
              </c:strCache>
            </c:strRef>
          </c:cat>
          <c:val>
            <c:numRef>
              <c:f>'Pivot Tables'!$F$17:$F$24</c:f>
              <c:numCache>
                <c:formatCode>\$0.00\ "M"</c:formatCode>
                <c:ptCount val="7"/>
                <c:pt idx="0">
                  <c:v>6.95</c:v>
                </c:pt>
                <c:pt idx="1">
                  <c:v>12.88</c:v>
                </c:pt>
                <c:pt idx="2">
                  <c:v>11.91</c:v>
                </c:pt>
                <c:pt idx="3">
                  <c:v>13.08</c:v>
                </c:pt>
                <c:pt idx="4">
                  <c:v>5.8199999999999994</c:v>
                </c:pt>
                <c:pt idx="5">
                  <c:v>9.74</c:v>
                </c:pt>
                <c:pt idx="6">
                  <c:v>4.17</c:v>
                </c:pt>
              </c:numCache>
            </c:numRef>
          </c:val>
          <c:extLst>
            <c:ext xmlns:c16="http://schemas.microsoft.com/office/drawing/2014/chart" uri="{C3380CC4-5D6E-409C-BE32-E72D297353CC}">
              <c16:uniqueId val="{00000072-A9CD-4E35-A1B1-90F664C5B9F9}"/>
            </c:ext>
          </c:extLst>
        </c:ser>
        <c:ser>
          <c:idx val="5"/>
          <c:order val="5"/>
          <c:tx>
            <c:strRef>
              <c:f>'Pivot Tables'!$G$15:$G$16</c:f>
              <c:strCache>
                <c:ptCount val="1"/>
                <c:pt idx="0">
                  <c:v>RPG</c:v>
                </c:pt>
              </c:strCache>
            </c:strRef>
          </c:tx>
          <c:spPr>
            <a:solidFill>
              <a:schemeClr val="accent6"/>
            </a:solidFill>
            <a:ln>
              <a:noFill/>
            </a:ln>
            <a:effectLst/>
          </c:spPr>
          <c:invertIfNegative val="0"/>
          <c:cat>
            <c:strRef>
              <c:f>'Pivot Tables'!$A$17:$A$24</c:f>
              <c:strCache>
                <c:ptCount val="7"/>
                <c:pt idx="0">
                  <c:v>PS Vita</c:v>
                </c:pt>
                <c:pt idx="1">
                  <c:v>PS1</c:v>
                </c:pt>
                <c:pt idx="2">
                  <c:v>PS2</c:v>
                </c:pt>
                <c:pt idx="3">
                  <c:v>PS3</c:v>
                </c:pt>
                <c:pt idx="4">
                  <c:v>PS4</c:v>
                </c:pt>
                <c:pt idx="5">
                  <c:v>PS5</c:v>
                </c:pt>
                <c:pt idx="6">
                  <c:v>PSP</c:v>
                </c:pt>
              </c:strCache>
            </c:strRef>
          </c:cat>
          <c:val>
            <c:numRef>
              <c:f>'Pivot Tables'!$G$17:$G$24</c:f>
              <c:numCache>
                <c:formatCode>\$0.00\ "M"</c:formatCode>
                <c:ptCount val="7"/>
                <c:pt idx="0">
                  <c:v>2.8400000000000003</c:v>
                </c:pt>
                <c:pt idx="1">
                  <c:v>8.14</c:v>
                </c:pt>
                <c:pt idx="2">
                  <c:v>16.559999999999999</c:v>
                </c:pt>
                <c:pt idx="3">
                  <c:v>12.09</c:v>
                </c:pt>
                <c:pt idx="4">
                  <c:v>11.469999999999999</c:v>
                </c:pt>
                <c:pt idx="5">
                  <c:v>15.03</c:v>
                </c:pt>
                <c:pt idx="6">
                  <c:v>9.6399999999999988</c:v>
                </c:pt>
              </c:numCache>
            </c:numRef>
          </c:val>
          <c:extLst>
            <c:ext xmlns:c16="http://schemas.microsoft.com/office/drawing/2014/chart" uri="{C3380CC4-5D6E-409C-BE32-E72D297353CC}">
              <c16:uniqueId val="{00000073-A9CD-4E35-A1B1-90F664C5B9F9}"/>
            </c:ext>
          </c:extLst>
        </c:ser>
        <c:ser>
          <c:idx val="6"/>
          <c:order val="6"/>
          <c:tx>
            <c:strRef>
              <c:f>'Pivot Tables'!$H$15:$H$16</c:f>
              <c:strCache>
                <c:ptCount val="1"/>
                <c:pt idx="0">
                  <c:v>Shooter</c:v>
                </c:pt>
              </c:strCache>
            </c:strRef>
          </c:tx>
          <c:spPr>
            <a:solidFill>
              <a:schemeClr val="accent1">
                <a:lumMod val="60000"/>
              </a:schemeClr>
            </a:solidFill>
            <a:ln>
              <a:noFill/>
            </a:ln>
            <a:effectLst/>
          </c:spPr>
          <c:invertIfNegative val="0"/>
          <c:cat>
            <c:strRef>
              <c:f>'Pivot Tables'!$A$17:$A$24</c:f>
              <c:strCache>
                <c:ptCount val="7"/>
                <c:pt idx="0">
                  <c:v>PS Vita</c:v>
                </c:pt>
                <c:pt idx="1">
                  <c:v>PS1</c:v>
                </c:pt>
                <c:pt idx="2">
                  <c:v>PS2</c:v>
                </c:pt>
                <c:pt idx="3">
                  <c:v>PS3</c:v>
                </c:pt>
                <c:pt idx="4">
                  <c:v>PS4</c:v>
                </c:pt>
                <c:pt idx="5">
                  <c:v>PS5</c:v>
                </c:pt>
                <c:pt idx="6">
                  <c:v>PSP</c:v>
                </c:pt>
              </c:strCache>
            </c:strRef>
          </c:cat>
          <c:val>
            <c:numRef>
              <c:f>'Pivot Tables'!$H$17:$H$24</c:f>
              <c:numCache>
                <c:formatCode>\$0.00\ "M"</c:formatCode>
                <c:ptCount val="7"/>
                <c:pt idx="0">
                  <c:v>9.139999999999997</c:v>
                </c:pt>
                <c:pt idx="1">
                  <c:v>17.809999999999999</c:v>
                </c:pt>
                <c:pt idx="2">
                  <c:v>10.79</c:v>
                </c:pt>
                <c:pt idx="3">
                  <c:v>5.7</c:v>
                </c:pt>
                <c:pt idx="4">
                  <c:v>20.179999999999996</c:v>
                </c:pt>
                <c:pt idx="5">
                  <c:v>17.560000000000002</c:v>
                </c:pt>
                <c:pt idx="6">
                  <c:v>12.619999999999997</c:v>
                </c:pt>
              </c:numCache>
            </c:numRef>
          </c:val>
          <c:extLst>
            <c:ext xmlns:c16="http://schemas.microsoft.com/office/drawing/2014/chart" uri="{C3380CC4-5D6E-409C-BE32-E72D297353CC}">
              <c16:uniqueId val="{00000082-A9CD-4E35-A1B1-90F664C5B9F9}"/>
            </c:ext>
          </c:extLst>
        </c:ser>
        <c:ser>
          <c:idx val="7"/>
          <c:order val="7"/>
          <c:tx>
            <c:strRef>
              <c:f>'Pivot Tables'!$I$15:$I$16</c:f>
              <c:strCache>
                <c:ptCount val="1"/>
                <c:pt idx="0">
                  <c:v>Simulation</c:v>
                </c:pt>
              </c:strCache>
            </c:strRef>
          </c:tx>
          <c:spPr>
            <a:solidFill>
              <a:schemeClr val="accent2">
                <a:lumMod val="60000"/>
              </a:schemeClr>
            </a:solidFill>
            <a:ln>
              <a:noFill/>
            </a:ln>
            <a:effectLst/>
          </c:spPr>
          <c:invertIfNegative val="0"/>
          <c:cat>
            <c:strRef>
              <c:f>'Pivot Tables'!$A$17:$A$24</c:f>
              <c:strCache>
                <c:ptCount val="7"/>
                <c:pt idx="0">
                  <c:v>PS Vita</c:v>
                </c:pt>
                <c:pt idx="1">
                  <c:v>PS1</c:v>
                </c:pt>
                <c:pt idx="2">
                  <c:v>PS2</c:v>
                </c:pt>
                <c:pt idx="3">
                  <c:v>PS3</c:v>
                </c:pt>
                <c:pt idx="4">
                  <c:v>PS4</c:v>
                </c:pt>
                <c:pt idx="5">
                  <c:v>PS5</c:v>
                </c:pt>
                <c:pt idx="6">
                  <c:v>PSP</c:v>
                </c:pt>
              </c:strCache>
            </c:strRef>
          </c:cat>
          <c:val>
            <c:numRef>
              <c:f>'Pivot Tables'!$I$17:$I$24</c:f>
              <c:numCache>
                <c:formatCode>\$0.00\ "M"</c:formatCode>
                <c:ptCount val="7"/>
                <c:pt idx="0">
                  <c:v>7.8899999999999988</c:v>
                </c:pt>
                <c:pt idx="1">
                  <c:v>11.610000000000001</c:v>
                </c:pt>
                <c:pt idx="2">
                  <c:v>19.05</c:v>
                </c:pt>
                <c:pt idx="3">
                  <c:v>14.74</c:v>
                </c:pt>
                <c:pt idx="4">
                  <c:v>20.769999999999996</c:v>
                </c:pt>
                <c:pt idx="5">
                  <c:v>3.3900000000000006</c:v>
                </c:pt>
                <c:pt idx="6">
                  <c:v>8.2000000000000011</c:v>
                </c:pt>
              </c:numCache>
            </c:numRef>
          </c:val>
          <c:extLst>
            <c:ext xmlns:c16="http://schemas.microsoft.com/office/drawing/2014/chart" uri="{C3380CC4-5D6E-409C-BE32-E72D297353CC}">
              <c16:uniqueId val="{00000083-A9CD-4E35-A1B1-90F664C5B9F9}"/>
            </c:ext>
          </c:extLst>
        </c:ser>
        <c:ser>
          <c:idx val="8"/>
          <c:order val="8"/>
          <c:tx>
            <c:strRef>
              <c:f>'Pivot Tables'!$J$15:$J$16</c:f>
              <c:strCache>
                <c:ptCount val="1"/>
                <c:pt idx="0">
                  <c:v>Sports</c:v>
                </c:pt>
              </c:strCache>
            </c:strRef>
          </c:tx>
          <c:spPr>
            <a:solidFill>
              <a:schemeClr val="accent3">
                <a:lumMod val="60000"/>
              </a:schemeClr>
            </a:solidFill>
            <a:ln>
              <a:noFill/>
            </a:ln>
            <a:effectLst/>
          </c:spPr>
          <c:invertIfNegative val="0"/>
          <c:cat>
            <c:strRef>
              <c:f>'Pivot Tables'!$A$17:$A$24</c:f>
              <c:strCache>
                <c:ptCount val="7"/>
                <c:pt idx="0">
                  <c:v>PS Vita</c:v>
                </c:pt>
                <c:pt idx="1">
                  <c:v>PS1</c:v>
                </c:pt>
                <c:pt idx="2">
                  <c:v>PS2</c:v>
                </c:pt>
                <c:pt idx="3">
                  <c:v>PS3</c:v>
                </c:pt>
                <c:pt idx="4">
                  <c:v>PS4</c:v>
                </c:pt>
                <c:pt idx="5">
                  <c:v>PS5</c:v>
                </c:pt>
                <c:pt idx="6">
                  <c:v>PSP</c:v>
                </c:pt>
              </c:strCache>
            </c:strRef>
          </c:cat>
          <c:val>
            <c:numRef>
              <c:f>'Pivot Tables'!$J$17:$J$24</c:f>
              <c:numCache>
                <c:formatCode>\$0.00\ "M"</c:formatCode>
                <c:ptCount val="7"/>
                <c:pt idx="0">
                  <c:v>10.130000000000001</c:v>
                </c:pt>
                <c:pt idx="1">
                  <c:v>8.5299999999999994</c:v>
                </c:pt>
                <c:pt idx="2">
                  <c:v>23.59</c:v>
                </c:pt>
                <c:pt idx="3">
                  <c:v>16.57</c:v>
                </c:pt>
                <c:pt idx="4">
                  <c:v>34.020000000000003</c:v>
                </c:pt>
                <c:pt idx="5">
                  <c:v>18.169999999999998</c:v>
                </c:pt>
                <c:pt idx="6">
                  <c:v>17.589999999999996</c:v>
                </c:pt>
              </c:numCache>
            </c:numRef>
          </c:val>
          <c:extLst>
            <c:ext xmlns:c16="http://schemas.microsoft.com/office/drawing/2014/chart" uri="{C3380CC4-5D6E-409C-BE32-E72D297353CC}">
              <c16:uniqueId val="{00000084-A9CD-4E35-A1B1-90F664C5B9F9}"/>
            </c:ext>
          </c:extLst>
        </c:ser>
        <c:ser>
          <c:idx val="9"/>
          <c:order val="9"/>
          <c:tx>
            <c:strRef>
              <c:f>'Pivot Tables'!$K$15:$K$16</c:f>
              <c:strCache>
                <c:ptCount val="1"/>
                <c:pt idx="0">
                  <c:v>Strategy</c:v>
                </c:pt>
              </c:strCache>
            </c:strRef>
          </c:tx>
          <c:spPr>
            <a:solidFill>
              <a:schemeClr val="accent4">
                <a:lumMod val="60000"/>
              </a:schemeClr>
            </a:solidFill>
            <a:ln>
              <a:noFill/>
            </a:ln>
            <a:effectLst/>
          </c:spPr>
          <c:invertIfNegative val="0"/>
          <c:cat>
            <c:strRef>
              <c:f>'Pivot Tables'!$A$17:$A$24</c:f>
              <c:strCache>
                <c:ptCount val="7"/>
                <c:pt idx="0">
                  <c:v>PS Vita</c:v>
                </c:pt>
                <c:pt idx="1">
                  <c:v>PS1</c:v>
                </c:pt>
                <c:pt idx="2">
                  <c:v>PS2</c:v>
                </c:pt>
                <c:pt idx="3">
                  <c:v>PS3</c:v>
                </c:pt>
                <c:pt idx="4">
                  <c:v>PS4</c:v>
                </c:pt>
                <c:pt idx="5">
                  <c:v>PS5</c:v>
                </c:pt>
                <c:pt idx="6">
                  <c:v>PSP</c:v>
                </c:pt>
              </c:strCache>
            </c:strRef>
          </c:cat>
          <c:val>
            <c:numRef>
              <c:f>'Pivot Tables'!$K$17:$K$24</c:f>
              <c:numCache>
                <c:formatCode>\$0.00\ "M"</c:formatCode>
                <c:ptCount val="7"/>
                <c:pt idx="0">
                  <c:v>9.8000000000000025</c:v>
                </c:pt>
                <c:pt idx="1">
                  <c:v>10.220000000000001</c:v>
                </c:pt>
                <c:pt idx="2">
                  <c:v>15.719999999999999</c:v>
                </c:pt>
                <c:pt idx="3">
                  <c:v>14.95</c:v>
                </c:pt>
                <c:pt idx="4">
                  <c:v>14.51</c:v>
                </c:pt>
                <c:pt idx="5">
                  <c:v>11</c:v>
                </c:pt>
                <c:pt idx="6">
                  <c:v>7.3100000000000005</c:v>
                </c:pt>
              </c:numCache>
            </c:numRef>
          </c:val>
          <c:extLst>
            <c:ext xmlns:c16="http://schemas.microsoft.com/office/drawing/2014/chart" uri="{C3380CC4-5D6E-409C-BE32-E72D297353CC}">
              <c16:uniqueId val="{00000085-A9CD-4E35-A1B1-90F664C5B9F9}"/>
            </c:ext>
          </c:extLst>
        </c:ser>
        <c:dLbls>
          <c:showLegendKey val="0"/>
          <c:showVal val="0"/>
          <c:showCatName val="0"/>
          <c:showSerName val="0"/>
          <c:showPercent val="0"/>
          <c:showBubbleSize val="0"/>
        </c:dLbls>
        <c:gapWidth val="150"/>
        <c:overlap val="100"/>
        <c:axId val="2045606992"/>
        <c:axId val="2004203664"/>
      </c:barChart>
      <c:catAx>
        <c:axId val="204560699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004203664"/>
        <c:crosses val="autoZero"/>
        <c:auto val="1"/>
        <c:lblAlgn val="ctr"/>
        <c:lblOffset val="100"/>
        <c:noMultiLvlLbl val="0"/>
      </c:catAx>
      <c:valAx>
        <c:axId val="2004203664"/>
        <c:scaling>
          <c:orientation val="minMax"/>
        </c:scaling>
        <c:delete val="0"/>
        <c:axPos val="l"/>
        <c:majorGridlines>
          <c:spPr>
            <a:ln w="9525" cap="flat" cmpd="sng" algn="ctr">
              <a:solidFill>
                <a:schemeClr val="bg1">
                  <a:lumMod val="65000"/>
                </a:schemeClr>
              </a:solidFill>
              <a:round/>
            </a:ln>
            <a:effectLst/>
          </c:spPr>
        </c:majorGridlines>
        <c:numFmt formatCode="\$0.00\ &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04560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[PlayStation Dashboard.xlsx]Pivot Tables!PivotTable8</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IN" sz="2400" b="1" i="0" u="none" strike="noStrike" kern="1200" cap="none" spc="0" normalizeH="0" baseline="0" noProof="0">
                <a:ln>
                  <a:noFill/>
                </a:ln>
                <a:solidFill>
                  <a:srgbClr val="7030A0"/>
                </a:solidFill>
                <a:effectLst/>
                <a:uLnTx/>
                <a:uFillTx/>
                <a:latin typeface="+mn-lt"/>
              </a:rPr>
              <a:t>Regional Sales by Playstation Platform</a:t>
            </a:r>
          </a:p>
        </c:rich>
      </c:tx>
      <c:layout>
        <c:manualLayout>
          <c:xMode val="edge"/>
          <c:yMode val="edge"/>
          <c:x val="0.15647989653467231"/>
          <c:y val="2.38853158622347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95039750465974E-2"/>
          <c:y val="0.17961852096732184"/>
          <c:w val="0.89135881927802507"/>
          <c:h val="0.7023241369637957"/>
        </c:manualLayout>
      </c:layout>
      <c:barChart>
        <c:barDir val="bar"/>
        <c:grouping val="percentStacked"/>
        <c:varyColors val="0"/>
        <c:ser>
          <c:idx val="0"/>
          <c:order val="0"/>
          <c:tx>
            <c:strRef>
              <c:f>'Pivot Tables'!$B$27</c:f>
              <c:strCache>
                <c:ptCount val="1"/>
                <c:pt idx="0">
                  <c:v>Sum of North_America_Sales_Millions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Tables'!$A$28:$A$35</c:f>
              <c:strCache>
                <c:ptCount val="7"/>
                <c:pt idx="0">
                  <c:v>PS Vita</c:v>
                </c:pt>
                <c:pt idx="1">
                  <c:v>PS1</c:v>
                </c:pt>
                <c:pt idx="2">
                  <c:v>PS2</c:v>
                </c:pt>
                <c:pt idx="3">
                  <c:v>PS3</c:v>
                </c:pt>
                <c:pt idx="4">
                  <c:v>PS4</c:v>
                </c:pt>
                <c:pt idx="5">
                  <c:v>PS5</c:v>
                </c:pt>
                <c:pt idx="6">
                  <c:v>PSP</c:v>
                </c:pt>
              </c:strCache>
            </c:strRef>
          </c:cat>
          <c:val>
            <c:numRef>
              <c:f>'Pivot Tables'!$B$28:$B$35</c:f>
              <c:numCache>
                <c:formatCode>\$0.00\ "M"</c:formatCode>
                <c:ptCount val="7"/>
                <c:pt idx="0">
                  <c:v>30.910000000000004</c:v>
                </c:pt>
                <c:pt idx="1">
                  <c:v>43.340000000000011</c:v>
                </c:pt>
                <c:pt idx="2">
                  <c:v>67.409999999999982</c:v>
                </c:pt>
                <c:pt idx="3">
                  <c:v>71.689999999999984</c:v>
                </c:pt>
                <c:pt idx="4">
                  <c:v>88.930000000000049</c:v>
                </c:pt>
                <c:pt idx="5">
                  <c:v>57.590000000000018</c:v>
                </c:pt>
                <c:pt idx="6">
                  <c:v>44.01</c:v>
                </c:pt>
              </c:numCache>
            </c:numRef>
          </c:val>
          <c:extLst>
            <c:ext xmlns:c16="http://schemas.microsoft.com/office/drawing/2014/chart" uri="{C3380CC4-5D6E-409C-BE32-E72D297353CC}">
              <c16:uniqueId val="{00000000-B2FF-493E-989E-4E4CFC57BFD6}"/>
            </c:ext>
          </c:extLst>
        </c:ser>
        <c:ser>
          <c:idx val="1"/>
          <c:order val="1"/>
          <c:tx>
            <c:strRef>
              <c:f>'Pivot Tables'!$C$27</c:f>
              <c:strCache>
                <c:ptCount val="1"/>
                <c:pt idx="0">
                  <c:v>Sum of Europe_Sales_Millions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Tables'!$A$28:$A$35</c:f>
              <c:strCache>
                <c:ptCount val="7"/>
                <c:pt idx="0">
                  <c:v>PS Vita</c:v>
                </c:pt>
                <c:pt idx="1">
                  <c:v>PS1</c:v>
                </c:pt>
                <c:pt idx="2">
                  <c:v>PS2</c:v>
                </c:pt>
                <c:pt idx="3">
                  <c:v>PS3</c:v>
                </c:pt>
                <c:pt idx="4">
                  <c:v>PS4</c:v>
                </c:pt>
                <c:pt idx="5">
                  <c:v>PS5</c:v>
                </c:pt>
                <c:pt idx="6">
                  <c:v>PSP</c:v>
                </c:pt>
              </c:strCache>
            </c:strRef>
          </c:cat>
          <c:val>
            <c:numRef>
              <c:f>'Pivot Tables'!$C$28:$C$35</c:f>
              <c:numCache>
                <c:formatCode>\$0.00\ "M"</c:formatCode>
                <c:ptCount val="7"/>
                <c:pt idx="0">
                  <c:v>18.019999999999985</c:v>
                </c:pt>
                <c:pt idx="1">
                  <c:v>26.14</c:v>
                </c:pt>
                <c:pt idx="2">
                  <c:v>40.130000000000017</c:v>
                </c:pt>
                <c:pt idx="3">
                  <c:v>44.109999999999992</c:v>
                </c:pt>
                <c:pt idx="4">
                  <c:v>53.329999999999991</c:v>
                </c:pt>
                <c:pt idx="5">
                  <c:v>35.57</c:v>
                </c:pt>
                <c:pt idx="6">
                  <c:v>27.309999999999995</c:v>
                </c:pt>
              </c:numCache>
            </c:numRef>
          </c:val>
          <c:extLst>
            <c:ext xmlns:c16="http://schemas.microsoft.com/office/drawing/2014/chart" uri="{C3380CC4-5D6E-409C-BE32-E72D297353CC}">
              <c16:uniqueId val="{00000001-B2FF-493E-989E-4E4CFC57BFD6}"/>
            </c:ext>
          </c:extLst>
        </c:ser>
        <c:ser>
          <c:idx val="2"/>
          <c:order val="2"/>
          <c:tx>
            <c:strRef>
              <c:f>'Pivot Tables'!$D$27</c:f>
              <c:strCache>
                <c:ptCount val="1"/>
                <c:pt idx="0">
                  <c:v>Sum of Japan_Sales_Millions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Tables'!$A$28:$A$35</c:f>
              <c:strCache>
                <c:ptCount val="7"/>
                <c:pt idx="0">
                  <c:v>PS Vita</c:v>
                </c:pt>
                <c:pt idx="1">
                  <c:v>PS1</c:v>
                </c:pt>
                <c:pt idx="2">
                  <c:v>PS2</c:v>
                </c:pt>
                <c:pt idx="3">
                  <c:v>PS3</c:v>
                </c:pt>
                <c:pt idx="4">
                  <c:v>PS4</c:v>
                </c:pt>
                <c:pt idx="5">
                  <c:v>PS5</c:v>
                </c:pt>
                <c:pt idx="6">
                  <c:v>PSP</c:v>
                </c:pt>
              </c:strCache>
            </c:strRef>
          </c:cat>
          <c:val>
            <c:numRef>
              <c:f>'Pivot Tables'!$D$28:$D$35</c:f>
              <c:numCache>
                <c:formatCode>\$0.00\ "M"</c:formatCode>
                <c:ptCount val="7"/>
                <c:pt idx="0">
                  <c:v>8.1399999999999899</c:v>
                </c:pt>
                <c:pt idx="1">
                  <c:v>11.589999999999991</c:v>
                </c:pt>
                <c:pt idx="2">
                  <c:v>18.409999999999989</c:v>
                </c:pt>
                <c:pt idx="3">
                  <c:v>19.249999999999993</c:v>
                </c:pt>
                <c:pt idx="4">
                  <c:v>24.619999999999997</c:v>
                </c:pt>
                <c:pt idx="5">
                  <c:v>16.469999999999992</c:v>
                </c:pt>
                <c:pt idx="6">
                  <c:v>11.859999999999983</c:v>
                </c:pt>
              </c:numCache>
            </c:numRef>
          </c:val>
          <c:extLst>
            <c:ext xmlns:c16="http://schemas.microsoft.com/office/drawing/2014/chart" uri="{C3380CC4-5D6E-409C-BE32-E72D297353CC}">
              <c16:uniqueId val="{00000002-B2FF-493E-989E-4E4CFC57BFD6}"/>
            </c:ext>
          </c:extLst>
        </c:ser>
        <c:ser>
          <c:idx val="3"/>
          <c:order val="3"/>
          <c:tx>
            <c:strRef>
              <c:f>'Pivot Tables'!$E$27</c:f>
              <c:strCache>
                <c:ptCount val="1"/>
                <c:pt idx="0">
                  <c:v>Sum of Other_Sales_Millions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Tables'!$A$28:$A$35</c:f>
              <c:strCache>
                <c:ptCount val="7"/>
                <c:pt idx="0">
                  <c:v>PS Vita</c:v>
                </c:pt>
                <c:pt idx="1">
                  <c:v>PS1</c:v>
                </c:pt>
                <c:pt idx="2">
                  <c:v>PS2</c:v>
                </c:pt>
                <c:pt idx="3">
                  <c:v>PS3</c:v>
                </c:pt>
                <c:pt idx="4">
                  <c:v>PS4</c:v>
                </c:pt>
                <c:pt idx="5">
                  <c:v>PS5</c:v>
                </c:pt>
                <c:pt idx="6">
                  <c:v>PSP</c:v>
                </c:pt>
              </c:strCache>
            </c:strRef>
          </c:cat>
          <c:val>
            <c:numRef>
              <c:f>'Pivot Tables'!$E$28:$E$35</c:f>
              <c:numCache>
                <c:formatCode>\$0.00\ "M"</c:formatCode>
                <c:ptCount val="7"/>
                <c:pt idx="0">
                  <c:v>11.319999999999993</c:v>
                </c:pt>
                <c:pt idx="1">
                  <c:v>15.029999999999989</c:v>
                </c:pt>
                <c:pt idx="2">
                  <c:v>21.729999999999993</c:v>
                </c:pt>
                <c:pt idx="3">
                  <c:v>25.199999999999992</c:v>
                </c:pt>
                <c:pt idx="4">
                  <c:v>29.730000000000025</c:v>
                </c:pt>
                <c:pt idx="5">
                  <c:v>20.349999999999998</c:v>
                </c:pt>
                <c:pt idx="6">
                  <c:v>16.329999999999988</c:v>
                </c:pt>
              </c:numCache>
            </c:numRef>
          </c:val>
          <c:extLst>
            <c:ext xmlns:c16="http://schemas.microsoft.com/office/drawing/2014/chart" uri="{C3380CC4-5D6E-409C-BE32-E72D297353CC}">
              <c16:uniqueId val="{00000003-B2FF-493E-989E-4E4CFC57BFD6}"/>
            </c:ext>
          </c:extLst>
        </c:ser>
        <c:dLbls>
          <c:dLblPos val="ctr"/>
          <c:showLegendKey val="0"/>
          <c:showVal val="1"/>
          <c:showCatName val="0"/>
          <c:showSerName val="0"/>
          <c:showPercent val="0"/>
          <c:showBubbleSize val="0"/>
        </c:dLbls>
        <c:gapWidth val="182"/>
        <c:overlap val="100"/>
        <c:axId val="1147969216"/>
        <c:axId val="2004193104"/>
      </c:barChart>
      <c:catAx>
        <c:axId val="11479692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004193104"/>
        <c:crosses val="autoZero"/>
        <c:auto val="1"/>
        <c:lblAlgn val="ctr"/>
        <c:lblOffset val="100"/>
        <c:noMultiLvlLbl val="0"/>
      </c:catAx>
      <c:valAx>
        <c:axId val="2004193104"/>
        <c:scaling>
          <c:orientation val="minMax"/>
        </c:scaling>
        <c:delete val="0"/>
        <c:axPos val="b"/>
        <c:majorGridlines>
          <c:spPr>
            <a:ln w="9525" cap="flat" cmpd="sng" algn="ctr">
              <a:solidFill>
                <a:schemeClr val="bg1">
                  <a:lumMod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1479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[PlayStation Dashboard.xlsx]Pivot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IN" sz="2400" b="1" i="0" u="none" strike="noStrike" kern="1200" cap="none" spc="0" normalizeH="0" baseline="0" noProof="0">
                <a:ln>
                  <a:noFill/>
                </a:ln>
                <a:solidFill>
                  <a:srgbClr val="7030A0"/>
                </a:solidFill>
                <a:effectLst/>
                <a:uLnTx/>
                <a:uFillTx/>
                <a:latin typeface="+mn-lt"/>
              </a:rPr>
              <a:t>Yearly Global Sales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9536714887383"/>
          <c:y val="0.19805344004130632"/>
          <c:w val="0.72531638364481543"/>
          <c:h val="0.6249431321084864"/>
        </c:manualLayout>
      </c:layout>
      <c:lineChart>
        <c:grouping val="stacked"/>
        <c:varyColors val="0"/>
        <c:ser>
          <c:idx val="0"/>
          <c:order val="0"/>
          <c:tx>
            <c:strRef>
              <c:f>'Pivot Tables'!$B$38:$B$39</c:f>
              <c:strCache>
                <c:ptCount val="1"/>
                <c:pt idx="0">
                  <c:v>PS Vita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Tables'!$A$40:$A$72</c:f>
              <c:strCache>
                <c:ptCount val="32"/>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pt idx="31">
                  <c:v>2026</c:v>
                </c:pt>
              </c:strCache>
            </c:strRef>
          </c:cat>
          <c:val>
            <c:numRef>
              <c:f>'Pivot Tables'!$B$40:$B$72</c:f>
              <c:numCache>
                <c:formatCode>\$0.00\ "M"</c:formatCode>
                <c:ptCount val="32"/>
                <c:pt idx="16">
                  <c:v>5.08</c:v>
                </c:pt>
                <c:pt idx="17">
                  <c:v>4.4200000000000008</c:v>
                </c:pt>
                <c:pt idx="18">
                  <c:v>6.6699999999999982</c:v>
                </c:pt>
                <c:pt idx="19">
                  <c:v>10.67</c:v>
                </c:pt>
                <c:pt idx="20">
                  <c:v>7.4999999999999991</c:v>
                </c:pt>
                <c:pt idx="21">
                  <c:v>3.8899999999999997</c:v>
                </c:pt>
                <c:pt idx="22">
                  <c:v>7.34</c:v>
                </c:pt>
                <c:pt idx="23">
                  <c:v>9.8400000000000016</c:v>
                </c:pt>
                <c:pt idx="24">
                  <c:v>12.979999999999999</c:v>
                </c:pt>
              </c:numCache>
            </c:numRef>
          </c:val>
          <c:smooth val="0"/>
          <c:extLst>
            <c:ext xmlns:c16="http://schemas.microsoft.com/office/drawing/2014/chart" uri="{C3380CC4-5D6E-409C-BE32-E72D297353CC}">
              <c16:uniqueId val="{00000000-078D-4BAE-B717-7ABDE147DA29}"/>
            </c:ext>
          </c:extLst>
        </c:ser>
        <c:ser>
          <c:idx val="1"/>
          <c:order val="1"/>
          <c:tx>
            <c:strRef>
              <c:f>'Pivot Tables'!$C$38:$C$39</c:f>
              <c:strCache>
                <c:ptCount val="1"/>
                <c:pt idx="0">
                  <c:v>PS1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Tables'!$A$40:$A$72</c:f>
              <c:strCache>
                <c:ptCount val="32"/>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pt idx="31">
                  <c:v>2026</c:v>
                </c:pt>
              </c:strCache>
            </c:strRef>
          </c:cat>
          <c:val>
            <c:numRef>
              <c:f>'Pivot Tables'!$C$40:$C$72</c:f>
              <c:numCache>
                <c:formatCode>\$0.00\ "M"</c:formatCode>
                <c:ptCount val="32"/>
                <c:pt idx="0">
                  <c:v>8.59</c:v>
                </c:pt>
                <c:pt idx="1">
                  <c:v>15.940000000000003</c:v>
                </c:pt>
                <c:pt idx="2">
                  <c:v>15.500000000000002</c:v>
                </c:pt>
                <c:pt idx="3">
                  <c:v>17.48</c:v>
                </c:pt>
                <c:pt idx="4">
                  <c:v>19.950000000000003</c:v>
                </c:pt>
                <c:pt idx="5">
                  <c:v>18.64</c:v>
                </c:pt>
              </c:numCache>
            </c:numRef>
          </c:val>
          <c:smooth val="0"/>
          <c:extLst>
            <c:ext xmlns:c16="http://schemas.microsoft.com/office/drawing/2014/chart" uri="{C3380CC4-5D6E-409C-BE32-E72D297353CC}">
              <c16:uniqueId val="{00000001-078D-4BAE-B717-7ABDE147DA29}"/>
            </c:ext>
          </c:extLst>
        </c:ser>
        <c:ser>
          <c:idx val="2"/>
          <c:order val="2"/>
          <c:tx>
            <c:strRef>
              <c:f>'Pivot Tables'!$D$38:$D$39</c:f>
              <c:strCache>
                <c:ptCount val="1"/>
                <c:pt idx="0">
                  <c:v>PS2</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Tables'!$A$40:$A$72</c:f>
              <c:strCache>
                <c:ptCount val="32"/>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pt idx="31">
                  <c:v>2026</c:v>
                </c:pt>
              </c:strCache>
            </c:strRef>
          </c:cat>
          <c:val>
            <c:numRef>
              <c:f>'Pivot Tables'!$D$40:$D$72</c:f>
              <c:numCache>
                <c:formatCode>\$0.00\ "M"</c:formatCode>
                <c:ptCount val="32"/>
                <c:pt idx="5">
                  <c:v>15.379999999999999</c:v>
                </c:pt>
                <c:pt idx="6">
                  <c:v>21.89</c:v>
                </c:pt>
                <c:pt idx="7">
                  <c:v>19.690000000000001</c:v>
                </c:pt>
                <c:pt idx="8">
                  <c:v>18.939999999999998</c:v>
                </c:pt>
                <c:pt idx="9">
                  <c:v>15.790000000000001</c:v>
                </c:pt>
                <c:pt idx="10">
                  <c:v>27.66</c:v>
                </c:pt>
                <c:pt idx="11">
                  <c:v>28.33</c:v>
                </c:pt>
              </c:numCache>
            </c:numRef>
          </c:val>
          <c:smooth val="0"/>
          <c:extLst>
            <c:ext xmlns:c16="http://schemas.microsoft.com/office/drawing/2014/chart" uri="{C3380CC4-5D6E-409C-BE32-E72D297353CC}">
              <c16:uniqueId val="{00000002-078D-4BAE-B717-7ABDE147DA29}"/>
            </c:ext>
          </c:extLst>
        </c:ser>
        <c:ser>
          <c:idx val="3"/>
          <c:order val="3"/>
          <c:tx>
            <c:strRef>
              <c:f>'Pivot Tables'!$E$38:$E$39</c:f>
              <c:strCache>
                <c:ptCount val="1"/>
                <c:pt idx="0">
                  <c:v>PS3</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Tables'!$A$40:$A$72</c:f>
              <c:strCache>
                <c:ptCount val="32"/>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pt idx="31">
                  <c:v>2026</c:v>
                </c:pt>
              </c:strCache>
            </c:strRef>
          </c:cat>
          <c:val>
            <c:numRef>
              <c:f>'Pivot Tables'!$E$40:$E$72</c:f>
              <c:numCache>
                <c:formatCode>\$0.00\ "M"</c:formatCode>
                <c:ptCount val="32"/>
                <c:pt idx="11">
                  <c:v>32.080000000000005</c:v>
                </c:pt>
                <c:pt idx="12">
                  <c:v>16.89</c:v>
                </c:pt>
                <c:pt idx="13">
                  <c:v>16.47</c:v>
                </c:pt>
                <c:pt idx="14">
                  <c:v>16.98</c:v>
                </c:pt>
                <c:pt idx="15">
                  <c:v>16.75</c:v>
                </c:pt>
                <c:pt idx="16">
                  <c:v>13.549999999999999</c:v>
                </c:pt>
                <c:pt idx="17">
                  <c:v>20.38</c:v>
                </c:pt>
                <c:pt idx="18">
                  <c:v>27.150000000000002</c:v>
                </c:pt>
              </c:numCache>
            </c:numRef>
          </c:val>
          <c:smooth val="0"/>
          <c:extLst>
            <c:ext xmlns:c16="http://schemas.microsoft.com/office/drawing/2014/chart" uri="{C3380CC4-5D6E-409C-BE32-E72D297353CC}">
              <c16:uniqueId val="{00000003-078D-4BAE-B717-7ABDE147DA29}"/>
            </c:ext>
          </c:extLst>
        </c:ser>
        <c:ser>
          <c:idx val="4"/>
          <c:order val="4"/>
          <c:tx>
            <c:strRef>
              <c:f>'Pivot Tables'!$F$38:$F$39</c:f>
              <c:strCache>
                <c:ptCount val="1"/>
                <c:pt idx="0">
                  <c:v>PS4</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Tables'!$A$40:$A$72</c:f>
              <c:strCache>
                <c:ptCount val="32"/>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pt idx="31">
                  <c:v>2026</c:v>
                </c:pt>
              </c:strCache>
            </c:strRef>
          </c:cat>
          <c:val>
            <c:numRef>
              <c:f>'Pivot Tables'!$F$40:$F$72</c:f>
              <c:numCache>
                <c:formatCode>\$0.00\ "M"</c:formatCode>
                <c:ptCount val="32"/>
                <c:pt idx="18">
                  <c:v>19.809999999999999</c:v>
                </c:pt>
                <c:pt idx="19">
                  <c:v>8.32</c:v>
                </c:pt>
                <c:pt idx="20">
                  <c:v>17.740000000000002</c:v>
                </c:pt>
                <c:pt idx="21">
                  <c:v>11.14</c:v>
                </c:pt>
                <c:pt idx="22">
                  <c:v>42.19</c:v>
                </c:pt>
                <c:pt idx="23">
                  <c:v>41.279999999999994</c:v>
                </c:pt>
                <c:pt idx="24">
                  <c:v>17.86</c:v>
                </c:pt>
                <c:pt idx="25">
                  <c:v>30.98</c:v>
                </c:pt>
                <c:pt idx="26">
                  <c:v>7.2899999999999991</c:v>
                </c:pt>
              </c:numCache>
            </c:numRef>
          </c:val>
          <c:smooth val="0"/>
          <c:extLst>
            <c:ext xmlns:c16="http://schemas.microsoft.com/office/drawing/2014/chart" uri="{C3380CC4-5D6E-409C-BE32-E72D297353CC}">
              <c16:uniqueId val="{00000004-078D-4BAE-B717-7ABDE147DA29}"/>
            </c:ext>
          </c:extLst>
        </c:ser>
        <c:ser>
          <c:idx val="5"/>
          <c:order val="5"/>
          <c:tx>
            <c:strRef>
              <c:f>'Pivot Tables'!$G$38:$G$39</c:f>
              <c:strCache>
                <c:ptCount val="1"/>
                <c:pt idx="0">
                  <c:v>PS5</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Tables'!$A$40:$A$72</c:f>
              <c:strCache>
                <c:ptCount val="32"/>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pt idx="31">
                  <c:v>2026</c:v>
                </c:pt>
              </c:strCache>
            </c:strRef>
          </c:cat>
          <c:val>
            <c:numRef>
              <c:f>'Pivot Tables'!$G$40:$G$72</c:f>
              <c:numCache>
                <c:formatCode>\$0.00\ "M"</c:formatCode>
                <c:ptCount val="32"/>
                <c:pt idx="25">
                  <c:v>15.63</c:v>
                </c:pt>
                <c:pt idx="26">
                  <c:v>22.520000000000003</c:v>
                </c:pt>
                <c:pt idx="27">
                  <c:v>28.709999999999997</c:v>
                </c:pt>
                <c:pt idx="28">
                  <c:v>11.620000000000001</c:v>
                </c:pt>
                <c:pt idx="29">
                  <c:v>16.889999999999997</c:v>
                </c:pt>
                <c:pt idx="30">
                  <c:v>19.059999999999999</c:v>
                </c:pt>
                <c:pt idx="31">
                  <c:v>15.549999999999999</c:v>
                </c:pt>
              </c:numCache>
            </c:numRef>
          </c:val>
          <c:smooth val="0"/>
          <c:extLst>
            <c:ext xmlns:c16="http://schemas.microsoft.com/office/drawing/2014/chart" uri="{C3380CC4-5D6E-409C-BE32-E72D297353CC}">
              <c16:uniqueId val="{00000005-078D-4BAE-B717-7ABDE147DA29}"/>
            </c:ext>
          </c:extLst>
        </c:ser>
        <c:ser>
          <c:idx val="6"/>
          <c:order val="6"/>
          <c:tx>
            <c:strRef>
              <c:f>'Pivot Tables'!$H$38:$H$39</c:f>
              <c:strCache>
                <c:ptCount val="1"/>
                <c:pt idx="0">
                  <c:v>PSP</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Tables'!$A$40:$A$72</c:f>
              <c:strCache>
                <c:ptCount val="32"/>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pt idx="31">
                  <c:v>2026</c:v>
                </c:pt>
              </c:strCache>
            </c:strRef>
          </c:cat>
          <c:val>
            <c:numRef>
              <c:f>'Pivot Tables'!$H$40:$H$72</c:f>
              <c:numCache>
                <c:formatCode>\$0.00\ "M"</c:formatCode>
                <c:ptCount val="32"/>
                <c:pt idx="9">
                  <c:v>8.86</c:v>
                </c:pt>
                <c:pt idx="10">
                  <c:v>4.29</c:v>
                </c:pt>
                <c:pt idx="11">
                  <c:v>8.2199999999999989</c:v>
                </c:pt>
                <c:pt idx="12">
                  <c:v>3.1699999999999995</c:v>
                </c:pt>
                <c:pt idx="13">
                  <c:v>9.0300000000000011</c:v>
                </c:pt>
                <c:pt idx="14">
                  <c:v>24.939999999999994</c:v>
                </c:pt>
                <c:pt idx="15">
                  <c:v>6.97</c:v>
                </c:pt>
                <c:pt idx="16">
                  <c:v>12.919999999999998</c:v>
                </c:pt>
                <c:pt idx="17">
                  <c:v>12.24</c:v>
                </c:pt>
                <c:pt idx="18">
                  <c:v>3.89</c:v>
                </c:pt>
                <c:pt idx="19">
                  <c:v>4.9799999999999995</c:v>
                </c:pt>
              </c:numCache>
            </c:numRef>
          </c:val>
          <c:smooth val="0"/>
          <c:extLst>
            <c:ext xmlns:c16="http://schemas.microsoft.com/office/drawing/2014/chart" uri="{C3380CC4-5D6E-409C-BE32-E72D297353CC}">
              <c16:uniqueId val="{00000006-078D-4BAE-B717-7ABDE147DA29}"/>
            </c:ext>
          </c:extLst>
        </c:ser>
        <c:dLbls>
          <c:showLegendKey val="0"/>
          <c:showVal val="0"/>
          <c:showCatName val="0"/>
          <c:showSerName val="0"/>
          <c:showPercent val="0"/>
          <c:showBubbleSize val="0"/>
        </c:dLbls>
        <c:marker val="1"/>
        <c:smooth val="0"/>
        <c:axId val="103677999"/>
        <c:axId val="2004085584"/>
      </c:lineChart>
      <c:catAx>
        <c:axId val="10367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004085584"/>
        <c:crosses val="autoZero"/>
        <c:auto val="1"/>
        <c:lblAlgn val="ctr"/>
        <c:lblOffset val="100"/>
        <c:noMultiLvlLbl val="0"/>
      </c:catAx>
      <c:valAx>
        <c:axId val="2004085584"/>
        <c:scaling>
          <c:orientation val="minMax"/>
        </c:scaling>
        <c:delete val="0"/>
        <c:axPos val="l"/>
        <c:majorGridlines>
          <c:spPr>
            <a:ln w="9525" cap="flat" cmpd="sng" algn="ctr">
              <a:solidFill>
                <a:schemeClr val="tx1">
                  <a:lumMod val="15000"/>
                  <a:lumOff val="85000"/>
                </a:schemeClr>
              </a:solidFill>
              <a:round/>
            </a:ln>
            <a:effectLst/>
          </c:spPr>
        </c:majorGridlines>
        <c:numFmt formatCode="\$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03677999"/>
        <c:crosses val="autoZero"/>
        <c:crossBetween val="between"/>
      </c:valAx>
      <c:spPr>
        <a:noFill/>
        <a:ln>
          <a:noFill/>
        </a:ln>
        <a:effectLst/>
      </c:spPr>
    </c:plotArea>
    <c:legend>
      <c:legendPos val="r"/>
      <c:layout>
        <c:manualLayout>
          <c:xMode val="edge"/>
          <c:yMode val="edge"/>
          <c:x val="0.84824241849286897"/>
          <c:y val="0.27977539692784303"/>
          <c:w val="0.10291199414026735"/>
          <c:h val="0.5532825609913515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[PlayStation Dashboard.xlsx]Pivot 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IN" sz="2400" b="1" i="0" u="none" strike="noStrike" kern="1200" cap="none" spc="0" normalizeH="0" baseline="0" noProof="0">
                <a:ln>
                  <a:noFill/>
                </a:ln>
                <a:solidFill>
                  <a:srgbClr val="7030A0"/>
                </a:solidFill>
                <a:effectLst/>
                <a:uLnTx/>
                <a:uFillTx/>
                <a:latin typeface="+mn-lt"/>
              </a:rPr>
              <a:t>Regional Sales by Genre</a:t>
            </a:r>
          </a:p>
        </c:rich>
      </c:tx>
      <c:layout>
        <c:manualLayout>
          <c:xMode val="edge"/>
          <c:yMode val="edge"/>
          <c:x val="0.1857160118412308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92154852324875"/>
          <c:y val="0.17175236788782836"/>
          <c:w val="0.88707845147675124"/>
          <c:h val="0.62322665527756815"/>
        </c:manualLayout>
      </c:layout>
      <c:barChart>
        <c:barDir val="col"/>
        <c:grouping val="clustered"/>
        <c:varyColors val="0"/>
        <c:ser>
          <c:idx val="0"/>
          <c:order val="0"/>
          <c:tx>
            <c:strRef>
              <c:f>'Pivot Tables'!$B$75</c:f>
              <c:strCache>
                <c:ptCount val="1"/>
                <c:pt idx="0">
                  <c:v>Sum of North_America_Sales_Millions</c:v>
                </c:pt>
              </c:strCache>
            </c:strRef>
          </c:tx>
          <c:spPr>
            <a:solidFill>
              <a:schemeClr val="accent1"/>
            </a:solidFill>
            <a:ln>
              <a:noFill/>
            </a:ln>
            <a:effectLst/>
          </c:spPr>
          <c:invertIfNegative val="0"/>
          <c:cat>
            <c:strRef>
              <c:f>'Pivot Tables'!$A$76:$A$86</c:f>
              <c:strCache>
                <c:ptCount val="10"/>
                <c:pt idx="0">
                  <c:v>Action</c:v>
                </c:pt>
                <c:pt idx="1">
                  <c:v>Adventure</c:v>
                </c:pt>
                <c:pt idx="2">
                  <c:v>Fighting</c:v>
                </c:pt>
                <c:pt idx="3">
                  <c:v>Platform</c:v>
                </c:pt>
                <c:pt idx="4">
                  <c:v>Racing</c:v>
                </c:pt>
                <c:pt idx="5">
                  <c:v>RPG</c:v>
                </c:pt>
                <c:pt idx="6">
                  <c:v>Shooter</c:v>
                </c:pt>
                <c:pt idx="7">
                  <c:v>Simulation</c:v>
                </c:pt>
                <c:pt idx="8">
                  <c:v>Sports</c:v>
                </c:pt>
                <c:pt idx="9">
                  <c:v>Strategy</c:v>
                </c:pt>
              </c:strCache>
            </c:strRef>
          </c:cat>
          <c:val>
            <c:numRef>
              <c:f>'Pivot Tables'!$B$76:$B$86</c:f>
              <c:numCache>
                <c:formatCode>\$0.00\ "M"</c:formatCode>
                <c:ptCount val="10"/>
                <c:pt idx="0">
                  <c:v>50.12</c:v>
                </c:pt>
                <c:pt idx="1">
                  <c:v>43.199999999999996</c:v>
                </c:pt>
                <c:pt idx="2">
                  <c:v>37.469999999999992</c:v>
                </c:pt>
                <c:pt idx="3">
                  <c:v>32.429999999999993</c:v>
                </c:pt>
                <c:pt idx="4">
                  <c:v>28.82</c:v>
                </c:pt>
                <c:pt idx="5">
                  <c:v>34.360000000000007</c:v>
                </c:pt>
                <c:pt idx="6">
                  <c:v>41.020000000000024</c:v>
                </c:pt>
                <c:pt idx="7">
                  <c:v>38.990000000000009</c:v>
                </c:pt>
                <c:pt idx="8">
                  <c:v>59.009999999999984</c:v>
                </c:pt>
                <c:pt idx="9">
                  <c:v>38.459999999999987</c:v>
                </c:pt>
              </c:numCache>
            </c:numRef>
          </c:val>
          <c:extLst>
            <c:ext xmlns:c16="http://schemas.microsoft.com/office/drawing/2014/chart" uri="{C3380CC4-5D6E-409C-BE32-E72D297353CC}">
              <c16:uniqueId val="{00000000-EBBB-45B1-B765-1347EAA36FE9}"/>
            </c:ext>
          </c:extLst>
        </c:ser>
        <c:ser>
          <c:idx val="1"/>
          <c:order val="1"/>
          <c:tx>
            <c:strRef>
              <c:f>'Pivot Tables'!$C$75</c:f>
              <c:strCache>
                <c:ptCount val="1"/>
                <c:pt idx="0">
                  <c:v>Sum of Europe_Sales_Millions</c:v>
                </c:pt>
              </c:strCache>
            </c:strRef>
          </c:tx>
          <c:spPr>
            <a:solidFill>
              <a:schemeClr val="accent2"/>
            </a:solidFill>
            <a:ln>
              <a:noFill/>
            </a:ln>
            <a:effectLst/>
          </c:spPr>
          <c:invertIfNegative val="0"/>
          <c:cat>
            <c:strRef>
              <c:f>'Pivot Tables'!$A$76:$A$86</c:f>
              <c:strCache>
                <c:ptCount val="10"/>
                <c:pt idx="0">
                  <c:v>Action</c:v>
                </c:pt>
                <c:pt idx="1">
                  <c:v>Adventure</c:v>
                </c:pt>
                <c:pt idx="2">
                  <c:v>Fighting</c:v>
                </c:pt>
                <c:pt idx="3">
                  <c:v>Platform</c:v>
                </c:pt>
                <c:pt idx="4">
                  <c:v>Racing</c:v>
                </c:pt>
                <c:pt idx="5">
                  <c:v>RPG</c:v>
                </c:pt>
                <c:pt idx="6">
                  <c:v>Shooter</c:v>
                </c:pt>
                <c:pt idx="7">
                  <c:v>Simulation</c:v>
                </c:pt>
                <c:pt idx="8">
                  <c:v>Sports</c:v>
                </c:pt>
                <c:pt idx="9">
                  <c:v>Strategy</c:v>
                </c:pt>
              </c:strCache>
            </c:strRef>
          </c:cat>
          <c:val>
            <c:numRef>
              <c:f>'Pivot Tables'!$C$76:$C$86</c:f>
              <c:numCache>
                <c:formatCode>\$0.00\ "M"</c:formatCode>
                <c:ptCount val="10"/>
                <c:pt idx="0">
                  <c:v>32.230000000000004</c:v>
                </c:pt>
                <c:pt idx="1">
                  <c:v>26.579999999999988</c:v>
                </c:pt>
                <c:pt idx="2">
                  <c:v>21.510000000000005</c:v>
                </c:pt>
                <c:pt idx="3">
                  <c:v>19.599999999999998</c:v>
                </c:pt>
                <c:pt idx="4">
                  <c:v>17.89</c:v>
                </c:pt>
                <c:pt idx="5">
                  <c:v>21.360000000000003</c:v>
                </c:pt>
                <c:pt idx="6">
                  <c:v>25.830000000000005</c:v>
                </c:pt>
                <c:pt idx="7">
                  <c:v>22.999999999999989</c:v>
                </c:pt>
                <c:pt idx="8">
                  <c:v>34.239999999999988</c:v>
                </c:pt>
                <c:pt idx="9">
                  <c:v>22.370000000000005</c:v>
                </c:pt>
              </c:numCache>
            </c:numRef>
          </c:val>
          <c:extLst>
            <c:ext xmlns:c16="http://schemas.microsoft.com/office/drawing/2014/chart" uri="{C3380CC4-5D6E-409C-BE32-E72D297353CC}">
              <c16:uniqueId val="{00000001-EBBB-45B1-B765-1347EAA36FE9}"/>
            </c:ext>
          </c:extLst>
        </c:ser>
        <c:ser>
          <c:idx val="2"/>
          <c:order val="2"/>
          <c:tx>
            <c:strRef>
              <c:f>'Pivot Tables'!$D$75</c:f>
              <c:strCache>
                <c:ptCount val="1"/>
                <c:pt idx="0">
                  <c:v>Sum of Japan_Sales_Millions</c:v>
                </c:pt>
              </c:strCache>
            </c:strRef>
          </c:tx>
          <c:spPr>
            <a:solidFill>
              <a:schemeClr val="accent3"/>
            </a:solidFill>
            <a:ln>
              <a:noFill/>
            </a:ln>
            <a:effectLst/>
          </c:spPr>
          <c:invertIfNegative val="0"/>
          <c:cat>
            <c:strRef>
              <c:f>'Pivot Tables'!$A$76:$A$86</c:f>
              <c:strCache>
                <c:ptCount val="10"/>
                <c:pt idx="0">
                  <c:v>Action</c:v>
                </c:pt>
                <c:pt idx="1">
                  <c:v>Adventure</c:v>
                </c:pt>
                <c:pt idx="2">
                  <c:v>Fighting</c:v>
                </c:pt>
                <c:pt idx="3">
                  <c:v>Platform</c:v>
                </c:pt>
                <c:pt idx="4">
                  <c:v>Racing</c:v>
                </c:pt>
                <c:pt idx="5">
                  <c:v>RPG</c:v>
                </c:pt>
                <c:pt idx="6">
                  <c:v>Shooter</c:v>
                </c:pt>
                <c:pt idx="7">
                  <c:v>Simulation</c:v>
                </c:pt>
                <c:pt idx="8">
                  <c:v>Sports</c:v>
                </c:pt>
                <c:pt idx="9">
                  <c:v>Strategy</c:v>
                </c:pt>
              </c:strCache>
            </c:strRef>
          </c:cat>
          <c:val>
            <c:numRef>
              <c:f>'Pivot Tables'!$D$76:$D$86</c:f>
              <c:numCache>
                <c:formatCode>\$0.00\ "M"</c:formatCode>
                <c:ptCount val="10"/>
                <c:pt idx="0">
                  <c:v>14.609999999999992</c:v>
                </c:pt>
                <c:pt idx="1">
                  <c:v>11.73999999999999</c:v>
                </c:pt>
                <c:pt idx="2">
                  <c:v>9.5499999999999936</c:v>
                </c:pt>
                <c:pt idx="3">
                  <c:v>8.9599999999999973</c:v>
                </c:pt>
                <c:pt idx="4">
                  <c:v>7.72</c:v>
                </c:pt>
                <c:pt idx="5">
                  <c:v>9.1799999999999944</c:v>
                </c:pt>
                <c:pt idx="6">
                  <c:v>12.459999999999992</c:v>
                </c:pt>
                <c:pt idx="7">
                  <c:v>10.209999999999992</c:v>
                </c:pt>
                <c:pt idx="8">
                  <c:v>14.879999999999999</c:v>
                </c:pt>
                <c:pt idx="9">
                  <c:v>11.029999999999996</c:v>
                </c:pt>
              </c:numCache>
            </c:numRef>
          </c:val>
          <c:extLst>
            <c:ext xmlns:c16="http://schemas.microsoft.com/office/drawing/2014/chart" uri="{C3380CC4-5D6E-409C-BE32-E72D297353CC}">
              <c16:uniqueId val="{00000002-EBBB-45B1-B765-1347EAA36FE9}"/>
            </c:ext>
          </c:extLst>
        </c:ser>
        <c:ser>
          <c:idx val="3"/>
          <c:order val="3"/>
          <c:tx>
            <c:strRef>
              <c:f>'Pivot Tables'!$E$75</c:f>
              <c:strCache>
                <c:ptCount val="1"/>
                <c:pt idx="0">
                  <c:v>Sum of Other_Sales_Millions</c:v>
                </c:pt>
              </c:strCache>
            </c:strRef>
          </c:tx>
          <c:spPr>
            <a:solidFill>
              <a:schemeClr val="accent4"/>
            </a:solidFill>
            <a:ln>
              <a:noFill/>
            </a:ln>
            <a:effectLst/>
          </c:spPr>
          <c:invertIfNegative val="0"/>
          <c:cat>
            <c:strRef>
              <c:f>'Pivot Tables'!$A$76:$A$86</c:f>
              <c:strCache>
                <c:ptCount val="10"/>
                <c:pt idx="0">
                  <c:v>Action</c:v>
                </c:pt>
                <c:pt idx="1">
                  <c:v>Adventure</c:v>
                </c:pt>
                <c:pt idx="2">
                  <c:v>Fighting</c:v>
                </c:pt>
                <c:pt idx="3">
                  <c:v>Platform</c:v>
                </c:pt>
                <c:pt idx="4">
                  <c:v>Racing</c:v>
                </c:pt>
                <c:pt idx="5">
                  <c:v>RPG</c:v>
                </c:pt>
                <c:pt idx="6">
                  <c:v>Shooter</c:v>
                </c:pt>
                <c:pt idx="7">
                  <c:v>Simulation</c:v>
                </c:pt>
                <c:pt idx="8">
                  <c:v>Sports</c:v>
                </c:pt>
                <c:pt idx="9">
                  <c:v>Strategy</c:v>
                </c:pt>
              </c:strCache>
            </c:strRef>
          </c:cat>
          <c:val>
            <c:numRef>
              <c:f>'Pivot Tables'!$E$76:$E$86</c:f>
              <c:numCache>
                <c:formatCode>\$0.00\ "M"</c:formatCode>
                <c:ptCount val="10"/>
                <c:pt idx="0">
                  <c:v>23.160000000000007</c:v>
                </c:pt>
                <c:pt idx="1">
                  <c:v>13.19999999999999</c:v>
                </c:pt>
                <c:pt idx="2">
                  <c:v>10.699999999999994</c:v>
                </c:pt>
                <c:pt idx="3">
                  <c:v>11.579999999999995</c:v>
                </c:pt>
                <c:pt idx="4">
                  <c:v>10.120000000000001</c:v>
                </c:pt>
                <c:pt idx="5">
                  <c:v>10.869999999999994</c:v>
                </c:pt>
                <c:pt idx="6">
                  <c:v>14.49</c:v>
                </c:pt>
                <c:pt idx="7">
                  <c:v>13.449999999999994</c:v>
                </c:pt>
                <c:pt idx="8">
                  <c:v>20.470000000000002</c:v>
                </c:pt>
                <c:pt idx="9">
                  <c:v>11.649999999999993</c:v>
                </c:pt>
              </c:numCache>
            </c:numRef>
          </c:val>
          <c:extLst>
            <c:ext xmlns:c16="http://schemas.microsoft.com/office/drawing/2014/chart" uri="{C3380CC4-5D6E-409C-BE32-E72D297353CC}">
              <c16:uniqueId val="{00000003-EBBB-45B1-B765-1347EAA36FE9}"/>
            </c:ext>
          </c:extLst>
        </c:ser>
        <c:dLbls>
          <c:showLegendKey val="0"/>
          <c:showVal val="0"/>
          <c:showCatName val="0"/>
          <c:showSerName val="0"/>
          <c:showPercent val="0"/>
          <c:showBubbleSize val="0"/>
        </c:dLbls>
        <c:gapWidth val="219"/>
        <c:overlap val="-27"/>
        <c:axId val="158346751"/>
        <c:axId val="2004241104"/>
      </c:barChart>
      <c:catAx>
        <c:axId val="15834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004241104"/>
        <c:crosses val="autoZero"/>
        <c:auto val="1"/>
        <c:lblAlgn val="ctr"/>
        <c:lblOffset val="100"/>
        <c:noMultiLvlLbl val="0"/>
      </c:catAx>
      <c:valAx>
        <c:axId val="2004241104"/>
        <c:scaling>
          <c:orientation val="minMax"/>
        </c:scaling>
        <c:delete val="0"/>
        <c:axPos val="l"/>
        <c:majorGridlines>
          <c:spPr>
            <a:ln w="9525" cap="flat" cmpd="sng" algn="ctr">
              <a:solidFill>
                <a:schemeClr val="tx1">
                  <a:lumMod val="15000"/>
                  <a:lumOff val="85000"/>
                </a:schemeClr>
              </a:solidFill>
              <a:round/>
            </a:ln>
            <a:effectLst/>
          </c:spPr>
        </c:majorGridlines>
        <c:numFmt formatCode="\$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5834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7.svg"/><Relationship Id="rId3" Type="http://schemas.openxmlformats.org/officeDocument/2006/relationships/image" Target="../media/image2.png"/><Relationship Id="rId7" Type="http://schemas.openxmlformats.org/officeDocument/2006/relationships/chart" Target="../charts/chart2.xml"/><Relationship Id="rId12" Type="http://schemas.openxmlformats.org/officeDocument/2006/relationships/image" Target="../media/image6.png"/><Relationship Id="rId2" Type="http://schemas.openxmlformats.org/officeDocument/2006/relationships/image" Target="../media/image1.jpeg"/><Relationship Id="rId16"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5.png"/><Relationship Id="rId5" Type="http://schemas.openxmlformats.org/officeDocument/2006/relationships/image" Target="../media/image3.png"/><Relationship Id="rId15" Type="http://schemas.openxmlformats.org/officeDocument/2006/relationships/image" Target="../media/image9.svg"/><Relationship Id="rId10" Type="http://schemas.openxmlformats.org/officeDocument/2006/relationships/chart" Target="../charts/chart5.xml"/><Relationship Id="rId4" Type="http://schemas.microsoft.com/office/2007/relationships/hdphoto" Target="../media/hdphoto1.wdp"/><Relationship Id="rId9" Type="http://schemas.openxmlformats.org/officeDocument/2006/relationships/chart" Target="../charts/chart4.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355600</xdr:colOff>
      <xdr:row>43</xdr:row>
      <xdr:rowOff>82550</xdr:rowOff>
    </xdr:to>
    <xdr:sp macro="" textlink="">
      <xdr:nvSpPr>
        <xdr:cNvPr id="2" name="Rectangle 1">
          <a:extLst>
            <a:ext uri="{FF2B5EF4-FFF2-40B4-BE49-F238E27FC236}">
              <a16:creationId xmlns:a16="http://schemas.microsoft.com/office/drawing/2014/main" id="{2AAF6968-978C-4205-A63D-7F71342B2804}"/>
            </a:ext>
          </a:extLst>
        </xdr:cNvPr>
        <xdr:cNvSpPr/>
      </xdr:nvSpPr>
      <xdr:spPr>
        <a:xfrm>
          <a:off x="0" y="0"/>
          <a:ext cx="15830550" cy="8001000"/>
        </a:xfrm>
        <a:prstGeom prst="rect">
          <a:avLst/>
        </a:prstGeom>
        <a:solidFill>
          <a:srgbClr val="070B1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520700</xdr:colOff>
      <xdr:row>27</xdr:row>
      <xdr:rowOff>12700</xdr:rowOff>
    </xdr:from>
    <xdr:to>
      <xdr:col>23</xdr:col>
      <xdr:colOff>254000</xdr:colOff>
      <xdr:row>41</xdr:row>
      <xdr:rowOff>170600</xdr:rowOff>
    </xdr:to>
    <xdr:sp macro="" textlink="">
      <xdr:nvSpPr>
        <xdr:cNvPr id="3" name="Rectangle: Rounded Corners 2">
          <a:extLst>
            <a:ext uri="{FF2B5EF4-FFF2-40B4-BE49-F238E27FC236}">
              <a16:creationId xmlns:a16="http://schemas.microsoft.com/office/drawing/2014/main" id="{719A9FFF-74F8-4735-B67E-4F9C7EC325CA}"/>
            </a:ext>
          </a:extLst>
        </xdr:cNvPr>
        <xdr:cNvSpPr/>
      </xdr:nvSpPr>
      <xdr:spPr>
        <a:xfrm>
          <a:off x="11537950" y="4984750"/>
          <a:ext cx="4191000" cy="2736000"/>
        </a:xfrm>
        <a:prstGeom prst="roundRect">
          <a:avLst>
            <a:gd name="adj" fmla="val 8387"/>
          </a:avLst>
        </a:prstGeom>
        <a:solidFill>
          <a:srgbClr val="0D1730"/>
        </a:solidFill>
        <a:ln>
          <a:solidFill>
            <a:srgbClr val="1C3D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38100</xdr:colOff>
      <xdr:row>26</xdr:row>
      <xdr:rowOff>177800</xdr:rowOff>
    </xdr:from>
    <xdr:to>
      <xdr:col>16</xdr:col>
      <xdr:colOff>412750</xdr:colOff>
      <xdr:row>41</xdr:row>
      <xdr:rowOff>151550</xdr:rowOff>
    </xdr:to>
    <xdr:sp macro="" textlink="">
      <xdr:nvSpPr>
        <xdr:cNvPr id="4" name="Rectangle: Rounded Corners 3">
          <a:extLst>
            <a:ext uri="{FF2B5EF4-FFF2-40B4-BE49-F238E27FC236}">
              <a16:creationId xmlns:a16="http://schemas.microsoft.com/office/drawing/2014/main" id="{180B6929-1534-41BC-A11C-6F60D24521E1}"/>
            </a:ext>
          </a:extLst>
        </xdr:cNvPr>
        <xdr:cNvSpPr/>
      </xdr:nvSpPr>
      <xdr:spPr>
        <a:xfrm>
          <a:off x="6362700" y="4965700"/>
          <a:ext cx="5067300" cy="2736000"/>
        </a:xfrm>
        <a:prstGeom prst="roundRect">
          <a:avLst>
            <a:gd name="adj" fmla="val 8387"/>
          </a:avLst>
        </a:prstGeom>
        <a:solidFill>
          <a:srgbClr val="0D1730"/>
        </a:solidFill>
        <a:ln>
          <a:solidFill>
            <a:srgbClr val="1C3D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63500</xdr:colOff>
      <xdr:row>12</xdr:row>
      <xdr:rowOff>171450</xdr:rowOff>
    </xdr:from>
    <xdr:to>
      <xdr:col>19</xdr:col>
      <xdr:colOff>114300</xdr:colOff>
      <xdr:row>26</xdr:row>
      <xdr:rowOff>95350</xdr:rowOff>
    </xdr:to>
    <xdr:sp macro="" textlink="">
      <xdr:nvSpPr>
        <xdr:cNvPr id="7" name="Rectangle: Rounded Corners 6">
          <a:extLst>
            <a:ext uri="{FF2B5EF4-FFF2-40B4-BE49-F238E27FC236}">
              <a16:creationId xmlns:a16="http://schemas.microsoft.com/office/drawing/2014/main" id="{BF85FB4B-0AF6-4352-B6D0-A27F3A7F1240}"/>
            </a:ext>
          </a:extLst>
        </xdr:cNvPr>
        <xdr:cNvSpPr/>
      </xdr:nvSpPr>
      <xdr:spPr>
        <a:xfrm>
          <a:off x="6388100" y="2381250"/>
          <a:ext cx="6762750" cy="2502000"/>
        </a:xfrm>
        <a:prstGeom prst="roundRect">
          <a:avLst>
            <a:gd name="adj" fmla="val 8387"/>
          </a:avLst>
        </a:prstGeom>
        <a:solidFill>
          <a:srgbClr val="0D1730"/>
        </a:solidFill>
        <a:ln>
          <a:solidFill>
            <a:srgbClr val="1C3D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69850</xdr:colOff>
      <xdr:row>27</xdr:row>
      <xdr:rowOff>6350</xdr:rowOff>
    </xdr:from>
    <xdr:to>
      <xdr:col>8</xdr:col>
      <xdr:colOff>546100</xdr:colOff>
      <xdr:row>41</xdr:row>
      <xdr:rowOff>165100</xdr:rowOff>
    </xdr:to>
    <xdr:sp macro="" textlink="">
      <xdr:nvSpPr>
        <xdr:cNvPr id="9" name="Rectangle: Rounded Corners 8">
          <a:extLst>
            <a:ext uri="{FF2B5EF4-FFF2-40B4-BE49-F238E27FC236}">
              <a16:creationId xmlns:a16="http://schemas.microsoft.com/office/drawing/2014/main" id="{1100AA5B-FBCF-476A-B65D-B09707E5C955}"/>
            </a:ext>
          </a:extLst>
        </xdr:cNvPr>
        <xdr:cNvSpPr/>
      </xdr:nvSpPr>
      <xdr:spPr>
        <a:xfrm>
          <a:off x="69850" y="4978400"/>
          <a:ext cx="6191250" cy="2736850"/>
        </a:xfrm>
        <a:prstGeom prst="roundRect">
          <a:avLst>
            <a:gd name="adj" fmla="val 8387"/>
          </a:avLst>
        </a:prstGeom>
        <a:solidFill>
          <a:srgbClr val="0D1730"/>
        </a:solidFill>
        <a:ln>
          <a:solidFill>
            <a:srgbClr val="1C3D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12700</xdr:colOff>
      <xdr:row>12</xdr:row>
      <xdr:rowOff>171450</xdr:rowOff>
    </xdr:from>
    <xdr:to>
      <xdr:col>8</xdr:col>
      <xdr:colOff>520700</xdr:colOff>
      <xdr:row>26</xdr:row>
      <xdr:rowOff>95250</xdr:rowOff>
    </xdr:to>
    <xdr:sp macro="" textlink="">
      <xdr:nvSpPr>
        <xdr:cNvPr id="10" name="Rectangle: Rounded Corners 9">
          <a:extLst>
            <a:ext uri="{FF2B5EF4-FFF2-40B4-BE49-F238E27FC236}">
              <a16:creationId xmlns:a16="http://schemas.microsoft.com/office/drawing/2014/main" id="{739C00BC-CEA5-46E1-988C-8D863A42C7DA}"/>
            </a:ext>
          </a:extLst>
        </xdr:cNvPr>
        <xdr:cNvSpPr/>
      </xdr:nvSpPr>
      <xdr:spPr>
        <a:xfrm>
          <a:off x="12700" y="2381250"/>
          <a:ext cx="6223000" cy="2501900"/>
        </a:xfrm>
        <a:prstGeom prst="roundRect">
          <a:avLst>
            <a:gd name="adj" fmla="val 8387"/>
          </a:avLst>
        </a:prstGeom>
        <a:solidFill>
          <a:srgbClr val="0D1730"/>
        </a:solidFill>
        <a:ln>
          <a:solidFill>
            <a:srgbClr val="1C3D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0</xdr:colOff>
      <xdr:row>12</xdr:row>
      <xdr:rowOff>0</xdr:rowOff>
    </xdr:from>
    <xdr:to>
      <xdr:col>8</xdr:col>
      <xdr:colOff>304800</xdr:colOff>
      <xdr:row>13</xdr:row>
      <xdr:rowOff>120650</xdr:rowOff>
    </xdr:to>
    <xdr:sp macro="" textlink="">
      <xdr:nvSpPr>
        <xdr:cNvPr id="12" name="AutoShape 1" descr="PlayStation Games Analysis Dashboard">
          <a:extLst>
            <a:ext uri="{FF2B5EF4-FFF2-40B4-BE49-F238E27FC236}">
              <a16:creationId xmlns:a16="http://schemas.microsoft.com/office/drawing/2014/main" id="{C4A4A465-7682-4553-A526-91AE74DC7AE4}"/>
            </a:ext>
          </a:extLst>
        </xdr:cNvPr>
        <xdr:cNvSpPr>
          <a:spLocks noChangeAspect="1" noChangeArrowheads="1"/>
        </xdr:cNvSpPr>
      </xdr:nvSpPr>
      <xdr:spPr bwMode="auto">
        <a:xfrm>
          <a:off x="5715000" y="220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16</xdr:col>
      <xdr:colOff>203200</xdr:colOff>
      <xdr:row>25</xdr:row>
      <xdr:rowOff>171450</xdr:rowOff>
    </xdr:from>
    <xdr:to>
      <xdr:col>22</xdr:col>
      <xdr:colOff>596900</xdr:colOff>
      <xdr:row>43</xdr:row>
      <xdr:rowOff>127000</xdr:rowOff>
    </xdr:to>
    <xdr:graphicFrame macro="">
      <xdr:nvGraphicFramePr>
        <xdr:cNvPr id="14" name="Chart 13">
          <a:extLst>
            <a:ext uri="{FF2B5EF4-FFF2-40B4-BE49-F238E27FC236}">
              <a16:creationId xmlns:a16="http://schemas.microsoft.com/office/drawing/2014/main" id="{200C9670-8A39-4FDF-B025-2C94D4014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63500</xdr:colOff>
      <xdr:row>0</xdr:row>
      <xdr:rowOff>38100</xdr:rowOff>
    </xdr:from>
    <xdr:to>
      <xdr:col>23</xdr:col>
      <xdr:colOff>146050</xdr:colOff>
      <xdr:row>5</xdr:row>
      <xdr:rowOff>171450</xdr:rowOff>
    </xdr:to>
    <xdr:sp macro="" textlink="">
      <xdr:nvSpPr>
        <xdr:cNvPr id="20" name="Rectangle: Rounded Corners 19">
          <a:extLst>
            <a:ext uri="{FF2B5EF4-FFF2-40B4-BE49-F238E27FC236}">
              <a16:creationId xmlns:a16="http://schemas.microsoft.com/office/drawing/2014/main" id="{96ED718E-9FB0-4EBC-9EC0-B54A5D6CEE14}"/>
            </a:ext>
          </a:extLst>
        </xdr:cNvPr>
        <xdr:cNvSpPr/>
      </xdr:nvSpPr>
      <xdr:spPr>
        <a:xfrm>
          <a:off x="63500" y="38100"/>
          <a:ext cx="15557500" cy="1054100"/>
        </a:xfrm>
        <a:prstGeom prst="roundRect">
          <a:avLst>
            <a:gd name="adj" fmla="val 8387"/>
          </a:avLst>
        </a:prstGeom>
        <a:solidFill>
          <a:srgbClr val="0D1730"/>
        </a:solidFill>
        <a:ln>
          <a:solidFill>
            <a:srgbClr val="1C3D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12701</xdr:colOff>
      <xdr:row>0</xdr:row>
      <xdr:rowOff>69850</xdr:rowOff>
    </xdr:from>
    <xdr:to>
      <xdr:col>23</xdr:col>
      <xdr:colOff>158750</xdr:colOff>
      <xdr:row>6</xdr:row>
      <xdr:rowOff>44449</xdr:rowOff>
    </xdr:to>
    <xdr:pic>
      <xdr:nvPicPr>
        <xdr:cNvPr id="61" name="Picture 60">
          <a:extLst>
            <a:ext uri="{FF2B5EF4-FFF2-40B4-BE49-F238E27FC236}">
              <a16:creationId xmlns:a16="http://schemas.microsoft.com/office/drawing/2014/main" id="{E4A304F8-0C84-844E-38CA-80BE2E5AD986}"/>
            </a:ext>
          </a:extLst>
        </xdr:cNvPr>
        <xdr:cNvPicPr>
          <a:picLocks noChangeAspect="1"/>
        </xdr:cNvPicPr>
      </xdr:nvPicPr>
      <xdr:blipFill>
        <a:blip xmlns:r="http://schemas.openxmlformats.org/officeDocument/2006/relationships" r:embed="rId2" cstate="print">
          <a:alphaModFix amt="73000"/>
          <a:extLst>
            <a:ext uri="{28A0092B-C50C-407E-A947-70E740481C1C}">
              <a14:useLocalDpi xmlns:a14="http://schemas.microsoft.com/office/drawing/2010/main" val="0"/>
            </a:ext>
          </a:extLst>
        </a:blip>
        <a:stretch>
          <a:fillRect/>
        </a:stretch>
      </xdr:blipFill>
      <xdr:spPr>
        <a:xfrm>
          <a:off x="12701" y="69850"/>
          <a:ext cx="15620999" cy="1079499"/>
        </a:xfrm>
        <a:prstGeom prst="rect">
          <a:avLst/>
        </a:prstGeom>
        <a:ln>
          <a:noFill/>
        </a:ln>
        <a:effectLst>
          <a:glow rad="63500">
            <a:schemeClr val="accent4">
              <a:satMod val="175000"/>
              <a:alpha val="40000"/>
            </a:schemeClr>
          </a:glow>
          <a:softEdge rad="112500"/>
        </a:effectLst>
      </xdr:spPr>
    </xdr:pic>
    <xdr:clientData/>
  </xdr:twoCellAnchor>
  <xdr:oneCellAnchor>
    <xdr:from>
      <xdr:col>1</xdr:col>
      <xdr:colOff>330201</xdr:colOff>
      <xdr:row>0</xdr:row>
      <xdr:rowOff>0</xdr:rowOff>
    </xdr:from>
    <xdr:ext cx="10255250" cy="565150"/>
    <xdr:sp macro="" textlink="">
      <xdr:nvSpPr>
        <xdr:cNvPr id="21" name="Rectangle 20">
          <a:extLst>
            <a:ext uri="{FF2B5EF4-FFF2-40B4-BE49-F238E27FC236}">
              <a16:creationId xmlns:a16="http://schemas.microsoft.com/office/drawing/2014/main" id="{A5741CBF-3E5D-4BFC-97CA-776EFD383428}"/>
            </a:ext>
          </a:extLst>
        </xdr:cNvPr>
        <xdr:cNvSpPr/>
      </xdr:nvSpPr>
      <xdr:spPr>
        <a:xfrm>
          <a:off x="939801" y="0"/>
          <a:ext cx="10255250" cy="565150"/>
        </a:xfrm>
        <a:prstGeom prst="rect">
          <a:avLst/>
        </a:prstGeom>
        <a:noFill/>
      </xdr:spPr>
      <xdr:txBody>
        <a:bodyPr wrap="none" lIns="91440" tIns="45720" rIns="91440" bIns="4572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a:solidFill>
                <a:schemeClr val="bg1"/>
              </a:solidFill>
            </a:rPr>
            <a:t>PLAYSTATION GAMES </a:t>
          </a:r>
          <a:r>
            <a:rPr lang="en-IN" sz="4000" b="1">
              <a:solidFill>
                <a:srgbClr val="FFFFFF"/>
              </a:solidFill>
              <a:effectLst/>
              <a:latin typeface="+mn-lt"/>
              <a:ea typeface="+mn-ea"/>
              <a:cs typeface="+mn-cs"/>
            </a:rPr>
            <a:t>ANALYSIS DASHBOARD</a:t>
          </a:r>
          <a:endParaRPr lang="en-IN" sz="4000">
            <a:solidFill>
              <a:srgbClr val="FFFFFF"/>
            </a:solidFill>
            <a:effectLst/>
          </a:endParaRPr>
        </a:p>
        <a:p>
          <a:pPr algn="ctr"/>
          <a:endParaRPr lang="en-US" sz="3200" b="1"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xdr:col>
      <xdr:colOff>615951</xdr:colOff>
      <xdr:row>3</xdr:row>
      <xdr:rowOff>77285</xdr:rowOff>
    </xdr:from>
    <xdr:ext cx="8197849" cy="342786"/>
    <xdr:sp macro="" textlink="">
      <xdr:nvSpPr>
        <xdr:cNvPr id="23" name="Rectangle 22">
          <a:extLst>
            <a:ext uri="{FF2B5EF4-FFF2-40B4-BE49-F238E27FC236}">
              <a16:creationId xmlns:a16="http://schemas.microsoft.com/office/drawing/2014/main" id="{3D69A380-AB69-42D0-A9D8-E189CDE1124F}"/>
            </a:ext>
          </a:extLst>
        </xdr:cNvPr>
        <xdr:cNvSpPr/>
      </xdr:nvSpPr>
      <xdr:spPr>
        <a:xfrm>
          <a:off x="1225551" y="629735"/>
          <a:ext cx="8197849" cy="342786"/>
        </a:xfrm>
        <a:prstGeom prst="rect">
          <a:avLst/>
        </a:prstGeom>
        <a:noFill/>
      </xdr:spPr>
      <xdr:txBody>
        <a:bodyPr wrap="square" lIns="91440" tIns="45720" rIns="91440" bIns="45720">
          <a:spAutoFit/>
        </a:bodyPr>
        <a:lstStyle/>
        <a:p>
          <a:pPr algn="l"/>
          <a:r>
            <a:rPr lang="en-IN" sz="1600" b="1">
              <a:solidFill>
                <a:schemeClr val="bg1">
                  <a:lumMod val="85000"/>
                </a:schemeClr>
              </a:solidFill>
            </a:rPr>
            <a:t>Insights into PlayStation Games Sales, Genres, Publishers, Ratings &amp; Platform Performance</a:t>
          </a:r>
          <a:endParaRPr lang="en-US" sz="1600" b="1" cap="none" spc="0">
            <a:ln w="0"/>
            <a:solidFill>
              <a:schemeClr val="bg1">
                <a:lumMod val="85000"/>
              </a:schemeClr>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76200</xdr:colOff>
      <xdr:row>0</xdr:row>
      <xdr:rowOff>0</xdr:rowOff>
    </xdr:from>
    <xdr:to>
      <xdr:col>1</xdr:col>
      <xdr:colOff>603250</xdr:colOff>
      <xdr:row>6</xdr:row>
      <xdr:rowOff>8787</xdr:rowOff>
    </xdr:to>
    <xdr:pic>
      <xdr:nvPicPr>
        <xdr:cNvPr id="24" name="Picture 23">
          <a:extLst>
            <a:ext uri="{FF2B5EF4-FFF2-40B4-BE49-F238E27FC236}">
              <a16:creationId xmlns:a16="http://schemas.microsoft.com/office/drawing/2014/main" id="{92C5F091-BD85-49CC-9DEC-ADE5A0BC9AE2}"/>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9122" b="89865" l="662" r="96689">
                      <a14:foregroundMark x1="31457" y1="56081" x2="32450" y2="55068"/>
                      <a14:foregroundMark x1="7616" y1="67568" x2="6954" y2="67568"/>
                      <a14:foregroundMark x1="993" y1="70270" x2="2649" y2="68919"/>
                      <a14:foregroundMark x1="55960" y1="63851" x2="96689" y2="67230"/>
                      <a14:foregroundMark x1="96689" y1="67230" x2="57947" y2="61824"/>
                    </a14:backgroundRemoval>
                  </a14:imgEffect>
                </a14:imgLayer>
              </a14:imgProps>
            </a:ext>
            <a:ext uri="{28A0092B-C50C-407E-A947-70E740481C1C}">
              <a14:useLocalDpi xmlns:a14="http://schemas.microsoft.com/office/drawing/2010/main" val="0"/>
            </a:ext>
          </a:extLst>
        </a:blip>
        <a:stretch>
          <a:fillRect/>
        </a:stretch>
      </xdr:blipFill>
      <xdr:spPr>
        <a:xfrm>
          <a:off x="76200" y="0"/>
          <a:ext cx="1136650" cy="1113687"/>
        </a:xfrm>
        <a:prstGeom prst="rect">
          <a:avLst/>
        </a:prstGeom>
      </xdr:spPr>
    </xdr:pic>
    <xdr:clientData/>
  </xdr:twoCellAnchor>
  <xdr:twoCellAnchor editAs="oneCell">
    <xdr:from>
      <xdr:col>10</xdr:col>
      <xdr:colOff>0</xdr:colOff>
      <xdr:row>55</xdr:row>
      <xdr:rowOff>0</xdr:rowOff>
    </xdr:from>
    <xdr:to>
      <xdr:col>32</xdr:col>
      <xdr:colOff>546100</xdr:colOff>
      <xdr:row>107</xdr:row>
      <xdr:rowOff>177800</xdr:rowOff>
    </xdr:to>
    <xdr:sp macro="" textlink="">
      <xdr:nvSpPr>
        <xdr:cNvPr id="25" name="_r_1p9_" descr="Generated image: Front-Facing DualSense Controller Cutout">
          <a:extLst>
            <a:ext uri="{FF2B5EF4-FFF2-40B4-BE49-F238E27FC236}">
              <a16:creationId xmlns:a16="http://schemas.microsoft.com/office/drawing/2014/main" id="{3C43BF53-D44F-4BA6-9E7E-D21DDE01E4A8}"/>
            </a:ext>
          </a:extLst>
        </xdr:cNvPr>
        <xdr:cNvSpPr>
          <a:spLocks noChangeAspect="1" noChangeArrowheads="1"/>
        </xdr:cNvSpPr>
      </xdr:nvSpPr>
      <xdr:spPr bwMode="auto">
        <a:xfrm>
          <a:off x="6934200" y="10128250"/>
          <a:ext cx="14630400" cy="9753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49</xdr:row>
      <xdr:rowOff>0</xdr:rowOff>
    </xdr:from>
    <xdr:to>
      <xdr:col>27</xdr:col>
      <xdr:colOff>127000</xdr:colOff>
      <xdr:row>84</xdr:row>
      <xdr:rowOff>101600</xdr:rowOff>
    </xdr:to>
    <xdr:sp macro="" textlink="">
      <xdr:nvSpPr>
        <xdr:cNvPr id="26" name="AutoShape 6">
          <a:extLst>
            <a:ext uri="{FF2B5EF4-FFF2-40B4-BE49-F238E27FC236}">
              <a16:creationId xmlns:a16="http://schemas.microsoft.com/office/drawing/2014/main" id="{AD7E7732-8D95-43D7-9B8A-20A9D2770C4A}"/>
            </a:ext>
          </a:extLst>
        </xdr:cNvPr>
        <xdr:cNvSpPr>
          <a:spLocks noChangeAspect="1" noChangeArrowheads="1"/>
        </xdr:cNvSpPr>
      </xdr:nvSpPr>
      <xdr:spPr bwMode="auto">
        <a:xfrm>
          <a:off x="6934200" y="9023350"/>
          <a:ext cx="11163300" cy="65468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19</xdr:col>
      <xdr:colOff>273050</xdr:colOff>
      <xdr:row>6</xdr:row>
      <xdr:rowOff>177800</xdr:rowOff>
    </xdr:from>
    <xdr:to>
      <xdr:col>23</xdr:col>
      <xdr:colOff>95250</xdr:colOff>
      <xdr:row>12</xdr:row>
      <xdr:rowOff>6350</xdr:rowOff>
    </xdr:to>
    <mc:AlternateContent xmlns:mc="http://schemas.openxmlformats.org/markup-compatibility/2006" xmlns:a14="http://schemas.microsoft.com/office/drawing/2010/main">
      <mc:Choice Requires="a14">
        <xdr:graphicFrame macro="">
          <xdr:nvGraphicFramePr>
            <xdr:cNvPr id="28" name="Platform 1">
              <a:extLst>
                <a:ext uri="{FF2B5EF4-FFF2-40B4-BE49-F238E27FC236}">
                  <a16:creationId xmlns:a16="http://schemas.microsoft.com/office/drawing/2014/main" id="{E9867FC0-A931-4D74-BDD3-90DCD7547B3A}"/>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3309600" y="1282700"/>
              <a:ext cx="22606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285750</xdr:colOff>
      <xdr:row>12</xdr:row>
      <xdr:rowOff>139700</xdr:rowOff>
    </xdr:from>
    <xdr:to>
      <xdr:col>23</xdr:col>
      <xdr:colOff>127000</xdr:colOff>
      <xdr:row>22</xdr:row>
      <xdr:rowOff>38100</xdr:rowOff>
    </xdr:to>
    <mc:AlternateContent xmlns:mc="http://schemas.openxmlformats.org/markup-compatibility/2006" xmlns:a14="http://schemas.microsoft.com/office/drawing/2010/main">
      <mc:Choice Requires="a14">
        <xdr:graphicFrame macro="">
          <xdr:nvGraphicFramePr>
            <xdr:cNvPr id="29" name="Genre 1">
              <a:extLst>
                <a:ext uri="{FF2B5EF4-FFF2-40B4-BE49-F238E27FC236}">
                  <a16:creationId xmlns:a16="http://schemas.microsoft.com/office/drawing/2014/main" id="{F34419AF-E4AD-416E-85FF-7900916EA42B}"/>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13322300" y="2349500"/>
              <a:ext cx="2279650" cy="173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323850</xdr:colOff>
      <xdr:row>22</xdr:row>
      <xdr:rowOff>165101</xdr:rowOff>
    </xdr:from>
    <xdr:to>
      <xdr:col>23</xdr:col>
      <xdr:colOff>88900</xdr:colOff>
      <xdr:row>26</xdr:row>
      <xdr:rowOff>63500</xdr:rowOff>
    </xdr:to>
    <mc:AlternateContent xmlns:mc="http://schemas.openxmlformats.org/markup-compatibility/2006" xmlns:a14="http://schemas.microsoft.com/office/drawing/2010/main">
      <mc:Choice Requires="a14">
        <xdr:graphicFrame macro="">
          <xdr:nvGraphicFramePr>
            <xdr:cNvPr id="31" name="Publisher 1">
              <a:extLst>
                <a:ext uri="{FF2B5EF4-FFF2-40B4-BE49-F238E27FC236}">
                  <a16:creationId xmlns:a16="http://schemas.microsoft.com/office/drawing/2014/main" id="{7613089E-C2D1-4FD3-93B9-622449656A3C}"/>
                </a:ext>
              </a:extLst>
            </xdr:cNvPr>
            <xdr:cNvGraphicFramePr/>
          </xdr:nvGraphicFramePr>
          <xdr:xfrm>
            <a:off x="0" y="0"/>
            <a:ext cx="0" cy="0"/>
          </xdr:xfrm>
          <a:graphic>
            <a:graphicData uri="http://schemas.microsoft.com/office/drawing/2010/slicer">
              <sle:slicer xmlns:sle="http://schemas.microsoft.com/office/drawing/2010/slicer" name="Publisher 1"/>
            </a:graphicData>
          </a:graphic>
        </xdr:graphicFrame>
      </mc:Choice>
      <mc:Fallback xmlns="">
        <xdr:sp macro="" textlink="">
          <xdr:nvSpPr>
            <xdr:cNvPr id="0" name=""/>
            <xdr:cNvSpPr>
              <a:spLocks noTextEdit="1"/>
            </xdr:cNvSpPr>
          </xdr:nvSpPr>
          <xdr:spPr>
            <a:xfrm>
              <a:off x="13360400" y="4216401"/>
              <a:ext cx="2203450" cy="634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400050</xdr:colOff>
      <xdr:row>6</xdr:row>
      <xdr:rowOff>152400</xdr:rowOff>
    </xdr:from>
    <xdr:to>
      <xdr:col>4</xdr:col>
      <xdr:colOff>565150</xdr:colOff>
      <xdr:row>12</xdr:row>
      <xdr:rowOff>44450</xdr:rowOff>
    </xdr:to>
    <xdr:sp macro="" textlink="">
      <xdr:nvSpPr>
        <xdr:cNvPr id="32" name="Rectangle: Rounded Corners 31">
          <a:extLst>
            <a:ext uri="{FF2B5EF4-FFF2-40B4-BE49-F238E27FC236}">
              <a16:creationId xmlns:a16="http://schemas.microsoft.com/office/drawing/2014/main" id="{4EF5E0B9-3162-4719-8652-3A6A89EDF36B}"/>
            </a:ext>
          </a:extLst>
        </xdr:cNvPr>
        <xdr:cNvSpPr/>
      </xdr:nvSpPr>
      <xdr:spPr>
        <a:xfrm>
          <a:off x="400050" y="1257300"/>
          <a:ext cx="2882900" cy="996950"/>
        </a:xfrm>
        <a:prstGeom prst="roundRect">
          <a:avLst>
            <a:gd name="adj" fmla="val 8387"/>
          </a:avLst>
        </a:prstGeom>
        <a:solidFill>
          <a:srgbClr val="0D1730"/>
        </a:solidFill>
        <a:ln>
          <a:solidFill>
            <a:srgbClr val="1C3D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292100</xdr:colOff>
      <xdr:row>9</xdr:row>
      <xdr:rowOff>25400</xdr:rowOff>
    </xdr:from>
    <xdr:to>
      <xdr:col>4</xdr:col>
      <xdr:colOff>139700</xdr:colOff>
      <xdr:row>11</xdr:row>
      <xdr:rowOff>127000</xdr:rowOff>
    </xdr:to>
    <xdr:sp macro="" textlink="Z2">
      <xdr:nvSpPr>
        <xdr:cNvPr id="33" name="TextBox 32">
          <a:extLst>
            <a:ext uri="{FF2B5EF4-FFF2-40B4-BE49-F238E27FC236}">
              <a16:creationId xmlns:a16="http://schemas.microsoft.com/office/drawing/2014/main" id="{D207016A-9F54-4BC0-AD80-2FE72828B4CE}"/>
            </a:ext>
          </a:extLst>
        </xdr:cNvPr>
        <xdr:cNvSpPr txBox="1"/>
      </xdr:nvSpPr>
      <xdr:spPr>
        <a:xfrm>
          <a:off x="1790700" y="1682750"/>
          <a:ext cx="106680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8402DB-3B60-4A45-B7B9-6AE85C24F111}" type="TxLink">
            <a:rPr lang="en-US" sz="28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t>1000</a:t>
          </a:fld>
          <a:endParaRPr lang="en-IN" sz="2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25</xdr:col>
      <xdr:colOff>173937</xdr:colOff>
      <xdr:row>10</xdr:row>
      <xdr:rowOff>107950</xdr:rowOff>
    </xdr:from>
    <xdr:to>
      <xdr:col>27</xdr:col>
      <xdr:colOff>171450</xdr:colOff>
      <xdr:row>16</xdr:row>
      <xdr:rowOff>0</xdr:rowOff>
    </xdr:to>
    <xdr:sp macro="" textlink="">
      <xdr:nvSpPr>
        <xdr:cNvPr id="37" name="Rectangle: Rounded Corners 36">
          <a:extLst>
            <a:ext uri="{FF2B5EF4-FFF2-40B4-BE49-F238E27FC236}">
              <a16:creationId xmlns:a16="http://schemas.microsoft.com/office/drawing/2014/main" id="{8C80B6D5-F5B7-4B24-A579-87025B22F862}"/>
            </a:ext>
          </a:extLst>
        </xdr:cNvPr>
        <xdr:cNvSpPr/>
      </xdr:nvSpPr>
      <xdr:spPr>
        <a:xfrm>
          <a:off x="16868087" y="1949450"/>
          <a:ext cx="1273863" cy="996950"/>
        </a:xfrm>
        <a:prstGeom prst="roundRect">
          <a:avLst>
            <a:gd name="adj" fmla="val 8387"/>
          </a:avLst>
        </a:prstGeom>
        <a:solidFill>
          <a:srgbClr val="0D1730"/>
        </a:solidFill>
        <a:ln>
          <a:solidFill>
            <a:srgbClr val="1C3D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520700</xdr:colOff>
      <xdr:row>7</xdr:row>
      <xdr:rowOff>25400</xdr:rowOff>
    </xdr:from>
    <xdr:to>
      <xdr:col>1</xdr:col>
      <xdr:colOff>799126</xdr:colOff>
      <xdr:row>11</xdr:row>
      <xdr:rowOff>170800</xdr:rowOff>
    </xdr:to>
    <xdr:pic>
      <xdr:nvPicPr>
        <xdr:cNvPr id="42" name="Graphic 41" descr="Game controller with solid fill">
          <a:extLst>
            <a:ext uri="{FF2B5EF4-FFF2-40B4-BE49-F238E27FC236}">
              <a16:creationId xmlns:a16="http://schemas.microsoft.com/office/drawing/2014/main" id="{6707E032-0CE9-45E4-9133-631222E89B3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0700" y="1314450"/>
          <a:ext cx="888026" cy="882000"/>
        </a:xfrm>
        <a:prstGeom prst="rect">
          <a:avLst/>
        </a:prstGeom>
        <a:effectLst>
          <a:glow rad="228600">
            <a:schemeClr val="accent1">
              <a:satMod val="175000"/>
              <a:alpha val="40000"/>
            </a:schemeClr>
          </a:glow>
        </a:effectLst>
      </xdr:spPr>
    </xdr:pic>
    <xdr:clientData/>
  </xdr:twoCellAnchor>
  <xdr:twoCellAnchor>
    <xdr:from>
      <xdr:col>1</xdr:col>
      <xdr:colOff>698500</xdr:colOff>
      <xdr:row>7</xdr:row>
      <xdr:rowOff>6350</xdr:rowOff>
    </xdr:from>
    <xdr:to>
      <xdr:col>4</xdr:col>
      <xdr:colOff>469900</xdr:colOff>
      <xdr:row>9</xdr:row>
      <xdr:rowOff>63500</xdr:rowOff>
    </xdr:to>
    <xdr:sp macro="" textlink="Z2">
      <xdr:nvSpPr>
        <xdr:cNvPr id="43" name="TextBox 42">
          <a:extLst>
            <a:ext uri="{FF2B5EF4-FFF2-40B4-BE49-F238E27FC236}">
              <a16:creationId xmlns:a16="http://schemas.microsoft.com/office/drawing/2014/main" id="{DE913212-1AC6-41B0-917A-8A1FA9CC1DE0}"/>
            </a:ext>
          </a:extLst>
        </xdr:cNvPr>
        <xdr:cNvSpPr txBox="1"/>
      </xdr:nvSpPr>
      <xdr:spPr>
        <a:xfrm>
          <a:off x="1308100" y="1295400"/>
          <a:ext cx="1879600"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0">
              <a:ln w="0"/>
              <a:solidFill>
                <a:srgbClr val="AAB7D4"/>
              </a:solidFill>
              <a:effectLst>
                <a:outerShdw blurRad="38100" dist="19050" dir="2700000" algn="tl" rotWithShape="0">
                  <a:schemeClr val="dk1">
                    <a:alpha val="40000"/>
                  </a:schemeClr>
                </a:outerShdw>
              </a:effectLst>
            </a:rPr>
            <a:t>Total</a:t>
          </a:r>
          <a:r>
            <a:rPr lang="en-IN" sz="2400" b="1" cap="none" spc="0" baseline="0">
              <a:ln w="0"/>
              <a:solidFill>
                <a:srgbClr val="AAB7D4"/>
              </a:solidFill>
              <a:effectLst>
                <a:outerShdw blurRad="38100" dist="19050" dir="2700000" algn="tl" rotWithShape="0">
                  <a:schemeClr val="dk1">
                    <a:alpha val="40000"/>
                  </a:schemeClr>
                </a:outerShdw>
              </a:effectLst>
            </a:rPr>
            <a:t> Games</a:t>
          </a:r>
        </a:p>
        <a:p>
          <a:pPr algn="ctr"/>
          <a:endParaRPr lang="en-IN" sz="2400" b="1" cap="none" spc="0">
            <a:ln w="0"/>
            <a:solidFill>
              <a:srgbClr val="AAB7D4"/>
            </a:solidFill>
            <a:effectLst>
              <a:outerShdw blurRad="38100" dist="19050" dir="2700000" algn="tl" rotWithShape="0">
                <a:schemeClr val="dk1">
                  <a:alpha val="40000"/>
                </a:schemeClr>
              </a:outerShdw>
            </a:effectLst>
          </a:endParaRPr>
        </a:p>
      </xdr:txBody>
    </xdr:sp>
    <xdr:clientData/>
  </xdr:twoCellAnchor>
  <xdr:twoCellAnchor>
    <xdr:from>
      <xdr:col>0</xdr:col>
      <xdr:colOff>260350</xdr:colOff>
      <xdr:row>13</xdr:row>
      <xdr:rowOff>95250</xdr:rowOff>
    </xdr:from>
    <xdr:to>
      <xdr:col>8</xdr:col>
      <xdr:colOff>349250</xdr:colOff>
      <xdr:row>26</xdr:row>
      <xdr:rowOff>82550</xdr:rowOff>
    </xdr:to>
    <xdr:graphicFrame macro="">
      <xdr:nvGraphicFramePr>
        <xdr:cNvPr id="52" name="Chart 51">
          <a:extLst>
            <a:ext uri="{FF2B5EF4-FFF2-40B4-BE49-F238E27FC236}">
              <a16:creationId xmlns:a16="http://schemas.microsoft.com/office/drawing/2014/main" id="{4562B34A-534B-4D15-A87A-A1B6531B1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127000</xdr:colOff>
      <xdr:row>12</xdr:row>
      <xdr:rowOff>171450</xdr:rowOff>
    </xdr:from>
    <xdr:to>
      <xdr:col>18</xdr:col>
      <xdr:colOff>596900</xdr:colOff>
      <xdr:row>26</xdr:row>
      <xdr:rowOff>88900</xdr:rowOff>
    </xdr:to>
    <xdr:graphicFrame macro="">
      <xdr:nvGraphicFramePr>
        <xdr:cNvPr id="54" name="Chart 53">
          <a:extLst>
            <a:ext uri="{FF2B5EF4-FFF2-40B4-BE49-F238E27FC236}">
              <a16:creationId xmlns:a16="http://schemas.microsoft.com/office/drawing/2014/main" id="{49331E68-9C8F-4011-AD75-FB62AA028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82550</xdr:colOff>
      <xdr:row>27</xdr:row>
      <xdr:rowOff>57150</xdr:rowOff>
    </xdr:from>
    <xdr:to>
      <xdr:col>9</xdr:col>
      <xdr:colOff>82550</xdr:colOff>
      <xdr:row>42</xdr:row>
      <xdr:rowOff>6350</xdr:rowOff>
    </xdr:to>
    <xdr:graphicFrame macro="">
      <xdr:nvGraphicFramePr>
        <xdr:cNvPr id="55" name="Chart 54">
          <a:extLst>
            <a:ext uri="{FF2B5EF4-FFF2-40B4-BE49-F238E27FC236}">
              <a16:creationId xmlns:a16="http://schemas.microsoft.com/office/drawing/2014/main" id="{95743F70-44E4-4656-8BAD-E19860FC9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88900</xdr:colOff>
      <xdr:row>27</xdr:row>
      <xdr:rowOff>57150</xdr:rowOff>
    </xdr:from>
    <xdr:to>
      <xdr:col>16</xdr:col>
      <xdr:colOff>361950</xdr:colOff>
      <xdr:row>41</xdr:row>
      <xdr:rowOff>152952</xdr:rowOff>
    </xdr:to>
    <xdr:graphicFrame macro="">
      <xdr:nvGraphicFramePr>
        <xdr:cNvPr id="56" name="Chart 55">
          <a:extLst>
            <a:ext uri="{FF2B5EF4-FFF2-40B4-BE49-F238E27FC236}">
              <a16:creationId xmlns:a16="http://schemas.microsoft.com/office/drawing/2014/main" id="{CFC50A79-1749-4491-B0BA-AAB51F8E1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495300</xdr:colOff>
      <xdr:row>0</xdr:row>
      <xdr:rowOff>0</xdr:rowOff>
    </xdr:from>
    <xdr:to>
      <xdr:col>20</xdr:col>
      <xdr:colOff>38100</xdr:colOff>
      <xdr:row>5</xdr:row>
      <xdr:rowOff>165100</xdr:rowOff>
    </xdr:to>
    <xdr:pic>
      <xdr:nvPicPr>
        <xdr:cNvPr id="3075" name="Picture 3074">
          <a:extLst>
            <a:ext uri="{FF2B5EF4-FFF2-40B4-BE49-F238E27FC236}">
              <a16:creationId xmlns:a16="http://schemas.microsoft.com/office/drawing/2014/main" id="{A4C04644-1E4E-9B4D-D0F4-2EA13FA90FC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512550" y="0"/>
          <a:ext cx="2171700" cy="1085850"/>
        </a:xfrm>
        <a:prstGeom prst="rect">
          <a:avLst/>
        </a:prstGeom>
      </xdr:spPr>
    </xdr:pic>
    <xdr:clientData/>
  </xdr:twoCellAnchor>
  <xdr:twoCellAnchor>
    <xdr:from>
      <xdr:col>4</xdr:col>
      <xdr:colOff>717550</xdr:colOff>
      <xdr:row>6</xdr:row>
      <xdr:rowOff>158750</xdr:rowOff>
    </xdr:from>
    <xdr:to>
      <xdr:col>9</xdr:col>
      <xdr:colOff>127000</xdr:colOff>
      <xdr:row>12</xdr:row>
      <xdr:rowOff>50800</xdr:rowOff>
    </xdr:to>
    <xdr:sp macro="" textlink="">
      <xdr:nvSpPr>
        <xdr:cNvPr id="3080" name="Rectangle: Rounded Corners 3079">
          <a:extLst>
            <a:ext uri="{FF2B5EF4-FFF2-40B4-BE49-F238E27FC236}">
              <a16:creationId xmlns:a16="http://schemas.microsoft.com/office/drawing/2014/main" id="{BD5647C2-12A6-48BA-88C2-0FBD285490E9}"/>
            </a:ext>
          </a:extLst>
        </xdr:cNvPr>
        <xdr:cNvSpPr/>
      </xdr:nvSpPr>
      <xdr:spPr>
        <a:xfrm>
          <a:off x="3435350" y="1263650"/>
          <a:ext cx="3016250" cy="996950"/>
        </a:xfrm>
        <a:prstGeom prst="roundRect">
          <a:avLst>
            <a:gd name="adj" fmla="val 8387"/>
          </a:avLst>
        </a:prstGeom>
        <a:solidFill>
          <a:srgbClr val="0D1730"/>
        </a:solidFill>
        <a:ln>
          <a:solidFill>
            <a:srgbClr val="1C3D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165100</xdr:colOff>
      <xdr:row>6</xdr:row>
      <xdr:rowOff>146050</xdr:rowOff>
    </xdr:from>
    <xdr:to>
      <xdr:col>18</xdr:col>
      <xdr:colOff>590550</xdr:colOff>
      <xdr:row>12</xdr:row>
      <xdr:rowOff>38100</xdr:rowOff>
    </xdr:to>
    <xdr:sp macro="" textlink="">
      <xdr:nvSpPr>
        <xdr:cNvPr id="3081" name="Rectangle: Rounded Corners 3080">
          <a:extLst>
            <a:ext uri="{FF2B5EF4-FFF2-40B4-BE49-F238E27FC236}">
              <a16:creationId xmlns:a16="http://schemas.microsoft.com/office/drawing/2014/main" id="{FE5F5B61-245A-49A6-8E75-177A4A420482}"/>
            </a:ext>
          </a:extLst>
        </xdr:cNvPr>
        <xdr:cNvSpPr/>
      </xdr:nvSpPr>
      <xdr:spPr>
        <a:xfrm>
          <a:off x="9963150" y="1250950"/>
          <a:ext cx="3054350" cy="996950"/>
        </a:xfrm>
        <a:prstGeom prst="roundRect">
          <a:avLst>
            <a:gd name="adj" fmla="val 8387"/>
          </a:avLst>
        </a:prstGeom>
        <a:solidFill>
          <a:srgbClr val="0D1730"/>
        </a:solidFill>
        <a:ln>
          <a:solidFill>
            <a:srgbClr val="1C3D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285750</xdr:colOff>
      <xdr:row>6</xdr:row>
      <xdr:rowOff>146050</xdr:rowOff>
    </xdr:from>
    <xdr:to>
      <xdr:col>13</xdr:col>
      <xdr:colOff>679450</xdr:colOff>
      <xdr:row>12</xdr:row>
      <xdr:rowOff>38100</xdr:rowOff>
    </xdr:to>
    <xdr:sp macro="" textlink="">
      <xdr:nvSpPr>
        <xdr:cNvPr id="3082" name="Rectangle: Rounded Corners 3081">
          <a:extLst>
            <a:ext uri="{FF2B5EF4-FFF2-40B4-BE49-F238E27FC236}">
              <a16:creationId xmlns:a16="http://schemas.microsoft.com/office/drawing/2014/main" id="{79E5BEB6-3CF6-4B4D-972E-498C8DEDA6E7}"/>
            </a:ext>
          </a:extLst>
        </xdr:cNvPr>
        <xdr:cNvSpPr/>
      </xdr:nvSpPr>
      <xdr:spPr>
        <a:xfrm>
          <a:off x="6610350" y="1250950"/>
          <a:ext cx="3149600" cy="996950"/>
        </a:xfrm>
        <a:prstGeom prst="roundRect">
          <a:avLst>
            <a:gd name="adj" fmla="val 8387"/>
          </a:avLst>
        </a:prstGeom>
        <a:solidFill>
          <a:srgbClr val="0D1730"/>
        </a:solidFill>
        <a:ln>
          <a:solidFill>
            <a:srgbClr val="1C3D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387350</xdr:colOff>
      <xdr:row>6</xdr:row>
      <xdr:rowOff>120650</xdr:rowOff>
    </xdr:from>
    <xdr:to>
      <xdr:col>18</xdr:col>
      <xdr:colOff>450850</xdr:colOff>
      <xdr:row>9</xdr:row>
      <xdr:rowOff>12700</xdr:rowOff>
    </xdr:to>
    <xdr:sp macro="" textlink="Z2">
      <xdr:nvSpPr>
        <xdr:cNvPr id="47" name="TextBox 46">
          <a:extLst>
            <a:ext uri="{FF2B5EF4-FFF2-40B4-BE49-F238E27FC236}">
              <a16:creationId xmlns:a16="http://schemas.microsoft.com/office/drawing/2014/main" id="{4FF67BF2-009B-4452-B451-BE2D07087E3E}"/>
            </a:ext>
          </a:extLst>
        </xdr:cNvPr>
        <xdr:cNvSpPr txBox="1"/>
      </xdr:nvSpPr>
      <xdr:spPr>
        <a:xfrm>
          <a:off x="10795000" y="1225550"/>
          <a:ext cx="20828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0">
              <a:ln w="0"/>
              <a:solidFill>
                <a:srgbClr val="AAB7D4"/>
              </a:solidFill>
              <a:effectLst>
                <a:outerShdw blurRad="38100" dist="19050" dir="2700000" algn="tl" rotWithShape="0">
                  <a:schemeClr val="dk1">
                    <a:alpha val="40000"/>
                  </a:schemeClr>
                </a:outerShdw>
              </a:effectLst>
            </a:rPr>
            <a:t>Top</a:t>
          </a:r>
          <a:r>
            <a:rPr lang="en-IN" sz="2400" b="1" cap="none" spc="0" baseline="0">
              <a:ln w="0"/>
              <a:solidFill>
                <a:srgbClr val="AAB7D4"/>
              </a:solidFill>
              <a:effectLst>
                <a:outerShdw blurRad="38100" dist="19050" dir="2700000" algn="tl" rotWithShape="0">
                  <a:schemeClr val="dk1">
                    <a:alpha val="40000"/>
                  </a:schemeClr>
                </a:outerShdw>
              </a:effectLst>
            </a:rPr>
            <a:t> Game</a:t>
          </a:r>
        </a:p>
        <a:p>
          <a:pPr algn="ctr"/>
          <a:endParaRPr lang="en-IN" sz="2400" b="1" cap="none" spc="0">
            <a:ln w="0"/>
            <a:solidFill>
              <a:srgbClr val="AAB7D4"/>
            </a:solidFill>
            <a:effectLst>
              <a:outerShdw blurRad="38100" dist="19050" dir="2700000" algn="tl" rotWithShape="0">
                <a:schemeClr val="dk1">
                  <a:alpha val="40000"/>
                </a:schemeClr>
              </a:outerShdw>
            </a:effectLst>
          </a:endParaRPr>
        </a:p>
      </xdr:txBody>
    </xdr:sp>
    <xdr:clientData/>
  </xdr:twoCellAnchor>
  <xdr:twoCellAnchor>
    <xdr:from>
      <xdr:col>15</xdr:col>
      <xdr:colOff>501650</xdr:colOff>
      <xdr:row>8</xdr:row>
      <xdr:rowOff>171450</xdr:rowOff>
    </xdr:from>
    <xdr:to>
      <xdr:col>18</xdr:col>
      <xdr:colOff>450850</xdr:colOff>
      <xdr:row>13</xdr:row>
      <xdr:rowOff>95250</xdr:rowOff>
    </xdr:to>
    <xdr:sp macro="" textlink="Z8">
      <xdr:nvSpPr>
        <xdr:cNvPr id="40" name="TextBox 39">
          <a:extLst>
            <a:ext uri="{FF2B5EF4-FFF2-40B4-BE49-F238E27FC236}">
              <a16:creationId xmlns:a16="http://schemas.microsoft.com/office/drawing/2014/main" id="{088E4D7F-5370-4EB4-87FC-CE34981DB08F}"/>
            </a:ext>
          </a:extLst>
        </xdr:cNvPr>
        <xdr:cNvSpPr txBox="1"/>
      </xdr:nvSpPr>
      <xdr:spPr>
        <a:xfrm>
          <a:off x="10909300" y="1644650"/>
          <a:ext cx="1968500" cy="844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9E72372-C1B9-4527-8D1D-3D4A907E2592}" type="TxLink">
            <a:rPr lang="en-US" sz="18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World Adventure 495</a:t>
          </a:fld>
          <a:endParaRPr lang="en-IN"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11</xdr:col>
      <xdr:colOff>95250</xdr:colOff>
      <xdr:row>9</xdr:row>
      <xdr:rowOff>25400</xdr:rowOff>
    </xdr:from>
    <xdr:to>
      <xdr:col>13</xdr:col>
      <xdr:colOff>127000</xdr:colOff>
      <xdr:row>11</xdr:row>
      <xdr:rowOff>120650</xdr:rowOff>
    </xdr:to>
    <xdr:sp macro="" textlink="Z6">
      <xdr:nvSpPr>
        <xdr:cNvPr id="39" name="TextBox 38">
          <a:extLst>
            <a:ext uri="{FF2B5EF4-FFF2-40B4-BE49-F238E27FC236}">
              <a16:creationId xmlns:a16="http://schemas.microsoft.com/office/drawing/2014/main" id="{AB400680-3E6C-424C-8F4D-BC802A41FAE8}"/>
            </a:ext>
          </a:extLst>
        </xdr:cNvPr>
        <xdr:cNvSpPr txBox="1"/>
      </xdr:nvSpPr>
      <xdr:spPr>
        <a:xfrm>
          <a:off x="7956550" y="1682750"/>
          <a:ext cx="125095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F8A9D3-94A7-4BC9-B131-7B9DA90D8C30}" type="TxLink">
            <a:rPr lang="en-US" sz="24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t>$0.90 M</a:t>
          </a:fld>
          <a:endParaRPr lang="en-IN" sz="2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10</xdr:col>
      <xdr:colOff>622300</xdr:colOff>
      <xdr:row>6</xdr:row>
      <xdr:rowOff>120650</xdr:rowOff>
    </xdr:from>
    <xdr:to>
      <xdr:col>13</xdr:col>
      <xdr:colOff>660400</xdr:colOff>
      <xdr:row>8</xdr:row>
      <xdr:rowOff>152400</xdr:rowOff>
    </xdr:to>
    <xdr:sp macro="" textlink="Z2">
      <xdr:nvSpPr>
        <xdr:cNvPr id="46" name="TextBox 45">
          <a:extLst>
            <a:ext uri="{FF2B5EF4-FFF2-40B4-BE49-F238E27FC236}">
              <a16:creationId xmlns:a16="http://schemas.microsoft.com/office/drawing/2014/main" id="{2C16D727-4CA2-4D13-9058-D971C4050DC8}"/>
            </a:ext>
          </a:extLst>
        </xdr:cNvPr>
        <xdr:cNvSpPr txBox="1"/>
      </xdr:nvSpPr>
      <xdr:spPr>
        <a:xfrm>
          <a:off x="7556500" y="1225550"/>
          <a:ext cx="21844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0" baseline="0">
              <a:ln w="0"/>
              <a:solidFill>
                <a:srgbClr val="AAB7D4"/>
              </a:solidFill>
              <a:effectLst>
                <a:outerShdw blurRad="38100" dist="19050" dir="2700000" algn="tl" rotWithShape="0">
                  <a:schemeClr val="dk1">
                    <a:alpha val="40000"/>
                  </a:schemeClr>
                </a:outerShdw>
              </a:effectLst>
            </a:rPr>
            <a:t>Average Sales</a:t>
          </a:r>
        </a:p>
        <a:p>
          <a:pPr algn="ctr"/>
          <a:endParaRPr lang="en-IN" sz="2400" b="1" cap="none" spc="0">
            <a:ln w="0"/>
            <a:solidFill>
              <a:srgbClr val="AAB7D4"/>
            </a:solidFill>
            <a:effectLst>
              <a:outerShdw blurRad="38100" dist="19050" dir="2700000" algn="tl" rotWithShape="0">
                <a:schemeClr val="dk1">
                  <a:alpha val="40000"/>
                </a:schemeClr>
              </a:outerShdw>
            </a:effectLst>
          </a:endParaRPr>
        </a:p>
      </xdr:txBody>
    </xdr:sp>
    <xdr:clientData/>
  </xdr:twoCellAnchor>
  <xdr:twoCellAnchor>
    <xdr:from>
      <xdr:col>6</xdr:col>
      <xdr:colOff>317500</xdr:colOff>
      <xdr:row>6</xdr:row>
      <xdr:rowOff>171450</xdr:rowOff>
    </xdr:from>
    <xdr:to>
      <xdr:col>8</xdr:col>
      <xdr:colOff>552450</xdr:colOff>
      <xdr:row>9</xdr:row>
      <xdr:rowOff>44450</xdr:rowOff>
    </xdr:to>
    <xdr:sp macro="" textlink="Z2">
      <xdr:nvSpPr>
        <xdr:cNvPr id="45" name="TextBox 44">
          <a:extLst>
            <a:ext uri="{FF2B5EF4-FFF2-40B4-BE49-F238E27FC236}">
              <a16:creationId xmlns:a16="http://schemas.microsoft.com/office/drawing/2014/main" id="{CC666180-BBD6-411C-8F02-2D494BE0B71F}"/>
            </a:ext>
          </a:extLst>
        </xdr:cNvPr>
        <xdr:cNvSpPr txBox="1"/>
      </xdr:nvSpPr>
      <xdr:spPr>
        <a:xfrm>
          <a:off x="4445000" y="1276350"/>
          <a:ext cx="1822450"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0">
              <a:ln w="0"/>
              <a:solidFill>
                <a:srgbClr val="AAB7D4"/>
              </a:solidFill>
              <a:effectLst>
                <a:outerShdw blurRad="38100" dist="19050" dir="2700000" algn="tl" rotWithShape="0">
                  <a:schemeClr val="dk1">
                    <a:alpha val="40000"/>
                  </a:schemeClr>
                </a:outerShdw>
              </a:effectLst>
            </a:rPr>
            <a:t>Total</a:t>
          </a:r>
          <a:r>
            <a:rPr lang="en-IN" sz="2400" b="1" cap="none" spc="0" baseline="0">
              <a:ln w="0"/>
              <a:solidFill>
                <a:srgbClr val="AAB7D4"/>
              </a:solidFill>
              <a:effectLst>
                <a:outerShdw blurRad="38100" dist="19050" dir="2700000" algn="tl" rotWithShape="0">
                  <a:schemeClr val="dk1">
                    <a:alpha val="40000"/>
                  </a:schemeClr>
                </a:outerShdw>
              </a:effectLst>
            </a:rPr>
            <a:t> Sales</a:t>
          </a:r>
        </a:p>
        <a:p>
          <a:pPr algn="ctr"/>
          <a:endParaRPr lang="en-IN" sz="2400" b="1" cap="none" spc="0">
            <a:ln w="0"/>
            <a:solidFill>
              <a:srgbClr val="AAB7D4"/>
            </a:solidFill>
            <a:effectLst>
              <a:outerShdw blurRad="38100" dist="19050" dir="2700000" algn="tl" rotWithShape="0">
                <a:schemeClr val="dk1">
                  <a:alpha val="40000"/>
                </a:schemeClr>
              </a:outerShdw>
            </a:effectLst>
          </a:endParaRPr>
        </a:p>
      </xdr:txBody>
    </xdr:sp>
    <xdr:clientData/>
  </xdr:twoCellAnchor>
  <xdr:twoCellAnchor>
    <xdr:from>
      <xdr:col>6</xdr:col>
      <xdr:colOff>381000</xdr:colOff>
      <xdr:row>9</xdr:row>
      <xdr:rowOff>63500</xdr:rowOff>
    </xdr:from>
    <xdr:to>
      <xdr:col>9</xdr:col>
      <xdr:colOff>139700</xdr:colOff>
      <xdr:row>11</xdr:row>
      <xdr:rowOff>146050</xdr:rowOff>
    </xdr:to>
    <xdr:sp macro="" textlink="Z4">
      <xdr:nvSpPr>
        <xdr:cNvPr id="38" name="TextBox 37">
          <a:extLst>
            <a:ext uri="{FF2B5EF4-FFF2-40B4-BE49-F238E27FC236}">
              <a16:creationId xmlns:a16="http://schemas.microsoft.com/office/drawing/2014/main" id="{C4A0FA75-DB6C-4FE3-AB67-2EBF7D926479}"/>
            </a:ext>
          </a:extLst>
        </xdr:cNvPr>
        <xdr:cNvSpPr txBox="1"/>
      </xdr:nvSpPr>
      <xdr:spPr>
        <a:xfrm>
          <a:off x="4508500" y="1720850"/>
          <a:ext cx="19558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910C4F-6B81-4449-A20D-AEB4324C6C14}" type="TxLink">
            <a:rPr lang="en-US" sz="28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t>$898.52 M</a:t>
          </a:fld>
          <a:endParaRPr lang="en-IN" sz="2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5</xdr:col>
      <xdr:colOff>31750</xdr:colOff>
      <xdr:row>6</xdr:row>
      <xdr:rowOff>158750</xdr:rowOff>
    </xdr:from>
    <xdr:to>
      <xdr:col>6</xdr:col>
      <xdr:colOff>304150</xdr:colOff>
      <xdr:row>11</xdr:row>
      <xdr:rowOff>120000</xdr:rowOff>
    </xdr:to>
    <xdr:pic>
      <xdr:nvPicPr>
        <xdr:cNvPr id="44" name="Graphic 43" descr="Money with solid fill">
          <a:extLst>
            <a:ext uri="{FF2B5EF4-FFF2-40B4-BE49-F238E27FC236}">
              <a16:creationId xmlns:a16="http://schemas.microsoft.com/office/drawing/2014/main" id="{F22D464E-0E57-4AA3-A075-BF3C39A9EFD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549650" y="1263650"/>
          <a:ext cx="882000" cy="882000"/>
        </a:xfrm>
        <a:prstGeom prst="rect">
          <a:avLst/>
        </a:prstGeom>
        <a:effectLst>
          <a:glow rad="228600">
            <a:schemeClr val="accent1">
              <a:satMod val="175000"/>
              <a:alpha val="40000"/>
            </a:schemeClr>
          </a:glow>
        </a:effectLst>
      </xdr:spPr>
    </xdr:pic>
    <xdr:clientData/>
  </xdr:twoCellAnchor>
  <xdr:twoCellAnchor editAs="oneCell">
    <xdr:from>
      <xdr:col>9</xdr:col>
      <xdr:colOff>457200</xdr:colOff>
      <xdr:row>7</xdr:row>
      <xdr:rowOff>25400</xdr:rowOff>
    </xdr:from>
    <xdr:to>
      <xdr:col>10</xdr:col>
      <xdr:colOff>729600</xdr:colOff>
      <xdr:row>11</xdr:row>
      <xdr:rowOff>170800</xdr:rowOff>
    </xdr:to>
    <xdr:pic>
      <xdr:nvPicPr>
        <xdr:cNvPr id="49" name="Graphic 48" descr="Bar graph with upward trend with solid fill">
          <a:extLst>
            <a:ext uri="{FF2B5EF4-FFF2-40B4-BE49-F238E27FC236}">
              <a16:creationId xmlns:a16="http://schemas.microsoft.com/office/drawing/2014/main" id="{4B0A4083-DD7B-4DFF-888A-E3FE0C0847A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781800" y="1314450"/>
          <a:ext cx="882000" cy="882000"/>
        </a:xfrm>
        <a:prstGeom prst="rect">
          <a:avLst/>
        </a:prstGeom>
        <a:effectLst>
          <a:glow rad="228600">
            <a:schemeClr val="accent1">
              <a:satMod val="175000"/>
              <a:alpha val="40000"/>
            </a:schemeClr>
          </a:glow>
        </a:effectLst>
      </xdr:spPr>
    </xdr:pic>
    <xdr:clientData/>
  </xdr:twoCellAnchor>
  <xdr:twoCellAnchor editAs="oneCell">
    <xdr:from>
      <xdr:col>14</xdr:col>
      <xdr:colOff>0</xdr:colOff>
      <xdr:row>6</xdr:row>
      <xdr:rowOff>0</xdr:rowOff>
    </xdr:from>
    <xdr:to>
      <xdr:col>16</xdr:col>
      <xdr:colOff>120719</xdr:colOff>
      <xdr:row>13</xdr:row>
      <xdr:rowOff>50869</xdr:rowOff>
    </xdr:to>
    <xdr:pic>
      <xdr:nvPicPr>
        <xdr:cNvPr id="3083" name="Picture 3082" descr="Trophy with solid fill">
          <a:extLst>
            <a:ext uri="{FF2B5EF4-FFF2-40B4-BE49-F238E27FC236}">
              <a16:creationId xmlns:a16="http://schemas.microsoft.com/office/drawing/2014/main" id="{EEEA9B8F-8F03-331D-A9EF-AEE34CD6F3E8}"/>
            </a:ext>
          </a:extLst>
        </xdr:cNvPr>
        <xdr:cNvPicPr>
          <a:picLocks noChangeAspect="1"/>
        </xdr:cNvPicPr>
      </xdr:nvPicPr>
      <xdr:blipFill>
        <a:blip xmlns:r="http://schemas.openxmlformats.org/officeDocument/2006/relationships" r:embed="rId16"/>
        <a:stretch>
          <a:fillRect/>
        </a:stretch>
      </xdr:blipFill>
      <xdr:spPr>
        <a:xfrm>
          <a:off x="9798050" y="1104900"/>
          <a:ext cx="1339919" cy="133991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refreshedDate="46257.660450347219" createdVersion="8" refreshedVersion="8" minRefreshableVersion="3" recordCount="1000" xr:uid="{09A1B952-8BA5-4CB4-B0A3-2E7BB6E794B2}">
  <cacheSource type="worksheet">
    <worksheetSource name="GmsTbl"/>
  </cacheSource>
  <cacheFields count="14">
    <cacheField name="Game_ID" numFmtId="0">
      <sharedItems containsSemiMixedTypes="0" containsString="0" containsNumber="1" containsInteger="1" minValue="1" maxValue="1000"/>
    </cacheField>
    <cacheField name="Game_Title" numFmtId="0">
      <sharedItems count="1000">
        <s v="Grand Theft Auto V"/>
        <s v="God of War"/>
        <s v="God of War Ragnarök"/>
        <s v="The Last of Us"/>
        <s v="The Last of Us Part II"/>
        <s v="Gran Turismo 7"/>
        <s v="Gran Turismo 4"/>
        <s v="Uncharted 4: A Thief's End"/>
        <s v="Spider-Man"/>
        <s v="Spider-Man: Miles Morales"/>
        <s v="Horizon Zero Dawn"/>
        <s v="Ghost of Tsushima"/>
        <s v="Bloodborne"/>
        <s v="Final Fantasy VII Remake"/>
        <s v="Resident Evil 2"/>
        <s v="Tekken 7"/>
        <s v="FIFA 23"/>
        <s v="Call of Duty: Modern Warfare"/>
        <s v="Assassin's Creed Odyssey"/>
        <s v="Red Dead Redemption 2"/>
        <s v="Legends War 21"/>
        <s v="Extreme Football 22"/>
        <s v="Legends Adventure 23"/>
        <s v="Champions Arena 24"/>
        <s v="Pro Arena 25"/>
        <s v="Ultimate Football 26"/>
        <s v="World Heroes 27"/>
        <s v="Dark Adventure 28"/>
        <s v="Final Racer 29"/>
        <s v="World Football 30"/>
        <s v="Final Arena 31"/>
        <s v="World Kingdom 32"/>
        <s v="Extreme Battle 33"/>
        <s v="World Adventure 34"/>
        <s v="Chronicles Quest 35"/>
        <s v="Legends Quest 36"/>
        <s v="Chronicles Battle 37"/>
        <s v="Dark Kingdom 38"/>
        <s v="Pro Battle 39"/>
        <s v="Champions Heroes 40"/>
        <s v="Ultimate Arena 41"/>
        <s v="Chronicles Adventure 42"/>
        <s v="Ultimate Racer 43"/>
        <s v="Dark Battle 44"/>
        <s v="Extreme Adventure 45"/>
        <s v="Warriors Heroes 46"/>
        <s v="Extreme Adventure 47"/>
        <s v="Final Strike 48"/>
        <s v="Extreme Football 49"/>
        <s v="Champions Kingdom 50"/>
        <s v="Pro Arena 51"/>
        <s v="Final Arena 52"/>
        <s v="Warriors Heroes 53"/>
        <s v="Extreme Battle 54"/>
        <s v="World Football 55"/>
        <s v="Extreme Kingdom 56"/>
        <s v="Chronicles Heroes 57"/>
        <s v="World Battle 58"/>
        <s v="Champions Football 59"/>
        <s v="Legends Quest 60"/>
        <s v="Chronicles Strike 61"/>
        <s v="Dark Arena 62"/>
        <s v="Extreme Kingdom 63"/>
        <s v="World Strike 64"/>
        <s v="Extreme War 65"/>
        <s v="Warriors Heroes 66"/>
        <s v="World War 67"/>
        <s v="World War 68"/>
        <s v="Ultimate Kingdom 69"/>
        <s v="World Arena 70"/>
        <s v="Final Heroes 71"/>
        <s v="Extreme Battle 72"/>
        <s v="Dark Arena 73"/>
        <s v="Extreme Football 74"/>
        <s v="Extreme War 75"/>
        <s v="Ultimate Heroes 76"/>
        <s v="Ultimate Quest 77"/>
        <s v="Pro Heroes 78"/>
        <s v="World Racer 79"/>
        <s v="Dark Battle 80"/>
        <s v="World Racer 81"/>
        <s v="Champions Arena 82"/>
        <s v="Extreme Kingdom 83"/>
        <s v="Chronicles Strike 84"/>
        <s v="Extreme Heroes 85"/>
        <s v="Ultimate Quest 86"/>
        <s v="Champions Racer 87"/>
        <s v="Final Battle 88"/>
        <s v="Ultimate Adventure 89"/>
        <s v="Legends Strike 90"/>
        <s v="World War 91"/>
        <s v="Warriors Heroes 92"/>
        <s v="Ultimate Strike 93"/>
        <s v="Chronicles Arena 94"/>
        <s v="Pro Kingdom 95"/>
        <s v="Champions Football 96"/>
        <s v="Dark Adventure 97"/>
        <s v="Chronicles Heroes 98"/>
        <s v="Extreme Quest 99"/>
        <s v="World Football 100"/>
        <s v="Extreme Battle 101"/>
        <s v="Warriors Football 102"/>
        <s v="Legends Battle 103"/>
        <s v="World Adventure 104"/>
        <s v="Ultimate Battle 105"/>
        <s v="Legends Quest 106"/>
        <s v="Dark Racer 107"/>
        <s v="World Heroes 108"/>
        <s v="Legends Racer 109"/>
        <s v="Ultimate War 110"/>
        <s v="Pro Racer 111"/>
        <s v="Extreme War 112"/>
        <s v="Legends Quest 113"/>
        <s v="Champions Strike 114"/>
        <s v="Pro Heroes 115"/>
        <s v="Chronicles Football 116"/>
        <s v="Final Kingdom 117"/>
        <s v="Champions Strike 118"/>
        <s v="Legends Kingdom 119"/>
        <s v="Champions War 120"/>
        <s v="Extreme Arena 121"/>
        <s v="Legends Arena 122"/>
        <s v="Pro War 123"/>
        <s v="Warriors Adventure 124"/>
        <s v="Ultimate Football 125"/>
        <s v="Legends Adventure 126"/>
        <s v="Legends Strike 127"/>
        <s v="Final Heroes 128"/>
        <s v="Pro Battle 129"/>
        <s v="Final Battle 130"/>
        <s v="Dark Adventure 131"/>
        <s v="Extreme Arena 132"/>
        <s v="Chronicles Battle 133"/>
        <s v="Chronicles Arena 134"/>
        <s v="Dark Kingdom 135"/>
        <s v="Chronicles Arena 136"/>
        <s v="Extreme Kingdom 137"/>
        <s v="World Strike 138"/>
        <s v="Pro Racer 139"/>
        <s v="Chronicles Battle 140"/>
        <s v="Pro Kingdom 141"/>
        <s v="World Battle 142"/>
        <s v="Ultimate Football 143"/>
        <s v="Dark Adventure 144"/>
        <s v="Extreme Quest 145"/>
        <s v="Pro Arena 146"/>
        <s v="Final Quest 147"/>
        <s v="Extreme Battle 148"/>
        <s v="Pro War 149"/>
        <s v="Chronicles Arena 150"/>
        <s v="Final Kingdom 151"/>
        <s v="Pro Kingdom 152"/>
        <s v="Dark Heroes 153"/>
        <s v="Champions Heroes 154"/>
        <s v="Warriors Kingdom 155"/>
        <s v="Extreme Adventure 156"/>
        <s v="Chronicles Arena 157"/>
        <s v="Warriors Adventure 158"/>
        <s v="World Football 159"/>
        <s v="Pro Football 160"/>
        <s v="Warriors Strike 161"/>
        <s v="Champions War 162"/>
        <s v="Final Arena 163"/>
        <s v="Extreme Kingdom 164"/>
        <s v="Champions Adventure 165"/>
        <s v="World Strike 166"/>
        <s v="Chronicles Strike 167"/>
        <s v="Legends Football 168"/>
        <s v="Final Football 169"/>
        <s v="Chronicles Strike 170"/>
        <s v="Pro Arena 171"/>
        <s v="Champions War 172"/>
        <s v="Chronicles Kingdom 173"/>
        <s v="Legends Heroes 174"/>
        <s v="Warriors War 175"/>
        <s v="Champions Battle 176"/>
        <s v="Extreme Racer 177"/>
        <s v="Champions Arena 178"/>
        <s v="Dark Heroes 179"/>
        <s v="Warriors Arena 180"/>
        <s v="World War 181"/>
        <s v="Extreme Football 182"/>
        <s v="Warriors Football 183"/>
        <s v="Extreme Kingdom 184"/>
        <s v="Final Heroes 185"/>
        <s v="Legends Battle 186"/>
        <s v="Champions Quest 187"/>
        <s v="Legends Quest 188"/>
        <s v="Final Heroes 189"/>
        <s v="Ultimate Football 190"/>
        <s v="World Football 191"/>
        <s v="Champions Kingdom 192"/>
        <s v="World Battle 193"/>
        <s v="Warriors War 194"/>
        <s v="Pro Racer 195"/>
        <s v="Final Football 196"/>
        <s v="Dark Football 197"/>
        <s v="World Adventure 198"/>
        <s v="Warriors Adventure 199"/>
        <s v="Champions Adventure 200"/>
        <s v="Ultimate Battle 201"/>
        <s v="Extreme Arena 202"/>
        <s v="Dark Quest 203"/>
        <s v="Pro Heroes 204"/>
        <s v="Dark Heroes 205"/>
        <s v="Final Battle 206"/>
        <s v="Pro Battle 207"/>
        <s v="Dark Kingdom 208"/>
        <s v="Dark Football 209"/>
        <s v="World Football 210"/>
        <s v="Legends War 211"/>
        <s v="Pro War 212"/>
        <s v="Legends Strike 213"/>
        <s v="Dark Quest 214"/>
        <s v="Chronicles Football 215"/>
        <s v="Pro Arena 216"/>
        <s v="Pro Quest 217"/>
        <s v="Dark Adventure 218"/>
        <s v="World War 219"/>
        <s v="World Strike 220"/>
        <s v="Legends Racer 221"/>
        <s v="Dark Racer 222"/>
        <s v="World Strike 223"/>
        <s v="Pro Arena 224"/>
        <s v="Ultimate Adventure 225"/>
        <s v="Dark Heroes 226"/>
        <s v="Final Quest 227"/>
        <s v="Extreme Heroes 228"/>
        <s v="Legends Quest 229"/>
        <s v="Dark Quest 230"/>
        <s v="Pro Arena 231"/>
        <s v="World Heroes 232"/>
        <s v="Champions Arena 233"/>
        <s v="Ultimate Arena 234"/>
        <s v="Pro Racer 235"/>
        <s v="Extreme Quest 236"/>
        <s v="Final Racer 237"/>
        <s v="Champions Strike 238"/>
        <s v="Pro Arena 239"/>
        <s v="Warriors Heroes 240"/>
        <s v="Ultimate Racer 241"/>
        <s v="Chronicles Quest 242"/>
        <s v="Dark Racer 243"/>
        <s v="World Racer 244"/>
        <s v="Legends Kingdom 245"/>
        <s v="Legends Quest 246"/>
        <s v="Extreme Strike 247"/>
        <s v="Dark Racer 248"/>
        <s v="Dark Adventure 249"/>
        <s v="Ultimate Battle 250"/>
        <s v="Extreme Quest 251"/>
        <s v="Warriors Battle 252"/>
        <s v="Ultimate Quest 253"/>
        <s v="Pro Heroes 254"/>
        <s v="Extreme Quest 255"/>
        <s v="World Adventure 256"/>
        <s v="Pro Football 257"/>
        <s v="Final Battle 258"/>
        <s v="Warriors War 259"/>
        <s v="Champions Battle 260"/>
        <s v="Final Football 261"/>
        <s v="Pro Arena 262"/>
        <s v="Chronicles War 263"/>
        <s v="Extreme Racer 264"/>
        <s v="World War 265"/>
        <s v="Dark Kingdom 266"/>
        <s v="Legends Arena 267"/>
        <s v="Legends Strike 268"/>
        <s v="Legends Battle 269"/>
        <s v="Chronicles Arena 270"/>
        <s v="Warriors Kingdom 271"/>
        <s v="Pro Strike 272"/>
        <s v="Final Adventure 273"/>
        <s v="Pro Quest 274"/>
        <s v="Champions Strike 275"/>
        <s v="World Battle 276"/>
        <s v="Champions Strike 277"/>
        <s v="Final Strike 278"/>
        <s v="Dark Strike 279"/>
        <s v="Legends Football 280"/>
        <s v="Chronicles Racer 281"/>
        <s v="Legends Arena 282"/>
        <s v="Legends Racer 283"/>
        <s v="World Battle 284"/>
        <s v="Chronicles War 285"/>
        <s v="Extreme Arena 286"/>
        <s v="World War 287"/>
        <s v="Chronicles Football 288"/>
        <s v="Warriors Kingdom 289"/>
        <s v="Ultimate Kingdom 290"/>
        <s v="Ultimate Heroes 291"/>
        <s v="Dark Kingdom 292"/>
        <s v="Dark Racer 293"/>
        <s v="Final Adventure 294"/>
        <s v="Dark Battle 295"/>
        <s v="Chronicles War 296"/>
        <s v="Dark Strike 297"/>
        <s v="Final Quest 298"/>
        <s v="Ultimate Football 299"/>
        <s v="Warriors Adventure 300"/>
        <s v="Chronicles Battle 301"/>
        <s v="Ultimate Arena 302"/>
        <s v="Pro Arena 303"/>
        <s v="Extreme Strike 304"/>
        <s v="Warriors Quest 305"/>
        <s v="Dark Battle 306"/>
        <s v="Final War 307"/>
        <s v="Warriors Adventure 308"/>
        <s v="Ultimate Strike 309"/>
        <s v="Pro Heroes 310"/>
        <s v="Legends Quest 311"/>
        <s v="Pro Kingdom 312"/>
        <s v="Legends Battle 313"/>
        <s v="Pro Football 314"/>
        <s v="Pro Battle 315"/>
        <s v="Legends Heroes 316"/>
        <s v="Legends Kingdom 317"/>
        <s v="Legends Arena 318"/>
        <s v="Final Arena 319"/>
        <s v="Legends Kingdom 320"/>
        <s v="Legends Quest 321"/>
        <s v="Champions Adventure 322"/>
        <s v="World Heroes 323"/>
        <s v="Extreme Arena 324"/>
        <s v="Legends Heroes 325"/>
        <s v="Final Strike 326"/>
        <s v="Ultimate Battle 327"/>
        <s v="Pro War 328"/>
        <s v="World Adventure 329"/>
        <s v="Warriors Arena 330"/>
        <s v="World Racer 331"/>
        <s v="Champions Arena 332"/>
        <s v="Warriors Adventure 333"/>
        <s v="Ultimate Kingdom 334"/>
        <s v="Champions Racer 335"/>
        <s v="Dark Adventure 336"/>
        <s v="Warriors Football 337"/>
        <s v="Legends Adventure 338"/>
        <s v="Ultimate Kingdom 339"/>
        <s v="Warriors Kingdom 340"/>
        <s v="Warriors Kingdom 341"/>
        <s v="Ultimate War 342"/>
        <s v="Final Strike 343"/>
        <s v="Dark War 344"/>
        <s v="Extreme Battle 345"/>
        <s v="Champions Kingdom 346"/>
        <s v="Pro War 347"/>
        <s v="Extreme Football 348"/>
        <s v="Final Adventure 349"/>
        <s v="Final Kingdom 350"/>
        <s v="Dark Racer 351"/>
        <s v="Extreme Football 352"/>
        <s v="Legends Strike 353"/>
        <s v="Dark Heroes 354"/>
        <s v="Ultimate Kingdom 355"/>
        <s v="Final Quest 356"/>
        <s v="World Kingdom 357"/>
        <s v="Legends War 358"/>
        <s v="Extreme Adventure 359"/>
        <s v="World Arena 360"/>
        <s v="Chronicles Racer 361"/>
        <s v="Final Arena 362"/>
        <s v="Final Racer 363"/>
        <s v="Ultimate Football 364"/>
        <s v="World Battle 365"/>
        <s v="Extreme Quest 366"/>
        <s v="Pro Adventure 367"/>
        <s v="Warriors Heroes 368"/>
        <s v="Ultimate Quest 369"/>
        <s v="Dark Strike 370"/>
        <s v="World Quest 371"/>
        <s v="Pro Arena 372"/>
        <s v="Extreme Racer 373"/>
        <s v="Extreme Kingdom 374"/>
        <s v="Pro Strike 375"/>
        <s v="Ultimate Strike 376"/>
        <s v="Final Heroes 377"/>
        <s v="Pro Kingdom 378"/>
        <s v="World Quest 379"/>
        <s v="Ultimate Racer 380"/>
        <s v="Extreme Kingdom 381"/>
        <s v="Chronicles Football 382"/>
        <s v="Legends War 383"/>
        <s v="Final Strike 384"/>
        <s v="Dark Kingdom 385"/>
        <s v="Extreme Arena 386"/>
        <s v="Pro Heroes 387"/>
        <s v="Champions Arena 388"/>
        <s v="Warriors War 389"/>
        <s v="Final Battle 390"/>
        <s v="Chronicles Heroes 391"/>
        <s v="Champions Arena 392"/>
        <s v="Extreme War 393"/>
        <s v="Pro Adventure 394"/>
        <s v="Final Heroes 395"/>
        <s v="World War 396"/>
        <s v="World Adventure 397"/>
        <s v="Extreme Strike 398"/>
        <s v="Extreme War 399"/>
        <s v="Legends Racer 400"/>
        <s v="Extreme Kingdom 401"/>
        <s v="Dark Racer 402"/>
        <s v="Chronicles Football 403"/>
        <s v="World Arena 404"/>
        <s v="Dark Kingdom 405"/>
        <s v="Chronicles Quest 406"/>
        <s v="Dark War 407"/>
        <s v="Warriors War 408"/>
        <s v="Chronicles Heroes 409"/>
        <s v="Ultimate Quest 410"/>
        <s v="Warriors Adventure 411"/>
        <s v="Chronicles Heroes 412"/>
        <s v="World Football 413"/>
        <s v="Ultimate Kingdom 414"/>
        <s v="Dark Adventure 415"/>
        <s v="Champions Adventure 416"/>
        <s v="Champions Kingdom 417"/>
        <s v="Dark Adventure 418"/>
        <s v="Chronicles Strike 419"/>
        <s v="Champions Battle 420"/>
        <s v="Champions Strike 421"/>
        <s v="Warriors Racer 422"/>
        <s v="Legends Battle 423"/>
        <s v="Chronicles Kingdom 424"/>
        <s v="Dark Football 425"/>
        <s v="World Heroes 426"/>
        <s v="Final Adventure 427"/>
        <s v="Chronicles Adventure 428"/>
        <s v="Chronicles Football 429"/>
        <s v="World Adventure 430"/>
        <s v="Warriors Racer 431"/>
        <s v="Extreme Heroes 432"/>
        <s v="Dark Battle 433"/>
        <s v="Extreme Strike 434"/>
        <s v="Chronicles Racer 435"/>
        <s v="Final Strike 436"/>
        <s v="Pro Adventure 437"/>
        <s v="Champions Arena 438"/>
        <s v="Extreme Quest 439"/>
        <s v="Final Arena 440"/>
        <s v="Champions Battle 441"/>
        <s v="Legends Battle 442"/>
        <s v="Final Racer 443"/>
        <s v="Pro Adventure 444"/>
        <s v="Final War 445"/>
        <s v="Warriors Strike 446"/>
        <s v="Warriors Quest 447"/>
        <s v="Final Kingdom 448"/>
        <s v="Legends Quest 449"/>
        <s v="Champions Kingdom 450"/>
        <s v="Dark Battle 451"/>
        <s v="Pro Arena 452"/>
        <s v="Final Racer 453"/>
        <s v="Final Battle 454"/>
        <s v="Final Quest 455"/>
        <s v="Dark Adventure 456"/>
        <s v="Legends Racer 457"/>
        <s v="Final Heroes 458"/>
        <s v="Chronicles Arena 459"/>
        <s v="World Kingdom 460"/>
        <s v="Ultimate Football 461"/>
        <s v="Champions Battle 462"/>
        <s v="Extreme Strike 463"/>
        <s v="Legends Heroes 464"/>
        <s v="Extreme Battle 465"/>
        <s v="Pro War 466"/>
        <s v="Champions Strike 467"/>
        <s v="Final Football 468"/>
        <s v="Pro Adventure 469"/>
        <s v="Champions Arena 470"/>
        <s v="Extreme Adventure 471"/>
        <s v="Ultimate Adventure 472"/>
        <s v="Chronicles Heroes 473"/>
        <s v="Ultimate Football 474"/>
        <s v="Champions Racer 475"/>
        <s v="Ultimate Strike 476"/>
        <s v="Pro Football 477"/>
        <s v="Extreme Kingdom 478"/>
        <s v="Champions Racer 479"/>
        <s v="Ultimate Racer 480"/>
        <s v="Warriors Kingdom 481"/>
        <s v="Warriors Football 482"/>
        <s v="World Battle 483"/>
        <s v="Legends Heroes 484"/>
        <s v="Final Quest 485"/>
        <s v="Champions Racer 486"/>
        <s v="Legends Strike 487"/>
        <s v="Extreme Battle 488"/>
        <s v="Extreme War 489"/>
        <s v="Pro Racer 490"/>
        <s v="Final Football 491"/>
        <s v="Champions Battle 492"/>
        <s v="World Strike 493"/>
        <s v="Ultimate Strike 494"/>
        <s v="World Adventure 495"/>
        <s v="Legends Kingdom 496"/>
        <s v="Extreme Battle 497"/>
        <s v="Chronicles Quest 498"/>
        <s v="Extreme Battle 499"/>
        <s v="Chronicles War 500"/>
        <s v="Final Battle 501"/>
        <s v="Warriors Strike 502"/>
        <s v="Warriors Heroes 503"/>
        <s v="Final Battle 504"/>
        <s v="Chronicles Racer 505"/>
        <s v="Pro Quest 506"/>
        <s v="Warriors War 507"/>
        <s v="Dark Strike 508"/>
        <s v="Champions Racer 509"/>
        <s v="World Football 510"/>
        <s v="Chronicles Racer 511"/>
        <s v="Dark War 512"/>
        <s v="Ultimate Heroes 513"/>
        <s v="Final Adventure 514"/>
        <s v="World Racer 515"/>
        <s v="Final War 516"/>
        <s v="Legends Football 517"/>
        <s v="Champions Arena 518"/>
        <s v="Champions Strike 519"/>
        <s v="Dark Adventure 520"/>
        <s v="Pro Kingdom 521"/>
        <s v="World Racer 522"/>
        <s v="Chronicles Kingdom 523"/>
        <s v="Dark Battle 524"/>
        <s v="World Football 525"/>
        <s v="Chronicles Adventure 526"/>
        <s v="Final Racer 527"/>
        <s v="Legends Football 528"/>
        <s v="World Quest 529"/>
        <s v="Ultimate War 530"/>
        <s v="Extreme Kingdom 531"/>
        <s v="Pro Heroes 532"/>
        <s v="Dark Arena 533"/>
        <s v="Warriors Racer 534"/>
        <s v="Dark Quest 535"/>
        <s v="Chronicles Heroes 536"/>
        <s v="Pro Battle 537"/>
        <s v="Champions Adventure 538"/>
        <s v="Pro War 539"/>
        <s v="Final Kingdom 540"/>
        <s v="Legends Heroes 541"/>
        <s v="Dark Kingdom 542"/>
        <s v="Dark Strike 543"/>
        <s v="Extreme Quest 544"/>
        <s v="World Quest 545"/>
        <s v="World War 546"/>
        <s v="Final War 547"/>
        <s v="Final Adventure 548"/>
        <s v="World Adventure 549"/>
        <s v="Ultimate Strike 550"/>
        <s v="Final Heroes 551"/>
        <s v="Dark Adventure 552"/>
        <s v="Chronicles Quest 553"/>
        <s v="Legends Strike 554"/>
        <s v="Champions Heroes 555"/>
        <s v="Ultimate Battle 556"/>
        <s v="Chronicles Arena 557"/>
        <s v="Final Strike 558"/>
        <s v="Chronicles Adventure 559"/>
        <s v="Champions Kingdom 560"/>
        <s v="Champions Kingdom 561"/>
        <s v="Final Strike 562"/>
        <s v="World Adventure 563"/>
        <s v="Legends Football 564"/>
        <s v="Ultimate Arena 565"/>
        <s v="Legends Strike 566"/>
        <s v="Pro Quest 567"/>
        <s v="Warriors War 568"/>
        <s v="Extreme Quest 569"/>
        <s v="Pro Racer 570"/>
        <s v="Extreme War 571"/>
        <s v="Pro Quest 572"/>
        <s v="Pro Football 573"/>
        <s v="World Strike 574"/>
        <s v="Legends Arena 575"/>
        <s v="Warriors War 576"/>
        <s v="Dark Arena 577"/>
        <s v="Dark Quest 578"/>
        <s v="World Kingdom 579"/>
        <s v="Ultimate Strike 580"/>
        <s v="Dark Adventure 581"/>
        <s v="Legends Adventure 582"/>
        <s v="Extreme Battle 583"/>
        <s v="Final Adventure 584"/>
        <s v="Chronicles War 585"/>
        <s v="Pro War 586"/>
        <s v="Dark Kingdom 587"/>
        <s v="Extreme Arena 588"/>
        <s v="Final Football 589"/>
        <s v="Dark War 590"/>
        <s v="World Arena 591"/>
        <s v="Champions Battle 592"/>
        <s v="Warriors Racer 593"/>
        <s v="Pro Adventure 594"/>
        <s v="World Heroes 595"/>
        <s v="World Adventure 596"/>
        <s v="Dark War 597"/>
        <s v="Dark War 598"/>
        <s v="Legends Arena 599"/>
        <s v="Extreme Kingdom 600"/>
        <s v="Warriors War 601"/>
        <s v="Pro Arena 602"/>
        <s v="Pro Quest 603"/>
        <s v="Warriors War 604"/>
        <s v="World Arena 605"/>
        <s v="Dark Football 606"/>
        <s v="Warriors Adventure 607"/>
        <s v="Dark Strike 608"/>
        <s v="Final Strike 609"/>
        <s v="Final Arena 610"/>
        <s v="World War 611"/>
        <s v="Pro Arena 612"/>
        <s v="World War 613"/>
        <s v="Legends Quest 614"/>
        <s v="Warriors Strike 615"/>
        <s v="Chronicles Racer 616"/>
        <s v="Extreme Battle 617"/>
        <s v="Chronicles Adventure 618"/>
        <s v="Ultimate Football 619"/>
        <s v="Extreme Quest 620"/>
        <s v="Dark Racer 621"/>
        <s v="World Kingdom 622"/>
        <s v="Warriors Kingdom 623"/>
        <s v="Extreme War 624"/>
        <s v="Ultimate Racer 625"/>
        <s v="Champions Football 626"/>
        <s v="Dark Strike 627"/>
        <s v="Champions Quest 628"/>
        <s v="Legends War 629"/>
        <s v="World Strike 630"/>
        <s v="Extreme Strike 631"/>
        <s v="Final Battle 632"/>
        <s v="World Heroes 633"/>
        <s v="World Quest 634"/>
        <s v="Warriors War 635"/>
        <s v="Warriors Kingdom 636"/>
        <s v="Legends Strike 637"/>
        <s v="Final Strike 638"/>
        <s v="Pro Quest 639"/>
        <s v="Warriors Arena 640"/>
        <s v="Champions Kingdom 641"/>
        <s v="World Quest 642"/>
        <s v="Dark Battle 643"/>
        <s v="Final Strike 644"/>
        <s v="Warriors War 645"/>
        <s v="Final Kingdom 646"/>
        <s v="Dark Kingdom 647"/>
        <s v="Extreme Battle 648"/>
        <s v="Warriors Adventure 649"/>
        <s v="Pro Kingdom 650"/>
        <s v="Dark Quest 651"/>
        <s v="World Heroes 652"/>
        <s v="Legends Football 653"/>
        <s v="Legends Adventure 654"/>
        <s v="Champions Strike 655"/>
        <s v="World Strike 656"/>
        <s v="World Arena 657"/>
        <s v="Pro Kingdom 658"/>
        <s v="Final Racer 659"/>
        <s v="Legends Kingdom 660"/>
        <s v="Extreme Adventure 661"/>
        <s v="Chronicles Racer 662"/>
        <s v="Pro Quest 663"/>
        <s v="Warriors Football 664"/>
        <s v="Dark Racer 665"/>
        <s v="World Racer 666"/>
        <s v="World Battle 667"/>
        <s v="Warriors Strike 668"/>
        <s v="Chronicles Heroes 669"/>
        <s v="Pro Football 670"/>
        <s v="Champions Heroes 671"/>
        <s v="Pro Heroes 672"/>
        <s v="Ultimate Football 673"/>
        <s v="World Adventure 674"/>
        <s v="World Quest 675"/>
        <s v="Chronicles Strike 676"/>
        <s v="Ultimate Heroes 677"/>
        <s v="World Arena 678"/>
        <s v="Dark Football 679"/>
        <s v="Champions Adventure 680"/>
        <s v="World Football 681"/>
        <s v="Legends Racer 682"/>
        <s v="Extreme Heroes 683"/>
        <s v="World Heroes 684"/>
        <s v="Ultimate Strike 685"/>
        <s v="World Quest 686"/>
        <s v="World War 687"/>
        <s v="Ultimate Heroes 688"/>
        <s v="Pro Strike 689"/>
        <s v="World Strike 690"/>
        <s v="Pro Battle 691"/>
        <s v="Warriors Football 692"/>
        <s v="Champions Heroes 693"/>
        <s v="Extreme Heroes 694"/>
        <s v="Extreme Football 695"/>
        <s v="World Football 696"/>
        <s v="Final Arena 697"/>
        <s v="Warriors Football 698"/>
        <s v="Final Racer 699"/>
        <s v="World Arena 700"/>
        <s v="Legends War 701"/>
        <s v="Warriors Adventure 702"/>
        <s v="Final War 703"/>
        <s v="Champions Heroes 704"/>
        <s v="Legends Adventure 705"/>
        <s v="Champions War 706"/>
        <s v="Pro Strike 707"/>
        <s v="Extreme Heroes 708"/>
        <s v="Champions Racer 709"/>
        <s v="Warriors War 710"/>
        <s v="Champions Kingdom 711"/>
        <s v="Champions Strike 712"/>
        <s v="Dark Strike 713"/>
        <s v="Pro War 714"/>
        <s v="Champions Strike 715"/>
        <s v="Warriors Arena 716"/>
        <s v="Pro Heroes 717"/>
        <s v="Legends Racer 718"/>
        <s v="Legends Quest 719"/>
        <s v="Warriors Arena 720"/>
        <s v="Dark Football 721"/>
        <s v="Legends Quest 722"/>
        <s v="Dark Racer 723"/>
        <s v="Legends War 724"/>
        <s v="Champions War 725"/>
        <s v="Pro Battle 726"/>
        <s v="Extreme Racer 727"/>
        <s v="Dark Football 728"/>
        <s v="Chronicles Battle 729"/>
        <s v="Dark Kingdom 730"/>
        <s v="Champions Racer 731"/>
        <s v="Warriors Football 732"/>
        <s v="Dark Heroes 733"/>
        <s v="Dark Racer 734"/>
        <s v="Extreme Arena 735"/>
        <s v="Dark Heroes 736"/>
        <s v="Extreme Quest 737"/>
        <s v="Warriors Football 738"/>
        <s v="Extreme Strike 739"/>
        <s v="Champions Heroes 740"/>
        <s v="Extreme Adventure 741"/>
        <s v="Legends Racer 742"/>
        <s v="Champions Kingdom 743"/>
        <s v="World Strike 744"/>
        <s v="World Arena 745"/>
        <s v="World Adventure 746"/>
        <s v="Ultimate Adventure 747"/>
        <s v="Pro Arena 748"/>
        <s v="Ultimate Adventure 749"/>
        <s v="Chronicles Strike 750"/>
        <s v="Chronicles Kingdom 751"/>
        <s v="Dark Battle 752"/>
        <s v="Final Arena 753"/>
        <s v="Dark Kingdom 754"/>
        <s v="Extreme Adventure 755"/>
        <s v="Extreme Football 756"/>
        <s v="Champions Strike 757"/>
        <s v="World Football 758"/>
        <s v="Dark War 759"/>
        <s v="Chronicles War 760"/>
        <s v="Champions Strike 761"/>
        <s v="Extreme Racer 762"/>
        <s v="Extreme Heroes 763"/>
        <s v="Legends Arena 764"/>
        <s v="Ultimate Strike 765"/>
        <s v="Extreme Quest 766"/>
        <s v="Final Kingdom 767"/>
        <s v="Champions Battle 768"/>
        <s v="Legends Racer 769"/>
        <s v="World Adventure 770"/>
        <s v="Warriors Quest 771"/>
        <s v="Champions Heroes 772"/>
        <s v="Pro Strike 773"/>
        <s v="Extreme Football 774"/>
        <s v="Champions Football 775"/>
        <s v="Extreme Arena 776"/>
        <s v="Champions Adventure 777"/>
        <s v="Champions Quest 778"/>
        <s v="World Quest 779"/>
        <s v="Chronicles Heroes 780"/>
        <s v="Final Arena 781"/>
        <s v="Dark Battle 782"/>
        <s v="Extreme Arena 783"/>
        <s v="Ultimate Heroes 784"/>
        <s v="Chronicles Arena 785"/>
        <s v="Extreme Arena 786"/>
        <s v="Ultimate Racer 787"/>
        <s v="Warriors Arena 788"/>
        <s v="Pro Heroes 789"/>
        <s v="Champions Football 790"/>
        <s v="Champions Racer 791"/>
        <s v="Extreme Battle 792"/>
        <s v="Chronicles Racer 793"/>
        <s v="Extreme Quest 794"/>
        <s v="Ultimate Heroes 795"/>
        <s v="Chronicles Racer 796"/>
        <s v="World War 797"/>
        <s v="Champions Adventure 798"/>
        <s v="Dark Racer 799"/>
        <s v="Final Strike 800"/>
        <s v="Chronicles Kingdom 801"/>
        <s v="Champions Strike 802"/>
        <s v="Final Kingdom 803"/>
        <s v="Champions Strike 804"/>
        <s v="Warriors War 805"/>
        <s v="Ultimate Football 806"/>
        <s v="Champions Heroes 807"/>
        <s v="Chronicles Strike 808"/>
        <s v="Warriors Heroes 809"/>
        <s v="Champions War 810"/>
        <s v="World Heroes 811"/>
        <s v="Ultimate Quest 812"/>
        <s v="Legends Football 813"/>
        <s v="Chronicles Kingdom 814"/>
        <s v="Dark Quest 815"/>
        <s v="Legends Football 816"/>
        <s v="Champions Heroes 817"/>
        <s v="Legends War 818"/>
        <s v="Champions Heroes 819"/>
        <s v="Pro Quest 820"/>
        <s v="Warriors Heroes 821"/>
        <s v="Extreme Football 822"/>
        <s v="Champions Kingdom 823"/>
        <s v="Dark Adventure 824"/>
        <s v="Legends Football 825"/>
        <s v="World Battle 826"/>
        <s v="Extreme Kingdom 827"/>
        <s v="Extreme Battle 828"/>
        <s v="Dark Heroes 829"/>
        <s v="Chronicles Quest 830"/>
        <s v="Chronicles Racer 831"/>
        <s v="Dark Kingdom 832"/>
        <s v="Final Quest 833"/>
        <s v="Legends Football 834"/>
        <s v="Pro Arena 835"/>
        <s v="Extreme Strike 836"/>
        <s v="World Racer 837"/>
        <s v="Chronicles Arena 838"/>
        <s v="Pro Kingdom 839"/>
        <s v="Warriors Kingdom 840"/>
        <s v="Pro Arena 841"/>
        <s v="Pro Racer 842"/>
        <s v="World Quest 843"/>
        <s v="Warriors Battle 844"/>
        <s v="Dark Kingdom 845"/>
        <s v="Pro Heroes 846"/>
        <s v="Final Strike 847"/>
        <s v="World Quest 848"/>
        <s v="Legends Battle 849"/>
        <s v="Extreme Battle 850"/>
        <s v="Pro Kingdom 851"/>
        <s v="Final Heroes 852"/>
        <s v="Legends Battle 853"/>
        <s v="Warriors Football 854"/>
        <s v="Ultimate Adventure 855"/>
        <s v="Ultimate Battle 856"/>
        <s v="Warriors Kingdom 857"/>
        <s v="Dark Adventure 858"/>
        <s v="Final Quest 859"/>
        <s v="Extreme Heroes 860"/>
        <s v="Warriors Kingdom 861"/>
        <s v="Legends Racer 862"/>
        <s v="World Battle 863"/>
        <s v="Ultimate Racer 864"/>
        <s v="Ultimate Kingdom 865"/>
        <s v="Chronicles War 866"/>
        <s v="Dark Football 867"/>
        <s v="Champions Football 868"/>
        <s v="Warriors Strike 869"/>
        <s v="Chronicles Strike 870"/>
        <s v="Legends Football 871"/>
        <s v="Extreme Adventure 872"/>
        <s v="Dark Adventure 873"/>
        <s v="Warriors Strike 874"/>
        <s v="Final Kingdom 875"/>
        <s v="Pro Arena 876"/>
        <s v="Ultimate Football 877"/>
        <s v="Pro Kingdom 878"/>
        <s v="Champions Strike 879"/>
        <s v="Final Football 880"/>
        <s v="Pro Kingdom 881"/>
        <s v="World Heroes 882"/>
        <s v="Final Racer 883"/>
        <s v="Chronicles Heroes 884"/>
        <s v="Ultimate Arena 885"/>
        <s v="Dark Kingdom 886"/>
        <s v="Dark Quest 887"/>
        <s v="Ultimate Battle 888"/>
        <s v="Legends Football 889"/>
        <s v="Final Strike 890"/>
        <s v="Dark Adventure 891"/>
        <s v="Ultimate Arena 892"/>
        <s v="Champions Racer 893"/>
        <s v="World Battle 894"/>
        <s v="Final Battle 895"/>
        <s v="Warriors Heroes 896"/>
        <s v="Pro Heroes 897"/>
        <s v="Chronicles Racer 898"/>
        <s v="World War 899"/>
        <s v="Chronicles Quest 900"/>
        <s v="Extreme Racer 901"/>
        <s v="Chronicles Strike 902"/>
        <s v="Dark Kingdom 903"/>
        <s v="Final Arena 904"/>
        <s v="Ultimate Heroes 905"/>
        <s v="Chronicles Battle 906"/>
        <s v="Chronicles Racer 907"/>
        <s v="Ultimate Football 908"/>
        <s v="Warriors Racer 909"/>
        <s v="Champions Football 910"/>
        <s v="Champions Football 911"/>
        <s v="Chronicles Heroes 912"/>
        <s v="Ultimate Strike 913"/>
        <s v="Champions Adventure 914"/>
        <s v="Extreme Adventure 915"/>
        <s v="World Strike 916"/>
        <s v="Pro Strike 917"/>
        <s v="Champions Heroes 918"/>
        <s v="Dark Quest 919"/>
        <s v="Final Football 920"/>
        <s v="Final Racer 921"/>
        <s v="Final Adventure 922"/>
        <s v="Champions Kingdom 923"/>
        <s v="Pro Racer 924"/>
        <s v="World War 925"/>
        <s v="Ultimate Football 926"/>
        <s v="World Kingdom 927"/>
        <s v="Final Strike 928"/>
        <s v="Final Quest 929"/>
        <s v="Legends Strike 930"/>
        <s v="Legends Battle 931"/>
        <s v="World Racer 932"/>
        <s v="Pro Kingdom 933"/>
        <s v="Extreme Arena 934"/>
        <s v="World Arena 935"/>
        <s v="Dark Heroes 936"/>
        <s v="Chronicles Strike 937"/>
        <s v="Dark War 938"/>
        <s v="Ultimate War 939"/>
        <s v="Ultimate Racer 940"/>
        <s v="Pro Arena 941"/>
        <s v="World Quest 942"/>
        <s v="Warriors Racer 943"/>
        <s v="Pro Kingdom 944"/>
        <s v="Pro Heroes 945"/>
        <s v="Chronicles Strike 946"/>
        <s v="Ultimate Quest 947"/>
        <s v="Dark Kingdom 948"/>
        <s v="Extreme War 949"/>
        <s v="Dark Adventure 950"/>
        <s v="Champions Kingdom 951"/>
        <s v="Legends Heroes 952"/>
        <s v="Legends Heroes 953"/>
        <s v="Legends Quest 954"/>
        <s v="Extreme Strike 955"/>
        <s v="Champions Quest 956"/>
        <s v="Legends Football 957"/>
        <s v="Pro Quest 958"/>
        <s v="World Arena 959"/>
        <s v="Legends Football 960"/>
        <s v="World Battle 961"/>
        <s v="Dark Arena 962"/>
        <s v="Champions Kingdom 963"/>
        <s v="Final Adventure 964"/>
        <s v="Dark Football 965"/>
        <s v="Warriors Battle 966"/>
        <s v="Pro Arena 967"/>
        <s v="Pro Kingdom 968"/>
        <s v="Dark Racer 969"/>
        <s v="Dark Football 970"/>
        <s v="Dark Heroes 971"/>
        <s v="Dark Football 972"/>
        <s v="Final Battle 973"/>
        <s v="Warriors Adventure 974"/>
        <s v="Dark Football 975"/>
        <s v="Legends Heroes 976"/>
        <s v="Ultimate Kingdom 977"/>
        <s v="Chronicles Arena 978"/>
        <s v="Final Football 979"/>
        <s v="Ultimate Heroes 980"/>
        <s v="Champions Football 981"/>
        <s v="Chronicles Heroes 982"/>
        <s v="Final Arena 983"/>
        <s v="Dark Racer 984"/>
        <s v="World Quest 985"/>
        <s v="Extreme Adventure 986"/>
        <s v="Chronicles Arena 987"/>
        <s v="Pro Heroes 988"/>
        <s v="World Strike 989"/>
        <s v="Pro Strike 990"/>
        <s v="Champions War 991"/>
        <s v="Ultimate Football 992"/>
        <s v="Dark Arena 993"/>
        <s v="Final Adventure 994"/>
        <s v="World Arena 995"/>
        <s v="Warriors Strike 996"/>
        <s v="Chronicles Adventure 997"/>
        <s v="Ultimate Strike 998"/>
        <s v="Champions Quest 999"/>
        <s v="Pro Adventure 1000"/>
      </sharedItems>
    </cacheField>
    <cacheField name="Platform" numFmtId="0">
      <sharedItems count="7">
        <s v="PS3"/>
        <s v="PS4"/>
        <s v="PS5"/>
        <s v="PS2"/>
        <s v="PSP"/>
        <s v="PS1"/>
        <s v="PS Vita"/>
      </sharedItems>
    </cacheField>
    <cacheField name="Genre" numFmtId="0">
      <sharedItems count="10">
        <s v="Action"/>
        <s v="Racing"/>
        <s v="Adventure"/>
        <s v="RPG"/>
        <s v="Fighting"/>
        <s v="Sports"/>
        <s v="Shooter"/>
        <s v="Strategy"/>
        <s v="Simulation"/>
        <s v="Platform"/>
      </sharedItems>
    </cacheField>
    <cacheField name="Publisher" numFmtId="0">
      <sharedItems count="10">
        <s v="Take-Two Interactive"/>
        <s v="Sony Computer Entertainment"/>
        <s v="Square Enix"/>
        <s v="Capcom"/>
        <s v="Bandai Namco"/>
        <s v="Electronic Arts"/>
        <s v="Activision"/>
        <s v="Ubisoft"/>
        <s v="Konami"/>
        <s v="Bethesda"/>
      </sharedItems>
    </cacheField>
    <cacheField name="Release_Year" numFmtId="0">
      <sharedItems containsSemiMixedTypes="0" containsString="0" containsNumber="1" containsInteger="1" minValue="1995" maxValue="2026" count="32">
        <n v="2013"/>
        <n v="2018"/>
        <n v="2022"/>
        <n v="2020"/>
        <n v="2004"/>
        <n v="2016"/>
        <n v="2017"/>
        <n v="2015"/>
        <n v="2019"/>
        <n v="2012"/>
        <n v="2000"/>
        <n v="2014"/>
        <n v="2021"/>
        <n v="2024"/>
        <n v="2006"/>
        <n v="2001"/>
        <n v="1999"/>
        <n v="2007"/>
        <n v="2008"/>
        <n v="2009"/>
        <n v="2005"/>
        <n v="1997"/>
        <n v="2010"/>
        <n v="2011"/>
        <n v="2002"/>
        <n v="1996"/>
        <n v="1998"/>
        <n v="2025"/>
        <n v="2003"/>
        <n v="2026"/>
        <n v="2023"/>
        <n v="1995"/>
      </sharedItems>
    </cacheField>
    <cacheField name="Critic_Rating" numFmtId="0">
      <sharedItems containsSemiMixedTypes="0" containsString="0" containsNumber="1" containsInteger="1" minValue="55" maxValue="98" count="44">
        <n v="97"/>
        <n v="94"/>
        <n v="95"/>
        <n v="93"/>
        <n v="87"/>
        <n v="89"/>
        <n v="85"/>
        <n v="83"/>
        <n v="92"/>
        <n v="91"/>
        <n v="82"/>
        <n v="78"/>
        <n v="80"/>
        <n v="86"/>
        <n v="64"/>
        <n v="74"/>
        <n v="90"/>
        <n v="88"/>
        <n v="59"/>
        <n v="67"/>
        <n v="61"/>
        <n v="58"/>
        <n v="71"/>
        <n v="60"/>
        <n v="55"/>
        <n v="77"/>
        <n v="56"/>
        <n v="69"/>
        <n v="96"/>
        <n v="84"/>
        <n v="76"/>
        <n v="79"/>
        <n v="72"/>
        <n v="75"/>
        <n v="63"/>
        <n v="62"/>
        <n v="70"/>
        <n v="73"/>
        <n v="98"/>
        <n v="57"/>
        <n v="81"/>
        <n v="66"/>
        <n v="65"/>
        <n v="68"/>
      </sharedItems>
    </cacheField>
    <cacheField name="Global_Sales_Millions" numFmtId="164">
      <sharedItems containsSemiMixedTypes="0" containsString="0" containsNumber="1" minValue="0.05" maxValue="15.04" count="254">
        <n v="0.74"/>
        <n v="10.18"/>
        <n v="0.31"/>
        <n v="0.64"/>
        <n v="3.87"/>
        <n v="0.56000000000000005"/>
        <n v="3.83"/>
        <n v="1.3"/>
        <n v="1.1299999999999999"/>
        <n v="0.47"/>
        <n v="0.63"/>
        <n v="0.99"/>
        <n v="1.07"/>
        <n v="0.28000000000000003"/>
        <n v="1.89"/>
        <n v="2.65"/>
        <n v="0.82"/>
        <n v="1.77"/>
        <n v="1.63"/>
        <n v="0.34"/>
        <n v="0.43"/>
        <n v="0.1"/>
        <n v="0.27"/>
        <n v="0.12"/>
        <n v="0.25"/>
        <n v="1.1100000000000001"/>
        <n v="1.4"/>
        <n v="0.16"/>
        <n v="0.66"/>
        <n v="3.35"/>
        <n v="0.45"/>
        <n v="1.61"/>
        <n v="0.83"/>
        <n v="1.7"/>
        <n v="0.18"/>
        <n v="0.85"/>
        <n v="0.41"/>
        <n v="3.37"/>
        <n v="4.01"/>
        <n v="4.09"/>
        <n v="0.26"/>
        <n v="0.8"/>
        <n v="0.14000000000000001"/>
        <n v="0.39"/>
        <n v="1.04"/>
        <n v="3.09"/>
        <n v="0.15"/>
        <n v="0.19"/>
        <n v="0.24"/>
        <n v="1.1599999999999999"/>
        <n v="0.49"/>
        <n v="0.6"/>
        <n v="0.55000000000000004"/>
        <n v="1.39"/>
        <n v="0.87"/>
        <n v="0.28999999999999998"/>
        <n v="1.74"/>
        <n v="0.7"/>
        <n v="0.06"/>
        <n v="0.96"/>
        <n v="0.78"/>
        <n v="0.22"/>
        <n v="0.44"/>
        <n v="0.37"/>
        <n v="0.3"/>
        <n v="1.6"/>
        <n v="0.23"/>
        <n v="2.06"/>
        <n v="2.38"/>
        <n v="1.46"/>
        <n v="0.38"/>
        <n v="0.93"/>
        <n v="0.08"/>
        <n v="3.41"/>
        <n v="10.61"/>
        <n v="0.73"/>
        <n v="2.19"/>
        <n v="0.36"/>
        <n v="0.75"/>
        <n v="2.81"/>
        <n v="1.36"/>
        <n v="1.42"/>
        <n v="0.32"/>
        <n v="0.21"/>
        <n v="1.44"/>
        <n v="2.48"/>
        <n v="0.17"/>
        <n v="2.15"/>
        <n v="0.46"/>
        <n v="0.77"/>
        <n v="3.42"/>
        <n v="0.2"/>
        <n v="0.59"/>
        <n v="1.92"/>
        <n v="0.86"/>
        <n v="0.05"/>
        <n v="0.57999999999999996"/>
        <n v="0.11"/>
        <n v="0.88"/>
        <n v="1.8"/>
        <n v="0.54"/>
        <n v="1.1200000000000001"/>
        <n v="1.01"/>
        <n v="0.51"/>
        <n v="0.71"/>
        <n v="0.33"/>
        <n v="2.4500000000000002"/>
        <n v="0.42"/>
        <n v="1.81"/>
        <n v="1.57"/>
        <n v="1.27"/>
        <n v="5.86"/>
        <n v="1.02"/>
        <n v="0.09"/>
        <n v="2.29"/>
        <n v="1.5"/>
        <n v="0.13"/>
        <n v="2.0499999999999998"/>
        <n v="1.53"/>
        <n v="0.5"/>
        <n v="0.72"/>
        <n v="2.92"/>
        <n v="1.97"/>
        <n v="0.48"/>
        <n v="1.22"/>
        <n v="1.94"/>
        <n v="4.7699999999999996"/>
        <n v="0.65"/>
        <n v="1.23"/>
        <n v="3.98"/>
        <n v="1.2"/>
        <n v="1.67"/>
        <n v="0.4"/>
        <n v="2.34"/>
        <n v="1.65"/>
        <n v="1.71"/>
        <n v="2.56"/>
        <n v="1.03"/>
        <n v="1.99"/>
        <n v="1.1499999999999999"/>
        <n v="1.25"/>
        <n v="1.96"/>
        <n v="0.62"/>
        <n v="1.17"/>
        <n v="2.63"/>
        <n v="0.9"/>
        <n v="1.38"/>
        <n v="1.66"/>
        <n v="2.57"/>
        <n v="4.0599999999999996"/>
        <n v="0.76"/>
        <n v="0.68"/>
        <n v="1.69"/>
        <n v="0.91"/>
        <n v="0.61"/>
        <n v="0.89"/>
        <n v="0.94"/>
        <n v="0.56999999999999995"/>
        <n v="0.52"/>
        <n v="1.35"/>
        <n v="0.79"/>
        <n v="1.28"/>
        <n v="0.35"/>
        <n v="3.85"/>
        <n v="1.98"/>
        <n v="0.97"/>
        <n v="1.49"/>
        <n v="0.92"/>
        <n v="0.81"/>
        <n v="0.69"/>
        <n v="1.1399999999999999"/>
        <n v="1.79"/>
        <n v="1.29"/>
        <n v="7.0000000000000007E-2"/>
        <n v="1.06"/>
        <n v="7.21"/>
        <n v="3.66"/>
        <n v="0.53"/>
        <n v="1.73"/>
        <n v="1"/>
        <n v="2.04"/>
        <n v="1.45"/>
        <n v="1.62"/>
        <n v="1.82"/>
        <n v="3.64"/>
        <n v="3.47"/>
        <n v="1.54"/>
        <n v="1.0900000000000001"/>
        <n v="1.34"/>
        <n v="15.04"/>
        <n v="1.48"/>
        <n v="1.75"/>
        <n v="1.76"/>
        <n v="1.18"/>
        <n v="0.84"/>
        <n v="2.0099999999999998"/>
        <n v="4.1399999999999997"/>
        <n v="0.67"/>
        <n v="1.05"/>
        <n v="2.23"/>
        <n v="1.08"/>
        <n v="4.25"/>
        <n v="1.47"/>
        <n v="2.9"/>
        <n v="1.52"/>
        <n v="2.72"/>
        <n v="1.1000000000000001"/>
        <n v="2.46"/>
        <n v="2.67"/>
        <n v="1.86"/>
        <n v="1.31"/>
        <n v="2.27"/>
        <n v="2.7"/>
        <n v="7.07"/>
        <n v="1.37"/>
        <n v="2.33"/>
        <n v="2.83"/>
        <n v="1.58"/>
        <n v="5.43"/>
        <n v="1.19"/>
        <n v="3.43"/>
        <n v="1.43"/>
        <n v="2.08"/>
        <n v="13.3"/>
        <n v="0.95"/>
        <n v="4.37"/>
        <n v="3.69"/>
        <n v="10.02"/>
        <n v="1.72"/>
        <n v="1.9"/>
        <n v="2.54"/>
        <n v="4.6900000000000004"/>
        <n v="2"/>
        <n v="3.88"/>
        <n v="3.26"/>
        <n v="3.4"/>
        <n v="2.62"/>
        <n v="1.51"/>
        <n v="2.25"/>
        <n v="6"/>
        <n v="3.24"/>
        <n v="2.2599999999999998"/>
        <n v="1.32"/>
        <n v="0.98"/>
        <n v="2.5"/>
        <n v="1.56"/>
        <n v="2.02"/>
        <n v="2.2999999999999998"/>
        <n v="2.74"/>
        <n v="5.6"/>
        <n v="2.79"/>
        <n v="2.77"/>
        <n v="1.93"/>
        <n v="2.69"/>
      </sharedItems>
    </cacheField>
    <cacheField name="North_America_Sales_Millions" numFmtId="164">
      <sharedItems containsSemiMixedTypes="0" containsString="0" containsNumber="1" minValue="0.02" maxValue="6.62" count="156">
        <n v="0.3"/>
        <n v="3.74"/>
        <n v="0.11"/>
        <n v="1.62"/>
        <n v="0.21"/>
        <n v="1.75"/>
        <n v="0.62"/>
        <n v="0.45"/>
        <n v="0.19"/>
        <n v="0.25"/>
        <n v="0.49"/>
        <n v="0.55000000000000004"/>
        <n v="0.91"/>
        <n v="1.1399999999999999"/>
        <n v="0.28999999999999998"/>
        <n v="0.64"/>
        <n v="2"/>
        <n v="0.89"/>
        <n v="0.17"/>
        <n v="0.2"/>
        <n v="0.05"/>
        <n v="0.1"/>
        <n v="0.15"/>
        <n v="0.39"/>
        <n v="0.06"/>
        <n v="0.13"/>
        <n v="1.58"/>
        <n v="0.57999999999999996"/>
        <n v="0.82"/>
        <n v="0.09"/>
        <n v="0.44"/>
        <n v="1.66"/>
        <n v="1.64"/>
        <n v="1.68"/>
        <n v="0.38"/>
        <n v="0.14000000000000001"/>
        <n v="0.18"/>
        <n v="1.49"/>
        <n v="0.08"/>
        <n v="0.34"/>
        <n v="0.42"/>
        <n v="0.23"/>
        <n v="0.27"/>
        <n v="0.12"/>
        <n v="0.56999999999999995"/>
        <n v="0.33"/>
        <n v="0.7"/>
        <n v="7.0000000000000007E-2"/>
        <n v="0.03"/>
        <n v="0.32"/>
        <n v="0.16"/>
        <n v="0.81"/>
        <n v="0.85"/>
        <n v="0.88"/>
        <n v="0.69"/>
        <n v="0.43"/>
        <n v="0.36"/>
        <n v="0.04"/>
        <n v="1.61"/>
        <n v="4.47"/>
        <n v="1.03"/>
        <n v="0.28000000000000003"/>
        <n v="1.42"/>
        <n v="0.56000000000000005"/>
        <n v="0.66"/>
        <n v="0.41"/>
        <n v="0.54"/>
        <n v="1.1499999999999999"/>
        <n v="0.61"/>
        <n v="0.22"/>
        <n v="1.7"/>
        <n v="0.87"/>
        <n v="0.26"/>
        <n v="0.5"/>
        <n v="0.4"/>
        <n v="0.31"/>
        <n v="0.37"/>
        <n v="0.51"/>
        <n v="0.74"/>
        <n v="0.48"/>
        <n v="0.24"/>
        <n v="1.21"/>
        <n v="0.9"/>
        <n v="2.7"/>
        <n v="0.63"/>
        <n v="1"/>
        <n v="0.84"/>
        <n v="0.77"/>
        <n v="1.34"/>
        <n v="0.59"/>
        <n v="0.98"/>
        <n v="1.05"/>
        <n v="1.78"/>
        <n v="0.35"/>
        <n v="1.59"/>
        <n v="0.53"/>
        <n v="0.83"/>
        <n v="0.02"/>
        <n v="0.52"/>
        <n v="0.65"/>
        <n v="1.38"/>
        <n v="0.47"/>
        <n v="0.79"/>
        <n v="1.86"/>
        <n v="0.46"/>
        <n v="1.19"/>
        <n v="0.67"/>
        <n v="1.89"/>
        <n v="0.72"/>
        <n v="0.97"/>
        <n v="0.75"/>
        <n v="2.64"/>
        <n v="1.48"/>
        <n v="1.02"/>
        <n v="0.78"/>
        <n v="1.01"/>
        <n v="0.95"/>
        <n v="1.85"/>
        <n v="0.76"/>
        <n v="0.6"/>
        <n v="5.5"/>
        <n v="0.94"/>
        <n v="1.08"/>
        <n v="2.08"/>
        <n v="1.46"/>
        <n v="1.31"/>
        <n v="1.33"/>
        <n v="0.86"/>
        <n v="1.1299999999999999"/>
        <n v="0.8"/>
        <n v="1.22"/>
        <n v="1.23"/>
        <n v="0.71"/>
        <n v="2.84"/>
        <n v="1.24"/>
        <n v="1.39"/>
        <n v="2.57"/>
        <n v="1.55"/>
        <n v="6.62"/>
        <n v="1.83"/>
        <n v="1.4"/>
        <n v="1.67"/>
        <n v="5.26"/>
        <n v="2.13"/>
        <n v="0.99"/>
        <n v="1.45"/>
        <n v="1.82"/>
        <n v="1.32"/>
        <n v="1.0900000000000001"/>
        <n v="2.66"/>
        <n v="1.73"/>
        <n v="0.93"/>
        <n v="0.68"/>
        <n v="1.47"/>
        <n v="1.99"/>
        <n v="1.44"/>
      </sharedItems>
    </cacheField>
    <cacheField name="Europe_Sales_Millions" numFmtId="164">
      <sharedItems containsSemiMixedTypes="0" containsString="0" containsNumber="1" minValue="0.01" maxValue="4.66" count="110">
        <n v="0.17"/>
        <n v="2.68"/>
        <n v="7.0000000000000007E-2"/>
        <n v="0.21"/>
        <n v="0.86"/>
        <n v="0.18"/>
        <n v="1.33"/>
        <n v="0.43"/>
        <n v="0.28000000000000003"/>
        <n v="0.14000000000000001"/>
        <n v="0.22"/>
        <n v="0.34"/>
        <n v="0.06"/>
        <n v="0.49"/>
        <n v="0.62"/>
        <n v="0.46"/>
        <n v="0.77"/>
        <n v="0.51"/>
        <n v="0.11"/>
        <n v="0.09"/>
        <n v="0.03"/>
        <n v="0.05"/>
        <n v="0.24"/>
        <n v="0.36"/>
        <n v="0.08"/>
        <n v="1.17"/>
        <n v="0.4"/>
        <n v="0.53"/>
        <n v="0.04"/>
        <n v="0.12"/>
        <n v="1.05"/>
        <n v="0.99"/>
        <n v="1.1499999999999999"/>
        <n v="0.16"/>
        <n v="0.28999999999999998"/>
        <n v="0.13"/>
        <n v="0.66"/>
        <n v="0.32"/>
        <n v="0.15"/>
        <n v="0.3"/>
        <n v="0.37"/>
        <n v="0.02"/>
        <n v="0.27"/>
        <n v="0.1"/>
        <n v="0.42"/>
        <n v="0.56000000000000005"/>
        <n v="0.78"/>
        <n v="0.38"/>
        <n v="0.23"/>
        <n v="1.1599999999999999"/>
        <n v="2.76"/>
        <n v="0.87"/>
        <n v="0.76"/>
        <n v="0.63"/>
        <n v="0.33"/>
        <n v="0.2"/>
        <n v="1.04"/>
        <n v="0.5"/>
        <n v="0.19"/>
        <n v="0.01"/>
        <n v="0.26"/>
        <n v="0.6"/>
        <n v="0.55000000000000004"/>
        <n v="0.25"/>
        <n v="1.29"/>
        <n v="0.31"/>
        <n v="0.67"/>
        <n v="0.35"/>
        <n v="0.61"/>
        <n v="1.48"/>
        <n v="1.02"/>
        <n v="0.45"/>
        <n v="0.56999999999999995"/>
        <n v="0.48"/>
        <n v="0.52"/>
        <n v="0.74"/>
        <n v="0.8"/>
        <n v="0.39"/>
        <n v="0.73"/>
        <n v="0.54"/>
        <n v="0.71"/>
        <n v="0.97"/>
        <n v="0.41"/>
        <n v="1.23"/>
        <n v="0.44"/>
        <n v="0.57999999999999996"/>
        <n v="1.68"/>
        <n v="0.91"/>
        <n v="0.9"/>
        <n v="4.66"/>
        <n v="0.65"/>
        <n v="1.36"/>
        <n v="0.7"/>
        <n v="0.85"/>
        <n v="1.95"/>
        <n v="0.69"/>
        <n v="0.47"/>
        <n v="1.22"/>
        <n v="3.32"/>
        <n v="1.34"/>
        <n v="0.68"/>
        <n v="1.1000000000000001"/>
        <n v="3.18"/>
        <n v="0.79"/>
        <n v="0.59"/>
        <n v="1.28"/>
        <n v="0.96"/>
        <n v="0.64"/>
        <n v="1.88"/>
        <n v="0.84"/>
      </sharedItems>
    </cacheField>
    <cacheField name="Japan_Sales_Millions" numFmtId="164">
      <sharedItems containsSemiMixedTypes="0" containsString="0" containsNumber="1" minValue="0" maxValue="1.94" count="67">
        <n v="0.12"/>
        <n v="0.55000000000000004"/>
        <n v="0.05"/>
        <n v="0.03"/>
        <n v="0.75"/>
        <n v="0.08"/>
        <n v="0.41"/>
        <n v="0.18"/>
        <n v="7.0000000000000007E-2"/>
        <n v="0.09"/>
        <n v="0.11"/>
        <n v="0.35"/>
        <n v="0.53"/>
        <n v="0.61"/>
        <n v="0.21"/>
        <n v="0.06"/>
        <n v="0.02"/>
        <n v="0.04"/>
        <n v="0.26"/>
        <n v="0.01"/>
        <n v="0.5"/>
        <n v="0.15"/>
        <n v="0.51"/>
        <n v="0.45"/>
        <n v="0.2"/>
        <n v="0.13"/>
        <n v="0.17"/>
        <n v="0.16"/>
        <n v="0.3"/>
        <n v="0.39"/>
        <n v="0.31"/>
        <n v="0.83"/>
        <n v="0.43"/>
        <n v="0.23"/>
        <n v="0.14000000000000001"/>
        <n v="0.1"/>
        <n v="0.28000000000000003"/>
        <n v="0.44"/>
        <n v="0"/>
        <n v="0.19"/>
        <n v="0.33"/>
        <n v="0.27"/>
        <n v="0.25"/>
        <n v="0.28999999999999998"/>
        <n v="0.24"/>
        <n v="0.78"/>
        <n v="0.37"/>
        <n v="0.32"/>
        <n v="0.73"/>
        <n v="0.92"/>
        <n v="0.49"/>
        <n v="0.4"/>
        <n v="0.22"/>
        <n v="0.34"/>
        <n v="0.54"/>
        <n v="1.94"/>
        <n v="0.48"/>
        <n v="0.59"/>
        <n v="1.22"/>
        <n v="0.63"/>
        <n v="0.36"/>
        <n v="1.58"/>
        <n v="0.74"/>
        <n v="0.96"/>
        <n v="0.56000000000000005"/>
        <n v="0.65"/>
        <n v="1.0900000000000001"/>
      </sharedItems>
    </cacheField>
    <cacheField name="Other_Sales_Millions" numFmtId="164">
      <sharedItems containsSemiMixedTypes="0" containsString="0" containsNumber="1" minValue="0" maxValue="3.21" count="78">
        <n v="0.15"/>
        <n v="3.21"/>
        <n v="0.08"/>
        <n v="0.1"/>
        <n v="0.64"/>
        <n v="0.09"/>
        <n v="0.34"/>
        <n v="7.0000000000000007E-2"/>
        <n v="0.33"/>
        <n v="0.17"/>
        <n v="0.06"/>
        <n v="0.14000000000000001"/>
        <n v="0.16"/>
        <n v="0.36"/>
        <n v="0.23"/>
        <n v="0.32"/>
        <n v="0.45"/>
        <n v="0.02"/>
        <n v="0"/>
        <n v="0.05"/>
        <n v="0.3"/>
        <n v="0.28999999999999998"/>
        <n v="0.04"/>
        <n v="0.13"/>
        <n v="0.52"/>
        <n v="0.21"/>
        <n v="0.2"/>
        <n v="0.93"/>
        <n v="1.06"/>
        <n v="0.01"/>
        <n v="0.18"/>
        <n v="0.59"/>
        <n v="0.25"/>
        <n v="0.11"/>
        <n v="0.41"/>
        <n v="0.12"/>
        <n v="0.03"/>
        <n v="0.26"/>
        <n v="0.56999999999999995"/>
        <n v="2.5499999999999998"/>
        <n v="0.22"/>
        <n v="0.28000000000000003"/>
        <n v="0.24"/>
        <n v="0.31"/>
        <n v="0.27"/>
        <n v="1.36"/>
        <n v="0.51"/>
        <n v="0.75"/>
        <n v="1.27"/>
        <n v="0.82"/>
        <n v="0.4"/>
        <n v="0.43"/>
        <n v="0.19"/>
        <n v="0.48"/>
        <n v="0.53"/>
        <n v="1.02"/>
        <n v="0.37"/>
        <n v="1.97"/>
        <n v="0.65"/>
        <n v="0.49"/>
        <n v="0.57999999999999996"/>
        <n v="0.46"/>
        <n v="2.94"/>
        <n v="0.35"/>
        <n v="0.67"/>
        <n v="0.38"/>
        <n v="0.68"/>
        <n v="0.44"/>
        <n v="1.8"/>
        <n v="1.05"/>
        <n v="2.14"/>
        <n v="0.73"/>
        <n v="1.17"/>
        <n v="0.94"/>
        <n v="1.1000000000000001"/>
        <n v="1.1299999999999999"/>
        <n v="0.79"/>
        <n v="0.55000000000000004"/>
      </sharedItems>
    </cacheField>
    <cacheField name="Sales_Category" numFmtId="0">
      <sharedItems count="4">
        <s v="Medium"/>
        <s v="Blockbuster"/>
        <s v="Low"/>
        <s v="High"/>
      </sharedItems>
    </cacheField>
    <cacheField name="Ratings by Category" numFmtId="164">
      <sharedItems/>
    </cacheField>
  </cacheFields>
  <extLst>
    <ext xmlns:x14="http://schemas.microsoft.com/office/spreadsheetml/2009/9/main" uri="{725AE2AE-9491-48be-B2B4-4EB974FC3084}">
      <x14:pivotCacheDefinition pivotCacheId="13293646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x v="0"/>
    <x v="0"/>
    <x v="0"/>
    <x v="0"/>
    <x v="0"/>
    <x v="0"/>
    <s v="Excellent"/>
  </r>
  <r>
    <n v="2"/>
    <x v="1"/>
    <x v="1"/>
    <x v="0"/>
    <x v="1"/>
    <x v="1"/>
    <x v="1"/>
    <x v="1"/>
    <x v="1"/>
    <x v="1"/>
    <x v="1"/>
    <x v="1"/>
    <x v="1"/>
    <s v="Excellent"/>
  </r>
  <r>
    <n v="3"/>
    <x v="2"/>
    <x v="2"/>
    <x v="0"/>
    <x v="1"/>
    <x v="2"/>
    <x v="1"/>
    <x v="2"/>
    <x v="2"/>
    <x v="2"/>
    <x v="2"/>
    <x v="2"/>
    <x v="2"/>
    <s v="Excellent"/>
  </r>
  <r>
    <n v="4"/>
    <x v="3"/>
    <x v="0"/>
    <x v="0"/>
    <x v="1"/>
    <x v="0"/>
    <x v="2"/>
    <x v="3"/>
    <x v="0"/>
    <x v="3"/>
    <x v="3"/>
    <x v="3"/>
    <x v="0"/>
    <s v="Excellent"/>
  </r>
  <r>
    <n v="5"/>
    <x v="4"/>
    <x v="1"/>
    <x v="0"/>
    <x v="1"/>
    <x v="3"/>
    <x v="3"/>
    <x v="4"/>
    <x v="3"/>
    <x v="4"/>
    <x v="4"/>
    <x v="4"/>
    <x v="3"/>
    <s v="Excellent"/>
  </r>
  <r>
    <n v="6"/>
    <x v="5"/>
    <x v="2"/>
    <x v="1"/>
    <x v="1"/>
    <x v="2"/>
    <x v="4"/>
    <x v="5"/>
    <x v="4"/>
    <x v="5"/>
    <x v="5"/>
    <x v="5"/>
    <x v="0"/>
    <s v="Good"/>
  </r>
  <r>
    <n v="7"/>
    <x v="6"/>
    <x v="3"/>
    <x v="1"/>
    <x v="1"/>
    <x v="4"/>
    <x v="5"/>
    <x v="6"/>
    <x v="5"/>
    <x v="6"/>
    <x v="6"/>
    <x v="6"/>
    <x v="3"/>
    <s v="Good"/>
  </r>
  <r>
    <n v="8"/>
    <x v="7"/>
    <x v="1"/>
    <x v="2"/>
    <x v="1"/>
    <x v="5"/>
    <x v="3"/>
    <x v="7"/>
    <x v="6"/>
    <x v="7"/>
    <x v="7"/>
    <x v="7"/>
    <x v="0"/>
    <s v="Excellent"/>
  </r>
  <r>
    <n v="9"/>
    <x v="8"/>
    <x v="1"/>
    <x v="0"/>
    <x v="1"/>
    <x v="1"/>
    <x v="4"/>
    <x v="8"/>
    <x v="7"/>
    <x v="8"/>
    <x v="8"/>
    <x v="8"/>
    <x v="0"/>
    <s v="Good"/>
  </r>
  <r>
    <n v="10"/>
    <x v="9"/>
    <x v="2"/>
    <x v="0"/>
    <x v="1"/>
    <x v="3"/>
    <x v="6"/>
    <x v="9"/>
    <x v="8"/>
    <x v="9"/>
    <x v="2"/>
    <x v="5"/>
    <x v="2"/>
    <s v="Good"/>
  </r>
  <r>
    <n v="11"/>
    <x v="10"/>
    <x v="1"/>
    <x v="3"/>
    <x v="1"/>
    <x v="6"/>
    <x v="5"/>
    <x v="10"/>
    <x v="9"/>
    <x v="3"/>
    <x v="9"/>
    <x v="2"/>
    <x v="0"/>
    <s v="Good"/>
  </r>
  <r>
    <n v="12"/>
    <x v="11"/>
    <x v="1"/>
    <x v="0"/>
    <x v="1"/>
    <x v="3"/>
    <x v="7"/>
    <x v="11"/>
    <x v="10"/>
    <x v="10"/>
    <x v="10"/>
    <x v="9"/>
    <x v="0"/>
    <s v="Good"/>
  </r>
  <r>
    <n v="13"/>
    <x v="12"/>
    <x v="1"/>
    <x v="3"/>
    <x v="1"/>
    <x v="7"/>
    <x v="8"/>
    <x v="12"/>
    <x v="11"/>
    <x v="11"/>
    <x v="9"/>
    <x v="5"/>
    <x v="0"/>
    <s v="Excellent"/>
  </r>
  <r>
    <n v="14"/>
    <x v="13"/>
    <x v="1"/>
    <x v="3"/>
    <x v="2"/>
    <x v="3"/>
    <x v="4"/>
    <x v="13"/>
    <x v="2"/>
    <x v="12"/>
    <x v="2"/>
    <x v="10"/>
    <x v="2"/>
    <s v="Good"/>
  </r>
  <r>
    <n v="15"/>
    <x v="14"/>
    <x v="1"/>
    <x v="0"/>
    <x v="3"/>
    <x v="8"/>
    <x v="9"/>
    <x v="14"/>
    <x v="12"/>
    <x v="13"/>
    <x v="11"/>
    <x v="11"/>
    <x v="0"/>
    <s v="Excellent"/>
  </r>
  <r>
    <n v="16"/>
    <x v="15"/>
    <x v="1"/>
    <x v="4"/>
    <x v="4"/>
    <x v="6"/>
    <x v="10"/>
    <x v="0"/>
    <x v="0"/>
    <x v="3"/>
    <x v="8"/>
    <x v="12"/>
    <x v="0"/>
    <s v="Good"/>
  </r>
  <r>
    <n v="17"/>
    <x v="16"/>
    <x v="2"/>
    <x v="5"/>
    <x v="5"/>
    <x v="2"/>
    <x v="11"/>
    <x v="15"/>
    <x v="13"/>
    <x v="14"/>
    <x v="12"/>
    <x v="13"/>
    <x v="3"/>
    <s v="Average"/>
  </r>
  <r>
    <n v="18"/>
    <x v="17"/>
    <x v="1"/>
    <x v="6"/>
    <x v="6"/>
    <x v="8"/>
    <x v="12"/>
    <x v="16"/>
    <x v="14"/>
    <x v="5"/>
    <x v="0"/>
    <x v="14"/>
    <x v="0"/>
    <s v="Good"/>
  </r>
  <r>
    <n v="19"/>
    <x v="18"/>
    <x v="1"/>
    <x v="0"/>
    <x v="7"/>
    <x v="1"/>
    <x v="13"/>
    <x v="17"/>
    <x v="15"/>
    <x v="15"/>
    <x v="11"/>
    <x v="15"/>
    <x v="0"/>
    <s v="Good"/>
  </r>
  <r>
    <n v="20"/>
    <x v="19"/>
    <x v="1"/>
    <x v="0"/>
    <x v="0"/>
    <x v="1"/>
    <x v="0"/>
    <x v="6"/>
    <x v="16"/>
    <x v="16"/>
    <x v="13"/>
    <x v="16"/>
    <x v="3"/>
    <s v="Excellent"/>
  </r>
  <r>
    <n v="21"/>
    <x v="20"/>
    <x v="4"/>
    <x v="6"/>
    <x v="3"/>
    <x v="9"/>
    <x v="10"/>
    <x v="18"/>
    <x v="17"/>
    <x v="17"/>
    <x v="14"/>
    <x v="17"/>
    <x v="0"/>
    <s v="Good"/>
  </r>
  <r>
    <n v="22"/>
    <x v="21"/>
    <x v="5"/>
    <x v="6"/>
    <x v="8"/>
    <x v="10"/>
    <x v="14"/>
    <x v="19"/>
    <x v="18"/>
    <x v="18"/>
    <x v="15"/>
    <x v="18"/>
    <x v="2"/>
    <s v="Poor"/>
  </r>
  <r>
    <n v="23"/>
    <x v="22"/>
    <x v="2"/>
    <x v="7"/>
    <x v="1"/>
    <x v="2"/>
    <x v="15"/>
    <x v="20"/>
    <x v="19"/>
    <x v="19"/>
    <x v="8"/>
    <x v="7"/>
    <x v="2"/>
    <s v="Average"/>
  </r>
  <r>
    <n v="24"/>
    <x v="23"/>
    <x v="6"/>
    <x v="8"/>
    <x v="7"/>
    <x v="9"/>
    <x v="16"/>
    <x v="21"/>
    <x v="20"/>
    <x v="20"/>
    <x v="16"/>
    <x v="18"/>
    <x v="2"/>
    <s v="Excellent"/>
  </r>
  <r>
    <n v="25"/>
    <x v="24"/>
    <x v="6"/>
    <x v="6"/>
    <x v="2"/>
    <x v="11"/>
    <x v="17"/>
    <x v="22"/>
    <x v="21"/>
    <x v="21"/>
    <x v="17"/>
    <x v="2"/>
    <x v="2"/>
    <s v="Good"/>
  </r>
  <r>
    <n v="26"/>
    <x v="25"/>
    <x v="2"/>
    <x v="0"/>
    <x v="5"/>
    <x v="12"/>
    <x v="18"/>
    <x v="2"/>
    <x v="22"/>
    <x v="2"/>
    <x v="16"/>
    <x v="7"/>
    <x v="2"/>
    <s v="Poor"/>
  </r>
  <r>
    <n v="27"/>
    <x v="26"/>
    <x v="2"/>
    <x v="7"/>
    <x v="6"/>
    <x v="13"/>
    <x v="19"/>
    <x v="23"/>
    <x v="20"/>
    <x v="20"/>
    <x v="16"/>
    <x v="17"/>
    <x v="2"/>
    <s v="Poor"/>
  </r>
  <r>
    <n v="28"/>
    <x v="27"/>
    <x v="5"/>
    <x v="2"/>
    <x v="1"/>
    <x v="10"/>
    <x v="20"/>
    <x v="24"/>
    <x v="2"/>
    <x v="2"/>
    <x v="16"/>
    <x v="19"/>
    <x v="2"/>
    <s v="Poor"/>
  </r>
  <r>
    <n v="29"/>
    <x v="28"/>
    <x v="3"/>
    <x v="2"/>
    <x v="0"/>
    <x v="14"/>
    <x v="21"/>
    <x v="25"/>
    <x v="23"/>
    <x v="22"/>
    <x v="7"/>
    <x v="20"/>
    <x v="0"/>
    <s v="Poor"/>
  </r>
  <r>
    <n v="30"/>
    <x v="29"/>
    <x v="3"/>
    <x v="4"/>
    <x v="0"/>
    <x v="15"/>
    <x v="12"/>
    <x v="26"/>
    <x v="10"/>
    <x v="23"/>
    <x v="18"/>
    <x v="21"/>
    <x v="0"/>
    <s v="Good"/>
  </r>
  <r>
    <n v="31"/>
    <x v="30"/>
    <x v="6"/>
    <x v="6"/>
    <x v="2"/>
    <x v="1"/>
    <x v="14"/>
    <x v="27"/>
    <x v="24"/>
    <x v="21"/>
    <x v="19"/>
    <x v="22"/>
    <x v="2"/>
    <s v="Poor"/>
  </r>
  <r>
    <n v="32"/>
    <x v="31"/>
    <x v="0"/>
    <x v="0"/>
    <x v="9"/>
    <x v="14"/>
    <x v="17"/>
    <x v="22"/>
    <x v="25"/>
    <x v="24"/>
    <x v="16"/>
    <x v="22"/>
    <x v="2"/>
    <s v="Good"/>
  </r>
  <r>
    <n v="33"/>
    <x v="32"/>
    <x v="5"/>
    <x v="5"/>
    <x v="9"/>
    <x v="16"/>
    <x v="1"/>
    <x v="9"/>
    <x v="8"/>
    <x v="9"/>
    <x v="2"/>
    <x v="5"/>
    <x v="2"/>
    <s v="Excellent"/>
  </r>
  <r>
    <n v="34"/>
    <x v="33"/>
    <x v="0"/>
    <x v="3"/>
    <x v="4"/>
    <x v="9"/>
    <x v="18"/>
    <x v="28"/>
    <x v="0"/>
    <x v="5"/>
    <x v="2"/>
    <x v="23"/>
    <x v="0"/>
    <s v="Poor"/>
  </r>
  <r>
    <n v="35"/>
    <x v="34"/>
    <x v="0"/>
    <x v="5"/>
    <x v="3"/>
    <x v="17"/>
    <x v="7"/>
    <x v="29"/>
    <x v="26"/>
    <x v="25"/>
    <x v="20"/>
    <x v="3"/>
    <x v="3"/>
    <s v="Good"/>
  </r>
  <r>
    <n v="36"/>
    <x v="35"/>
    <x v="5"/>
    <x v="8"/>
    <x v="4"/>
    <x v="10"/>
    <x v="22"/>
    <x v="30"/>
    <x v="4"/>
    <x v="9"/>
    <x v="17"/>
    <x v="10"/>
    <x v="2"/>
    <s v="Average"/>
  </r>
  <r>
    <n v="37"/>
    <x v="36"/>
    <x v="4"/>
    <x v="8"/>
    <x v="0"/>
    <x v="18"/>
    <x v="23"/>
    <x v="31"/>
    <x v="27"/>
    <x v="26"/>
    <x v="10"/>
    <x v="24"/>
    <x v="0"/>
    <s v="Poor"/>
  </r>
  <r>
    <n v="38"/>
    <x v="37"/>
    <x v="0"/>
    <x v="7"/>
    <x v="8"/>
    <x v="18"/>
    <x v="24"/>
    <x v="32"/>
    <x v="0"/>
    <x v="3"/>
    <x v="10"/>
    <x v="25"/>
    <x v="0"/>
    <s v="Poor"/>
  </r>
  <r>
    <n v="39"/>
    <x v="38"/>
    <x v="1"/>
    <x v="0"/>
    <x v="4"/>
    <x v="7"/>
    <x v="25"/>
    <x v="30"/>
    <x v="18"/>
    <x v="9"/>
    <x v="5"/>
    <x v="10"/>
    <x v="2"/>
    <s v="Average"/>
  </r>
  <r>
    <n v="40"/>
    <x v="39"/>
    <x v="1"/>
    <x v="5"/>
    <x v="7"/>
    <x v="7"/>
    <x v="26"/>
    <x v="33"/>
    <x v="28"/>
    <x v="27"/>
    <x v="21"/>
    <x v="26"/>
    <x v="0"/>
    <s v="Poor"/>
  </r>
  <r>
    <n v="41"/>
    <x v="40"/>
    <x v="3"/>
    <x v="2"/>
    <x v="2"/>
    <x v="14"/>
    <x v="27"/>
    <x v="34"/>
    <x v="29"/>
    <x v="28"/>
    <x v="3"/>
    <x v="17"/>
    <x v="2"/>
    <s v="Poor"/>
  </r>
  <r>
    <n v="42"/>
    <x v="41"/>
    <x v="1"/>
    <x v="6"/>
    <x v="5"/>
    <x v="1"/>
    <x v="28"/>
    <x v="35"/>
    <x v="30"/>
    <x v="3"/>
    <x v="2"/>
    <x v="0"/>
    <x v="0"/>
    <s v="Excellent"/>
  </r>
  <r>
    <n v="43"/>
    <x v="42"/>
    <x v="0"/>
    <x v="9"/>
    <x v="4"/>
    <x v="18"/>
    <x v="3"/>
    <x v="36"/>
    <x v="18"/>
    <x v="29"/>
    <x v="2"/>
    <x v="7"/>
    <x v="2"/>
    <s v="Excellent"/>
  </r>
  <r>
    <n v="44"/>
    <x v="43"/>
    <x v="1"/>
    <x v="6"/>
    <x v="1"/>
    <x v="5"/>
    <x v="17"/>
    <x v="37"/>
    <x v="31"/>
    <x v="30"/>
    <x v="22"/>
    <x v="0"/>
    <x v="3"/>
    <s v="Good"/>
  </r>
  <r>
    <n v="45"/>
    <x v="44"/>
    <x v="0"/>
    <x v="2"/>
    <x v="3"/>
    <x v="9"/>
    <x v="0"/>
    <x v="38"/>
    <x v="32"/>
    <x v="31"/>
    <x v="23"/>
    <x v="27"/>
    <x v="3"/>
    <s v="Excellent"/>
  </r>
  <r>
    <n v="46"/>
    <x v="45"/>
    <x v="1"/>
    <x v="8"/>
    <x v="7"/>
    <x v="6"/>
    <x v="0"/>
    <x v="39"/>
    <x v="33"/>
    <x v="32"/>
    <x v="24"/>
    <x v="28"/>
    <x v="3"/>
    <s v="Excellent"/>
  </r>
  <r>
    <n v="47"/>
    <x v="46"/>
    <x v="0"/>
    <x v="4"/>
    <x v="9"/>
    <x v="19"/>
    <x v="29"/>
    <x v="30"/>
    <x v="19"/>
    <x v="9"/>
    <x v="9"/>
    <x v="17"/>
    <x v="2"/>
    <s v="Good"/>
  </r>
  <r>
    <n v="48"/>
    <x v="47"/>
    <x v="4"/>
    <x v="2"/>
    <x v="4"/>
    <x v="14"/>
    <x v="30"/>
    <x v="40"/>
    <x v="25"/>
    <x v="12"/>
    <x v="19"/>
    <x v="10"/>
    <x v="2"/>
    <s v="Average"/>
  </r>
  <r>
    <n v="49"/>
    <x v="48"/>
    <x v="1"/>
    <x v="7"/>
    <x v="2"/>
    <x v="11"/>
    <x v="31"/>
    <x v="41"/>
    <x v="34"/>
    <x v="33"/>
    <x v="25"/>
    <x v="23"/>
    <x v="0"/>
    <s v="Average"/>
  </r>
  <r>
    <n v="50"/>
    <x v="49"/>
    <x v="6"/>
    <x v="4"/>
    <x v="6"/>
    <x v="9"/>
    <x v="29"/>
    <x v="23"/>
    <x v="24"/>
    <x v="20"/>
    <x v="16"/>
    <x v="29"/>
    <x v="2"/>
    <s v="Good"/>
  </r>
  <r>
    <n v="51"/>
    <x v="50"/>
    <x v="4"/>
    <x v="8"/>
    <x v="9"/>
    <x v="9"/>
    <x v="1"/>
    <x v="42"/>
    <x v="24"/>
    <x v="20"/>
    <x v="3"/>
    <x v="17"/>
    <x v="2"/>
    <s v="Excellent"/>
  </r>
  <r>
    <n v="52"/>
    <x v="51"/>
    <x v="1"/>
    <x v="5"/>
    <x v="4"/>
    <x v="6"/>
    <x v="2"/>
    <x v="43"/>
    <x v="8"/>
    <x v="19"/>
    <x v="17"/>
    <x v="7"/>
    <x v="2"/>
    <s v="Excellent"/>
  </r>
  <r>
    <n v="53"/>
    <x v="52"/>
    <x v="2"/>
    <x v="3"/>
    <x v="7"/>
    <x v="3"/>
    <x v="14"/>
    <x v="44"/>
    <x v="7"/>
    <x v="34"/>
    <x v="0"/>
    <x v="30"/>
    <x v="0"/>
    <s v="Poor"/>
  </r>
  <r>
    <n v="54"/>
    <x v="53"/>
    <x v="3"/>
    <x v="4"/>
    <x v="2"/>
    <x v="14"/>
    <x v="9"/>
    <x v="40"/>
    <x v="35"/>
    <x v="19"/>
    <x v="3"/>
    <x v="18"/>
    <x v="2"/>
    <s v="Excellent"/>
  </r>
  <r>
    <n v="55"/>
    <x v="54"/>
    <x v="4"/>
    <x v="9"/>
    <x v="6"/>
    <x v="9"/>
    <x v="32"/>
    <x v="20"/>
    <x v="36"/>
    <x v="35"/>
    <x v="2"/>
    <x v="7"/>
    <x v="2"/>
    <s v="Average"/>
  </r>
  <r>
    <n v="56"/>
    <x v="55"/>
    <x v="3"/>
    <x v="7"/>
    <x v="7"/>
    <x v="14"/>
    <x v="26"/>
    <x v="45"/>
    <x v="37"/>
    <x v="36"/>
    <x v="11"/>
    <x v="31"/>
    <x v="3"/>
    <s v="Poor"/>
  </r>
  <r>
    <n v="57"/>
    <x v="56"/>
    <x v="6"/>
    <x v="3"/>
    <x v="1"/>
    <x v="1"/>
    <x v="33"/>
    <x v="46"/>
    <x v="38"/>
    <x v="28"/>
    <x v="16"/>
    <x v="29"/>
    <x v="2"/>
    <s v="Average"/>
  </r>
  <r>
    <n v="58"/>
    <x v="57"/>
    <x v="6"/>
    <x v="6"/>
    <x v="5"/>
    <x v="6"/>
    <x v="5"/>
    <x v="47"/>
    <x v="21"/>
    <x v="28"/>
    <x v="19"/>
    <x v="22"/>
    <x v="2"/>
    <s v="Good"/>
  </r>
  <r>
    <n v="59"/>
    <x v="58"/>
    <x v="3"/>
    <x v="0"/>
    <x v="9"/>
    <x v="15"/>
    <x v="34"/>
    <x v="10"/>
    <x v="39"/>
    <x v="0"/>
    <x v="15"/>
    <x v="10"/>
    <x v="0"/>
    <s v="Poor"/>
  </r>
  <r>
    <n v="60"/>
    <x v="59"/>
    <x v="0"/>
    <x v="9"/>
    <x v="9"/>
    <x v="18"/>
    <x v="15"/>
    <x v="48"/>
    <x v="25"/>
    <x v="12"/>
    <x v="17"/>
    <x v="29"/>
    <x v="2"/>
    <s v="Average"/>
  </r>
  <r>
    <n v="61"/>
    <x v="60"/>
    <x v="5"/>
    <x v="5"/>
    <x v="5"/>
    <x v="16"/>
    <x v="35"/>
    <x v="49"/>
    <x v="40"/>
    <x v="37"/>
    <x v="26"/>
    <x v="32"/>
    <x v="0"/>
    <s v="Poor"/>
  </r>
  <r>
    <n v="62"/>
    <x v="61"/>
    <x v="5"/>
    <x v="1"/>
    <x v="1"/>
    <x v="16"/>
    <x v="20"/>
    <x v="19"/>
    <x v="36"/>
    <x v="19"/>
    <x v="16"/>
    <x v="19"/>
    <x v="2"/>
    <s v="Poor"/>
  </r>
  <r>
    <n v="63"/>
    <x v="62"/>
    <x v="3"/>
    <x v="8"/>
    <x v="4"/>
    <x v="20"/>
    <x v="6"/>
    <x v="50"/>
    <x v="41"/>
    <x v="29"/>
    <x v="17"/>
    <x v="3"/>
    <x v="2"/>
    <s v="Good"/>
  </r>
  <r>
    <n v="64"/>
    <x v="63"/>
    <x v="5"/>
    <x v="7"/>
    <x v="6"/>
    <x v="21"/>
    <x v="1"/>
    <x v="51"/>
    <x v="42"/>
    <x v="38"/>
    <x v="8"/>
    <x v="33"/>
    <x v="0"/>
    <s v="Excellent"/>
  </r>
  <r>
    <n v="65"/>
    <x v="64"/>
    <x v="0"/>
    <x v="1"/>
    <x v="4"/>
    <x v="22"/>
    <x v="16"/>
    <x v="52"/>
    <x v="42"/>
    <x v="33"/>
    <x v="8"/>
    <x v="19"/>
    <x v="0"/>
    <s v="Excellent"/>
  </r>
  <r>
    <n v="66"/>
    <x v="65"/>
    <x v="6"/>
    <x v="2"/>
    <x v="4"/>
    <x v="23"/>
    <x v="36"/>
    <x v="42"/>
    <x v="24"/>
    <x v="28"/>
    <x v="16"/>
    <x v="17"/>
    <x v="2"/>
    <s v="Average"/>
  </r>
  <r>
    <n v="67"/>
    <x v="66"/>
    <x v="4"/>
    <x v="1"/>
    <x v="3"/>
    <x v="9"/>
    <x v="15"/>
    <x v="2"/>
    <x v="43"/>
    <x v="2"/>
    <x v="17"/>
    <x v="2"/>
    <x v="2"/>
    <s v="Average"/>
  </r>
  <r>
    <n v="68"/>
    <x v="67"/>
    <x v="6"/>
    <x v="5"/>
    <x v="6"/>
    <x v="0"/>
    <x v="8"/>
    <x v="53"/>
    <x v="44"/>
    <x v="39"/>
    <x v="10"/>
    <x v="34"/>
    <x v="0"/>
    <s v="Excellent"/>
  </r>
  <r>
    <n v="69"/>
    <x v="68"/>
    <x v="3"/>
    <x v="3"/>
    <x v="4"/>
    <x v="24"/>
    <x v="34"/>
    <x v="54"/>
    <x v="45"/>
    <x v="34"/>
    <x v="10"/>
    <x v="11"/>
    <x v="0"/>
    <s v="Poor"/>
  </r>
  <r>
    <n v="70"/>
    <x v="69"/>
    <x v="6"/>
    <x v="9"/>
    <x v="4"/>
    <x v="23"/>
    <x v="7"/>
    <x v="55"/>
    <x v="35"/>
    <x v="12"/>
    <x v="2"/>
    <x v="22"/>
    <x v="2"/>
    <s v="Good"/>
  </r>
  <r>
    <n v="71"/>
    <x v="70"/>
    <x v="0"/>
    <x v="5"/>
    <x v="5"/>
    <x v="17"/>
    <x v="3"/>
    <x v="54"/>
    <x v="30"/>
    <x v="10"/>
    <x v="27"/>
    <x v="19"/>
    <x v="0"/>
    <s v="Excellent"/>
  </r>
  <r>
    <n v="72"/>
    <x v="71"/>
    <x v="0"/>
    <x v="6"/>
    <x v="9"/>
    <x v="9"/>
    <x v="1"/>
    <x v="56"/>
    <x v="46"/>
    <x v="40"/>
    <x v="21"/>
    <x v="24"/>
    <x v="0"/>
    <s v="Excellent"/>
  </r>
  <r>
    <n v="73"/>
    <x v="72"/>
    <x v="2"/>
    <x v="3"/>
    <x v="1"/>
    <x v="3"/>
    <x v="3"/>
    <x v="57"/>
    <x v="14"/>
    <x v="0"/>
    <x v="25"/>
    <x v="33"/>
    <x v="0"/>
    <s v="Excellent"/>
  </r>
  <r>
    <n v="74"/>
    <x v="73"/>
    <x v="5"/>
    <x v="5"/>
    <x v="4"/>
    <x v="10"/>
    <x v="10"/>
    <x v="47"/>
    <x v="47"/>
    <x v="21"/>
    <x v="19"/>
    <x v="10"/>
    <x v="2"/>
    <s v="Good"/>
  </r>
  <r>
    <n v="75"/>
    <x v="74"/>
    <x v="5"/>
    <x v="6"/>
    <x v="9"/>
    <x v="25"/>
    <x v="7"/>
    <x v="58"/>
    <x v="48"/>
    <x v="41"/>
    <x v="19"/>
    <x v="18"/>
    <x v="2"/>
    <s v="Good"/>
  </r>
  <r>
    <n v="76"/>
    <x v="75"/>
    <x v="1"/>
    <x v="2"/>
    <x v="9"/>
    <x v="3"/>
    <x v="33"/>
    <x v="59"/>
    <x v="34"/>
    <x v="34"/>
    <x v="26"/>
    <x v="35"/>
    <x v="0"/>
    <s v="Average"/>
  </r>
  <r>
    <n v="77"/>
    <x v="76"/>
    <x v="2"/>
    <x v="6"/>
    <x v="9"/>
    <x v="3"/>
    <x v="6"/>
    <x v="60"/>
    <x v="49"/>
    <x v="42"/>
    <x v="9"/>
    <x v="3"/>
    <x v="0"/>
    <s v="Good"/>
  </r>
  <r>
    <n v="78"/>
    <x v="77"/>
    <x v="6"/>
    <x v="2"/>
    <x v="0"/>
    <x v="1"/>
    <x v="30"/>
    <x v="61"/>
    <x v="38"/>
    <x v="12"/>
    <x v="3"/>
    <x v="19"/>
    <x v="2"/>
    <s v="Average"/>
  </r>
  <r>
    <n v="79"/>
    <x v="78"/>
    <x v="4"/>
    <x v="8"/>
    <x v="1"/>
    <x v="22"/>
    <x v="33"/>
    <x v="2"/>
    <x v="50"/>
    <x v="43"/>
    <x v="2"/>
    <x v="18"/>
    <x v="2"/>
    <s v="Average"/>
  </r>
  <r>
    <n v="80"/>
    <x v="79"/>
    <x v="5"/>
    <x v="8"/>
    <x v="0"/>
    <x v="10"/>
    <x v="19"/>
    <x v="62"/>
    <x v="19"/>
    <x v="29"/>
    <x v="3"/>
    <x v="5"/>
    <x v="2"/>
    <s v="Poor"/>
  </r>
  <r>
    <n v="81"/>
    <x v="80"/>
    <x v="0"/>
    <x v="6"/>
    <x v="0"/>
    <x v="18"/>
    <x v="26"/>
    <x v="63"/>
    <x v="18"/>
    <x v="43"/>
    <x v="16"/>
    <x v="2"/>
    <x v="2"/>
    <s v="Poor"/>
  </r>
  <r>
    <n v="82"/>
    <x v="81"/>
    <x v="6"/>
    <x v="7"/>
    <x v="5"/>
    <x v="9"/>
    <x v="37"/>
    <x v="64"/>
    <x v="50"/>
    <x v="43"/>
    <x v="3"/>
    <x v="29"/>
    <x v="2"/>
    <s v="Average"/>
  </r>
  <r>
    <n v="83"/>
    <x v="82"/>
    <x v="2"/>
    <x v="4"/>
    <x v="6"/>
    <x v="12"/>
    <x v="34"/>
    <x v="65"/>
    <x v="51"/>
    <x v="44"/>
    <x v="28"/>
    <x v="7"/>
    <x v="0"/>
    <s v="Poor"/>
  </r>
  <r>
    <n v="84"/>
    <x v="83"/>
    <x v="2"/>
    <x v="0"/>
    <x v="4"/>
    <x v="2"/>
    <x v="8"/>
    <x v="66"/>
    <x v="21"/>
    <x v="2"/>
    <x v="3"/>
    <x v="36"/>
    <x v="2"/>
    <s v="Excellent"/>
  </r>
  <r>
    <n v="85"/>
    <x v="84"/>
    <x v="1"/>
    <x v="5"/>
    <x v="6"/>
    <x v="1"/>
    <x v="27"/>
    <x v="67"/>
    <x v="52"/>
    <x v="45"/>
    <x v="29"/>
    <x v="37"/>
    <x v="3"/>
    <s v="Poor"/>
  </r>
  <r>
    <n v="86"/>
    <x v="85"/>
    <x v="1"/>
    <x v="3"/>
    <x v="0"/>
    <x v="8"/>
    <x v="4"/>
    <x v="68"/>
    <x v="53"/>
    <x v="46"/>
    <x v="21"/>
    <x v="38"/>
    <x v="3"/>
    <s v="Good"/>
  </r>
  <r>
    <n v="87"/>
    <x v="86"/>
    <x v="1"/>
    <x v="3"/>
    <x v="2"/>
    <x v="0"/>
    <x v="6"/>
    <x v="69"/>
    <x v="54"/>
    <x v="47"/>
    <x v="9"/>
    <x v="20"/>
    <x v="0"/>
    <s v="Good"/>
  </r>
  <r>
    <n v="88"/>
    <x v="87"/>
    <x v="0"/>
    <x v="1"/>
    <x v="0"/>
    <x v="9"/>
    <x v="1"/>
    <x v="49"/>
    <x v="55"/>
    <x v="11"/>
    <x v="14"/>
    <x v="30"/>
    <x v="0"/>
    <s v="Excellent"/>
  </r>
  <r>
    <n v="89"/>
    <x v="88"/>
    <x v="1"/>
    <x v="6"/>
    <x v="1"/>
    <x v="7"/>
    <x v="21"/>
    <x v="50"/>
    <x v="8"/>
    <x v="9"/>
    <x v="8"/>
    <x v="5"/>
    <x v="2"/>
    <s v="Poor"/>
  </r>
  <r>
    <n v="90"/>
    <x v="89"/>
    <x v="6"/>
    <x v="3"/>
    <x v="7"/>
    <x v="0"/>
    <x v="31"/>
    <x v="70"/>
    <x v="19"/>
    <x v="24"/>
    <x v="2"/>
    <x v="19"/>
    <x v="2"/>
    <s v="Average"/>
  </r>
  <r>
    <n v="91"/>
    <x v="90"/>
    <x v="0"/>
    <x v="6"/>
    <x v="1"/>
    <x v="0"/>
    <x v="38"/>
    <x v="3"/>
    <x v="39"/>
    <x v="10"/>
    <x v="15"/>
    <x v="17"/>
    <x v="0"/>
    <s v="Excellent"/>
  </r>
  <r>
    <n v="92"/>
    <x v="91"/>
    <x v="1"/>
    <x v="7"/>
    <x v="4"/>
    <x v="6"/>
    <x v="6"/>
    <x v="64"/>
    <x v="25"/>
    <x v="2"/>
    <x v="2"/>
    <x v="19"/>
    <x v="2"/>
    <s v="Good"/>
  </r>
  <r>
    <n v="93"/>
    <x v="92"/>
    <x v="5"/>
    <x v="4"/>
    <x v="4"/>
    <x v="10"/>
    <x v="38"/>
    <x v="57"/>
    <x v="56"/>
    <x v="33"/>
    <x v="2"/>
    <x v="23"/>
    <x v="0"/>
    <s v="Excellent"/>
  </r>
  <r>
    <n v="94"/>
    <x v="93"/>
    <x v="0"/>
    <x v="2"/>
    <x v="1"/>
    <x v="18"/>
    <x v="39"/>
    <x v="71"/>
    <x v="39"/>
    <x v="48"/>
    <x v="21"/>
    <x v="25"/>
    <x v="0"/>
    <s v="Poor"/>
  </r>
  <r>
    <n v="95"/>
    <x v="94"/>
    <x v="3"/>
    <x v="3"/>
    <x v="8"/>
    <x v="15"/>
    <x v="4"/>
    <x v="72"/>
    <x v="57"/>
    <x v="20"/>
    <x v="19"/>
    <x v="18"/>
    <x v="2"/>
    <s v="Good"/>
  </r>
  <r>
    <n v="96"/>
    <x v="95"/>
    <x v="0"/>
    <x v="7"/>
    <x v="5"/>
    <x v="17"/>
    <x v="38"/>
    <x v="61"/>
    <x v="38"/>
    <x v="12"/>
    <x v="3"/>
    <x v="19"/>
    <x v="2"/>
    <s v="Excellent"/>
  </r>
  <r>
    <n v="97"/>
    <x v="96"/>
    <x v="4"/>
    <x v="6"/>
    <x v="9"/>
    <x v="11"/>
    <x v="20"/>
    <x v="41"/>
    <x v="34"/>
    <x v="42"/>
    <x v="5"/>
    <x v="7"/>
    <x v="0"/>
    <s v="Poor"/>
  </r>
  <r>
    <n v="98"/>
    <x v="97"/>
    <x v="2"/>
    <x v="2"/>
    <x v="0"/>
    <x v="12"/>
    <x v="35"/>
    <x v="36"/>
    <x v="22"/>
    <x v="9"/>
    <x v="3"/>
    <x v="5"/>
    <x v="2"/>
    <s v="Poor"/>
  </r>
  <r>
    <n v="99"/>
    <x v="98"/>
    <x v="1"/>
    <x v="8"/>
    <x v="2"/>
    <x v="1"/>
    <x v="40"/>
    <x v="73"/>
    <x v="58"/>
    <x v="49"/>
    <x v="30"/>
    <x v="8"/>
    <x v="3"/>
    <s v="Good"/>
  </r>
  <r>
    <n v="100"/>
    <x v="99"/>
    <x v="4"/>
    <x v="5"/>
    <x v="0"/>
    <x v="19"/>
    <x v="11"/>
    <x v="74"/>
    <x v="59"/>
    <x v="50"/>
    <x v="31"/>
    <x v="39"/>
    <x v="1"/>
    <s v="Average"/>
  </r>
  <r>
    <n v="101"/>
    <x v="100"/>
    <x v="5"/>
    <x v="2"/>
    <x v="6"/>
    <x v="26"/>
    <x v="21"/>
    <x v="75"/>
    <x v="42"/>
    <x v="3"/>
    <x v="17"/>
    <x v="25"/>
    <x v="0"/>
    <s v="Poor"/>
  </r>
  <r>
    <n v="102"/>
    <x v="101"/>
    <x v="6"/>
    <x v="5"/>
    <x v="9"/>
    <x v="8"/>
    <x v="30"/>
    <x v="76"/>
    <x v="60"/>
    <x v="27"/>
    <x v="32"/>
    <x v="26"/>
    <x v="3"/>
    <s v="Average"/>
  </r>
  <r>
    <n v="103"/>
    <x v="102"/>
    <x v="3"/>
    <x v="6"/>
    <x v="7"/>
    <x v="4"/>
    <x v="34"/>
    <x v="77"/>
    <x v="35"/>
    <x v="2"/>
    <x v="15"/>
    <x v="5"/>
    <x v="2"/>
    <s v="Poor"/>
  </r>
  <r>
    <n v="104"/>
    <x v="103"/>
    <x v="2"/>
    <x v="2"/>
    <x v="0"/>
    <x v="3"/>
    <x v="4"/>
    <x v="59"/>
    <x v="34"/>
    <x v="8"/>
    <x v="21"/>
    <x v="0"/>
    <x v="0"/>
    <s v="Good"/>
  </r>
  <r>
    <n v="105"/>
    <x v="104"/>
    <x v="6"/>
    <x v="6"/>
    <x v="0"/>
    <x v="8"/>
    <x v="6"/>
    <x v="78"/>
    <x v="61"/>
    <x v="48"/>
    <x v="9"/>
    <x v="0"/>
    <x v="0"/>
    <s v="Good"/>
  </r>
  <r>
    <n v="106"/>
    <x v="105"/>
    <x v="5"/>
    <x v="9"/>
    <x v="7"/>
    <x v="21"/>
    <x v="32"/>
    <x v="3"/>
    <x v="49"/>
    <x v="33"/>
    <x v="9"/>
    <x v="7"/>
    <x v="0"/>
    <s v="Average"/>
  </r>
  <r>
    <n v="107"/>
    <x v="106"/>
    <x v="0"/>
    <x v="8"/>
    <x v="9"/>
    <x v="0"/>
    <x v="35"/>
    <x v="79"/>
    <x v="62"/>
    <x v="51"/>
    <x v="33"/>
    <x v="21"/>
    <x v="3"/>
    <s v="Poor"/>
  </r>
  <r>
    <n v="108"/>
    <x v="107"/>
    <x v="1"/>
    <x v="4"/>
    <x v="3"/>
    <x v="5"/>
    <x v="40"/>
    <x v="80"/>
    <x v="63"/>
    <x v="37"/>
    <x v="18"/>
    <x v="40"/>
    <x v="0"/>
    <s v="Good"/>
  </r>
  <r>
    <n v="109"/>
    <x v="108"/>
    <x v="4"/>
    <x v="2"/>
    <x v="5"/>
    <x v="23"/>
    <x v="10"/>
    <x v="81"/>
    <x v="64"/>
    <x v="26"/>
    <x v="34"/>
    <x v="40"/>
    <x v="0"/>
    <s v="Good"/>
  </r>
  <r>
    <n v="110"/>
    <x v="109"/>
    <x v="5"/>
    <x v="1"/>
    <x v="2"/>
    <x v="26"/>
    <x v="3"/>
    <x v="55"/>
    <x v="25"/>
    <x v="12"/>
    <x v="17"/>
    <x v="10"/>
    <x v="2"/>
    <s v="Excellent"/>
  </r>
  <r>
    <n v="111"/>
    <x v="110"/>
    <x v="6"/>
    <x v="1"/>
    <x v="8"/>
    <x v="9"/>
    <x v="32"/>
    <x v="52"/>
    <x v="61"/>
    <x v="5"/>
    <x v="9"/>
    <x v="18"/>
    <x v="0"/>
    <s v="Average"/>
  </r>
  <r>
    <n v="112"/>
    <x v="111"/>
    <x v="2"/>
    <x v="8"/>
    <x v="1"/>
    <x v="27"/>
    <x v="26"/>
    <x v="42"/>
    <x v="24"/>
    <x v="28"/>
    <x v="19"/>
    <x v="36"/>
    <x v="2"/>
    <s v="Poor"/>
  </r>
  <r>
    <n v="113"/>
    <x v="112"/>
    <x v="6"/>
    <x v="9"/>
    <x v="2"/>
    <x v="0"/>
    <x v="2"/>
    <x v="82"/>
    <x v="35"/>
    <x v="2"/>
    <x v="3"/>
    <x v="2"/>
    <x v="2"/>
    <s v="Excellent"/>
  </r>
  <r>
    <n v="114"/>
    <x v="113"/>
    <x v="0"/>
    <x v="0"/>
    <x v="7"/>
    <x v="17"/>
    <x v="21"/>
    <x v="35"/>
    <x v="65"/>
    <x v="48"/>
    <x v="35"/>
    <x v="33"/>
    <x v="0"/>
    <s v="Poor"/>
  </r>
  <r>
    <n v="115"/>
    <x v="114"/>
    <x v="0"/>
    <x v="8"/>
    <x v="5"/>
    <x v="19"/>
    <x v="35"/>
    <x v="83"/>
    <x v="29"/>
    <x v="12"/>
    <x v="19"/>
    <x v="19"/>
    <x v="2"/>
    <s v="Poor"/>
  </r>
  <r>
    <n v="116"/>
    <x v="115"/>
    <x v="1"/>
    <x v="0"/>
    <x v="6"/>
    <x v="0"/>
    <x v="34"/>
    <x v="84"/>
    <x v="66"/>
    <x v="26"/>
    <x v="26"/>
    <x v="8"/>
    <x v="0"/>
    <s v="Poor"/>
  </r>
  <r>
    <n v="117"/>
    <x v="116"/>
    <x v="3"/>
    <x v="8"/>
    <x v="6"/>
    <x v="28"/>
    <x v="0"/>
    <x v="85"/>
    <x v="67"/>
    <x v="52"/>
    <x v="36"/>
    <x v="21"/>
    <x v="3"/>
    <s v="Excellent"/>
  </r>
  <r>
    <n v="118"/>
    <x v="117"/>
    <x v="5"/>
    <x v="0"/>
    <x v="3"/>
    <x v="26"/>
    <x v="29"/>
    <x v="46"/>
    <x v="47"/>
    <x v="28"/>
    <x v="19"/>
    <x v="36"/>
    <x v="2"/>
    <s v="Good"/>
  </r>
  <r>
    <n v="119"/>
    <x v="118"/>
    <x v="0"/>
    <x v="1"/>
    <x v="7"/>
    <x v="19"/>
    <x v="2"/>
    <x v="86"/>
    <x v="29"/>
    <x v="28"/>
    <x v="3"/>
    <x v="29"/>
    <x v="2"/>
    <s v="Excellent"/>
  </r>
  <r>
    <n v="120"/>
    <x v="119"/>
    <x v="6"/>
    <x v="5"/>
    <x v="5"/>
    <x v="0"/>
    <x v="19"/>
    <x v="27"/>
    <x v="38"/>
    <x v="20"/>
    <x v="3"/>
    <x v="17"/>
    <x v="2"/>
    <s v="Poor"/>
  </r>
  <r>
    <n v="121"/>
    <x v="120"/>
    <x v="4"/>
    <x v="7"/>
    <x v="9"/>
    <x v="23"/>
    <x v="38"/>
    <x v="87"/>
    <x v="60"/>
    <x v="53"/>
    <x v="29"/>
    <x v="3"/>
    <x v="3"/>
    <s v="Excellent"/>
  </r>
  <r>
    <n v="122"/>
    <x v="121"/>
    <x v="4"/>
    <x v="3"/>
    <x v="0"/>
    <x v="19"/>
    <x v="7"/>
    <x v="7"/>
    <x v="68"/>
    <x v="54"/>
    <x v="5"/>
    <x v="41"/>
    <x v="0"/>
    <s v="Good"/>
  </r>
  <r>
    <n v="123"/>
    <x v="122"/>
    <x v="1"/>
    <x v="0"/>
    <x v="1"/>
    <x v="3"/>
    <x v="18"/>
    <x v="86"/>
    <x v="47"/>
    <x v="21"/>
    <x v="3"/>
    <x v="17"/>
    <x v="2"/>
    <s v="Poor"/>
  </r>
  <r>
    <n v="124"/>
    <x v="123"/>
    <x v="4"/>
    <x v="7"/>
    <x v="9"/>
    <x v="4"/>
    <x v="3"/>
    <x v="88"/>
    <x v="18"/>
    <x v="43"/>
    <x v="9"/>
    <x v="3"/>
    <x v="2"/>
    <s v="Excellent"/>
  </r>
  <r>
    <n v="125"/>
    <x v="124"/>
    <x v="0"/>
    <x v="8"/>
    <x v="7"/>
    <x v="17"/>
    <x v="7"/>
    <x v="89"/>
    <x v="65"/>
    <x v="55"/>
    <x v="25"/>
    <x v="36"/>
    <x v="0"/>
    <s v="Good"/>
  </r>
  <r>
    <n v="126"/>
    <x v="125"/>
    <x v="4"/>
    <x v="0"/>
    <x v="3"/>
    <x v="0"/>
    <x v="20"/>
    <x v="52"/>
    <x v="69"/>
    <x v="5"/>
    <x v="10"/>
    <x v="22"/>
    <x v="0"/>
    <s v="Poor"/>
  </r>
  <r>
    <n v="127"/>
    <x v="126"/>
    <x v="2"/>
    <x v="3"/>
    <x v="3"/>
    <x v="29"/>
    <x v="0"/>
    <x v="2"/>
    <x v="18"/>
    <x v="19"/>
    <x v="3"/>
    <x v="17"/>
    <x v="2"/>
    <s v="Excellent"/>
  </r>
  <r>
    <n v="128"/>
    <x v="127"/>
    <x v="2"/>
    <x v="2"/>
    <x v="4"/>
    <x v="27"/>
    <x v="28"/>
    <x v="90"/>
    <x v="70"/>
    <x v="56"/>
    <x v="37"/>
    <x v="42"/>
    <x v="3"/>
    <s v="Excellent"/>
  </r>
  <r>
    <n v="129"/>
    <x v="128"/>
    <x v="4"/>
    <x v="4"/>
    <x v="8"/>
    <x v="11"/>
    <x v="11"/>
    <x v="86"/>
    <x v="47"/>
    <x v="12"/>
    <x v="19"/>
    <x v="36"/>
    <x v="2"/>
    <s v="Average"/>
  </r>
  <r>
    <n v="130"/>
    <x v="129"/>
    <x v="0"/>
    <x v="8"/>
    <x v="8"/>
    <x v="17"/>
    <x v="0"/>
    <x v="91"/>
    <x v="38"/>
    <x v="21"/>
    <x v="19"/>
    <x v="10"/>
    <x v="2"/>
    <s v="Excellent"/>
  </r>
  <r>
    <n v="131"/>
    <x v="130"/>
    <x v="6"/>
    <x v="7"/>
    <x v="1"/>
    <x v="0"/>
    <x v="38"/>
    <x v="92"/>
    <x v="0"/>
    <x v="9"/>
    <x v="2"/>
    <x v="3"/>
    <x v="0"/>
    <s v="Excellent"/>
  </r>
  <r>
    <n v="132"/>
    <x v="131"/>
    <x v="6"/>
    <x v="5"/>
    <x v="3"/>
    <x v="1"/>
    <x v="29"/>
    <x v="93"/>
    <x v="71"/>
    <x v="57"/>
    <x v="34"/>
    <x v="34"/>
    <x v="0"/>
    <s v="Good"/>
  </r>
  <r>
    <n v="133"/>
    <x v="132"/>
    <x v="3"/>
    <x v="9"/>
    <x v="7"/>
    <x v="14"/>
    <x v="28"/>
    <x v="10"/>
    <x v="39"/>
    <x v="58"/>
    <x v="5"/>
    <x v="17"/>
    <x v="0"/>
    <s v="Excellent"/>
  </r>
  <r>
    <n v="134"/>
    <x v="133"/>
    <x v="5"/>
    <x v="2"/>
    <x v="7"/>
    <x v="21"/>
    <x v="4"/>
    <x v="46"/>
    <x v="38"/>
    <x v="20"/>
    <x v="16"/>
    <x v="17"/>
    <x v="2"/>
    <s v="Good"/>
  </r>
  <r>
    <n v="135"/>
    <x v="134"/>
    <x v="0"/>
    <x v="4"/>
    <x v="1"/>
    <x v="14"/>
    <x v="11"/>
    <x v="50"/>
    <x v="72"/>
    <x v="33"/>
    <x v="8"/>
    <x v="18"/>
    <x v="2"/>
    <s v="Average"/>
  </r>
  <r>
    <n v="136"/>
    <x v="135"/>
    <x v="6"/>
    <x v="3"/>
    <x v="1"/>
    <x v="0"/>
    <x v="34"/>
    <x v="10"/>
    <x v="0"/>
    <x v="3"/>
    <x v="3"/>
    <x v="5"/>
    <x v="0"/>
    <s v="Poor"/>
  </r>
  <r>
    <n v="137"/>
    <x v="136"/>
    <x v="3"/>
    <x v="3"/>
    <x v="8"/>
    <x v="14"/>
    <x v="10"/>
    <x v="55"/>
    <x v="43"/>
    <x v="12"/>
    <x v="3"/>
    <x v="2"/>
    <x v="2"/>
    <s v="Good"/>
  </r>
  <r>
    <n v="138"/>
    <x v="137"/>
    <x v="6"/>
    <x v="2"/>
    <x v="5"/>
    <x v="1"/>
    <x v="5"/>
    <x v="47"/>
    <x v="38"/>
    <x v="12"/>
    <x v="16"/>
    <x v="36"/>
    <x v="2"/>
    <s v="Good"/>
  </r>
  <r>
    <n v="139"/>
    <x v="138"/>
    <x v="1"/>
    <x v="2"/>
    <x v="8"/>
    <x v="7"/>
    <x v="17"/>
    <x v="25"/>
    <x v="73"/>
    <x v="48"/>
    <x v="24"/>
    <x v="30"/>
    <x v="0"/>
    <s v="Good"/>
  </r>
  <r>
    <n v="140"/>
    <x v="139"/>
    <x v="5"/>
    <x v="4"/>
    <x v="3"/>
    <x v="10"/>
    <x v="25"/>
    <x v="41"/>
    <x v="74"/>
    <x v="22"/>
    <x v="25"/>
    <x v="36"/>
    <x v="0"/>
    <s v="Average"/>
  </r>
  <r>
    <n v="141"/>
    <x v="140"/>
    <x v="4"/>
    <x v="3"/>
    <x v="1"/>
    <x v="19"/>
    <x v="30"/>
    <x v="94"/>
    <x v="30"/>
    <x v="48"/>
    <x v="25"/>
    <x v="10"/>
    <x v="0"/>
    <s v="Average"/>
  </r>
  <r>
    <n v="142"/>
    <x v="141"/>
    <x v="4"/>
    <x v="3"/>
    <x v="5"/>
    <x v="14"/>
    <x v="37"/>
    <x v="95"/>
    <x v="48"/>
    <x v="59"/>
    <x v="38"/>
    <x v="29"/>
    <x v="2"/>
    <s v="Average"/>
  </r>
  <r>
    <n v="143"/>
    <x v="142"/>
    <x v="1"/>
    <x v="7"/>
    <x v="4"/>
    <x v="12"/>
    <x v="37"/>
    <x v="64"/>
    <x v="50"/>
    <x v="2"/>
    <x v="16"/>
    <x v="19"/>
    <x v="2"/>
    <s v="Average"/>
  </r>
  <r>
    <n v="144"/>
    <x v="143"/>
    <x v="0"/>
    <x v="4"/>
    <x v="0"/>
    <x v="9"/>
    <x v="41"/>
    <x v="96"/>
    <x v="75"/>
    <x v="33"/>
    <x v="35"/>
    <x v="29"/>
    <x v="0"/>
    <s v="Poor"/>
  </r>
  <r>
    <n v="145"/>
    <x v="144"/>
    <x v="4"/>
    <x v="2"/>
    <x v="2"/>
    <x v="22"/>
    <x v="5"/>
    <x v="19"/>
    <x v="35"/>
    <x v="24"/>
    <x v="17"/>
    <x v="2"/>
    <x v="2"/>
    <s v="Good"/>
  </r>
  <r>
    <n v="146"/>
    <x v="145"/>
    <x v="4"/>
    <x v="3"/>
    <x v="0"/>
    <x v="22"/>
    <x v="39"/>
    <x v="28"/>
    <x v="49"/>
    <x v="3"/>
    <x v="17"/>
    <x v="5"/>
    <x v="0"/>
    <s v="Poor"/>
  </r>
  <r>
    <n v="147"/>
    <x v="146"/>
    <x v="4"/>
    <x v="4"/>
    <x v="3"/>
    <x v="11"/>
    <x v="26"/>
    <x v="23"/>
    <x v="24"/>
    <x v="41"/>
    <x v="19"/>
    <x v="36"/>
    <x v="2"/>
    <s v="Poor"/>
  </r>
  <r>
    <n v="148"/>
    <x v="147"/>
    <x v="6"/>
    <x v="1"/>
    <x v="2"/>
    <x v="5"/>
    <x v="3"/>
    <x v="97"/>
    <x v="20"/>
    <x v="20"/>
    <x v="19"/>
    <x v="17"/>
    <x v="2"/>
    <s v="Excellent"/>
  </r>
  <r>
    <n v="149"/>
    <x v="148"/>
    <x v="3"/>
    <x v="1"/>
    <x v="2"/>
    <x v="4"/>
    <x v="36"/>
    <x v="48"/>
    <x v="25"/>
    <x v="21"/>
    <x v="17"/>
    <x v="17"/>
    <x v="2"/>
    <s v="Average"/>
  </r>
  <r>
    <n v="150"/>
    <x v="149"/>
    <x v="4"/>
    <x v="5"/>
    <x v="9"/>
    <x v="23"/>
    <x v="19"/>
    <x v="66"/>
    <x v="21"/>
    <x v="21"/>
    <x v="17"/>
    <x v="22"/>
    <x v="2"/>
    <s v="Poor"/>
  </r>
  <r>
    <n v="151"/>
    <x v="150"/>
    <x v="6"/>
    <x v="1"/>
    <x v="5"/>
    <x v="5"/>
    <x v="37"/>
    <x v="32"/>
    <x v="76"/>
    <x v="5"/>
    <x v="8"/>
    <x v="25"/>
    <x v="0"/>
    <s v="Average"/>
  </r>
  <r>
    <n v="152"/>
    <x v="151"/>
    <x v="3"/>
    <x v="7"/>
    <x v="1"/>
    <x v="15"/>
    <x v="9"/>
    <x v="48"/>
    <x v="2"/>
    <x v="2"/>
    <x v="16"/>
    <x v="22"/>
    <x v="2"/>
    <s v="Excellent"/>
  </r>
  <r>
    <n v="153"/>
    <x v="152"/>
    <x v="0"/>
    <x v="7"/>
    <x v="8"/>
    <x v="9"/>
    <x v="9"/>
    <x v="98"/>
    <x v="55"/>
    <x v="10"/>
    <x v="27"/>
    <x v="7"/>
    <x v="0"/>
    <s v="Excellent"/>
  </r>
  <r>
    <n v="154"/>
    <x v="153"/>
    <x v="6"/>
    <x v="9"/>
    <x v="7"/>
    <x v="8"/>
    <x v="4"/>
    <x v="46"/>
    <x v="24"/>
    <x v="28"/>
    <x v="16"/>
    <x v="36"/>
    <x v="2"/>
    <s v="Good"/>
  </r>
  <r>
    <n v="155"/>
    <x v="154"/>
    <x v="0"/>
    <x v="2"/>
    <x v="4"/>
    <x v="22"/>
    <x v="32"/>
    <x v="40"/>
    <x v="43"/>
    <x v="2"/>
    <x v="16"/>
    <x v="19"/>
    <x v="2"/>
    <s v="Average"/>
  </r>
  <r>
    <n v="156"/>
    <x v="155"/>
    <x v="2"/>
    <x v="3"/>
    <x v="9"/>
    <x v="12"/>
    <x v="9"/>
    <x v="7"/>
    <x v="77"/>
    <x v="40"/>
    <x v="39"/>
    <x v="14"/>
    <x v="0"/>
    <s v="Excellent"/>
  </r>
  <r>
    <n v="157"/>
    <x v="156"/>
    <x v="5"/>
    <x v="8"/>
    <x v="4"/>
    <x v="26"/>
    <x v="36"/>
    <x v="99"/>
    <x v="78"/>
    <x v="47"/>
    <x v="10"/>
    <x v="38"/>
    <x v="0"/>
    <s v="Average"/>
  </r>
  <r>
    <n v="158"/>
    <x v="157"/>
    <x v="1"/>
    <x v="7"/>
    <x v="0"/>
    <x v="8"/>
    <x v="3"/>
    <x v="100"/>
    <x v="42"/>
    <x v="38"/>
    <x v="17"/>
    <x v="2"/>
    <x v="0"/>
    <s v="Excellent"/>
  </r>
  <r>
    <n v="159"/>
    <x v="158"/>
    <x v="3"/>
    <x v="2"/>
    <x v="4"/>
    <x v="28"/>
    <x v="14"/>
    <x v="13"/>
    <x v="43"/>
    <x v="24"/>
    <x v="16"/>
    <x v="10"/>
    <x v="2"/>
    <s v="Poor"/>
  </r>
  <r>
    <n v="160"/>
    <x v="159"/>
    <x v="6"/>
    <x v="1"/>
    <x v="9"/>
    <x v="0"/>
    <x v="42"/>
    <x v="55"/>
    <x v="25"/>
    <x v="2"/>
    <x v="16"/>
    <x v="7"/>
    <x v="2"/>
    <s v="Poor"/>
  </r>
  <r>
    <n v="161"/>
    <x v="160"/>
    <x v="1"/>
    <x v="7"/>
    <x v="6"/>
    <x v="12"/>
    <x v="25"/>
    <x v="2"/>
    <x v="22"/>
    <x v="43"/>
    <x v="2"/>
    <x v="29"/>
    <x v="2"/>
    <s v="Average"/>
  </r>
  <r>
    <n v="162"/>
    <x v="161"/>
    <x v="0"/>
    <x v="2"/>
    <x v="2"/>
    <x v="14"/>
    <x v="11"/>
    <x v="101"/>
    <x v="79"/>
    <x v="37"/>
    <x v="9"/>
    <x v="14"/>
    <x v="0"/>
    <s v="Average"/>
  </r>
  <r>
    <n v="163"/>
    <x v="162"/>
    <x v="2"/>
    <x v="2"/>
    <x v="2"/>
    <x v="2"/>
    <x v="16"/>
    <x v="102"/>
    <x v="11"/>
    <x v="60"/>
    <x v="26"/>
    <x v="36"/>
    <x v="0"/>
    <s v="Excellent"/>
  </r>
  <r>
    <n v="164"/>
    <x v="163"/>
    <x v="0"/>
    <x v="3"/>
    <x v="6"/>
    <x v="23"/>
    <x v="12"/>
    <x v="92"/>
    <x v="69"/>
    <x v="38"/>
    <x v="8"/>
    <x v="0"/>
    <x v="0"/>
    <s v="Good"/>
  </r>
  <r>
    <n v="165"/>
    <x v="164"/>
    <x v="1"/>
    <x v="9"/>
    <x v="8"/>
    <x v="7"/>
    <x v="1"/>
    <x v="103"/>
    <x v="80"/>
    <x v="0"/>
    <x v="8"/>
    <x v="36"/>
    <x v="0"/>
    <s v="Excellent"/>
  </r>
  <r>
    <n v="166"/>
    <x v="165"/>
    <x v="2"/>
    <x v="8"/>
    <x v="8"/>
    <x v="29"/>
    <x v="15"/>
    <x v="104"/>
    <x v="0"/>
    <x v="38"/>
    <x v="5"/>
    <x v="30"/>
    <x v="0"/>
    <s v="Average"/>
  </r>
  <r>
    <n v="167"/>
    <x v="166"/>
    <x v="0"/>
    <x v="9"/>
    <x v="0"/>
    <x v="14"/>
    <x v="9"/>
    <x v="52"/>
    <x v="42"/>
    <x v="0"/>
    <x v="15"/>
    <x v="19"/>
    <x v="0"/>
    <s v="Excellent"/>
  </r>
  <r>
    <n v="168"/>
    <x v="167"/>
    <x v="6"/>
    <x v="0"/>
    <x v="9"/>
    <x v="11"/>
    <x v="26"/>
    <x v="24"/>
    <x v="2"/>
    <x v="12"/>
    <x v="3"/>
    <x v="19"/>
    <x v="2"/>
    <s v="Poor"/>
  </r>
  <r>
    <n v="169"/>
    <x v="168"/>
    <x v="2"/>
    <x v="0"/>
    <x v="7"/>
    <x v="30"/>
    <x v="16"/>
    <x v="105"/>
    <x v="22"/>
    <x v="24"/>
    <x v="3"/>
    <x v="7"/>
    <x v="2"/>
    <s v="Excellent"/>
  </r>
  <r>
    <n v="170"/>
    <x v="169"/>
    <x v="2"/>
    <x v="8"/>
    <x v="3"/>
    <x v="2"/>
    <x v="6"/>
    <x v="43"/>
    <x v="36"/>
    <x v="19"/>
    <x v="5"/>
    <x v="22"/>
    <x v="2"/>
    <s v="Good"/>
  </r>
  <r>
    <n v="171"/>
    <x v="170"/>
    <x v="0"/>
    <x v="5"/>
    <x v="0"/>
    <x v="22"/>
    <x v="25"/>
    <x v="106"/>
    <x v="81"/>
    <x v="61"/>
    <x v="40"/>
    <x v="43"/>
    <x v="3"/>
    <s v="Average"/>
  </r>
  <r>
    <n v="172"/>
    <x v="171"/>
    <x v="2"/>
    <x v="4"/>
    <x v="3"/>
    <x v="30"/>
    <x v="39"/>
    <x v="66"/>
    <x v="21"/>
    <x v="12"/>
    <x v="16"/>
    <x v="19"/>
    <x v="2"/>
    <s v="Poor"/>
  </r>
  <r>
    <n v="173"/>
    <x v="172"/>
    <x v="1"/>
    <x v="5"/>
    <x v="8"/>
    <x v="5"/>
    <x v="32"/>
    <x v="47"/>
    <x v="29"/>
    <x v="28"/>
    <x v="3"/>
    <x v="36"/>
    <x v="2"/>
    <s v="Average"/>
  </r>
  <r>
    <n v="174"/>
    <x v="173"/>
    <x v="2"/>
    <x v="5"/>
    <x v="1"/>
    <x v="12"/>
    <x v="30"/>
    <x v="12"/>
    <x v="66"/>
    <x v="3"/>
    <x v="34"/>
    <x v="30"/>
    <x v="0"/>
    <s v="Average"/>
  </r>
  <r>
    <n v="175"/>
    <x v="174"/>
    <x v="3"/>
    <x v="7"/>
    <x v="0"/>
    <x v="28"/>
    <x v="33"/>
    <x v="9"/>
    <x v="80"/>
    <x v="9"/>
    <x v="17"/>
    <x v="19"/>
    <x v="2"/>
    <s v="Average"/>
  </r>
  <r>
    <n v="176"/>
    <x v="175"/>
    <x v="4"/>
    <x v="3"/>
    <x v="2"/>
    <x v="4"/>
    <x v="12"/>
    <x v="32"/>
    <x v="65"/>
    <x v="42"/>
    <x v="5"/>
    <x v="7"/>
    <x v="0"/>
    <s v="Good"/>
  </r>
  <r>
    <n v="177"/>
    <x v="176"/>
    <x v="5"/>
    <x v="6"/>
    <x v="9"/>
    <x v="31"/>
    <x v="30"/>
    <x v="88"/>
    <x v="9"/>
    <x v="38"/>
    <x v="15"/>
    <x v="18"/>
    <x v="2"/>
    <s v="Average"/>
  </r>
  <r>
    <n v="178"/>
    <x v="177"/>
    <x v="3"/>
    <x v="2"/>
    <x v="3"/>
    <x v="14"/>
    <x v="28"/>
    <x v="107"/>
    <x v="4"/>
    <x v="35"/>
    <x v="15"/>
    <x v="17"/>
    <x v="2"/>
    <s v="Excellent"/>
  </r>
  <r>
    <n v="179"/>
    <x v="178"/>
    <x v="6"/>
    <x v="3"/>
    <x v="9"/>
    <x v="11"/>
    <x v="4"/>
    <x v="47"/>
    <x v="47"/>
    <x v="2"/>
    <x v="16"/>
    <x v="36"/>
    <x v="2"/>
    <s v="Good"/>
  </r>
  <r>
    <n v="180"/>
    <x v="179"/>
    <x v="3"/>
    <x v="6"/>
    <x v="2"/>
    <x v="10"/>
    <x v="32"/>
    <x v="108"/>
    <x v="82"/>
    <x v="40"/>
    <x v="41"/>
    <x v="44"/>
    <x v="0"/>
    <s v="Average"/>
  </r>
  <r>
    <n v="181"/>
    <x v="180"/>
    <x v="4"/>
    <x v="0"/>
    <x v="5"/>
    <x v="17"/>
    <x v="42"/>
    <x v="77"/>
    <x v="8"/>
    <x v="18"/>
    <x v="3"/>
    <x v="36"/>
    <x v="2"/>
    <s v="Poor"/>
  </r>
  <r>
    <n v="182"/>
    <x v="181"/>
    <x v="5"/>
    <x v="6"/>
    <x v="3"/>
    <x v="10"/>
    <x v="27"/>
    <x v="109"/>
    <x v="54"/>
    <x v="62"/>
    <x v="26"/>
    <x v="12"/>
    <x v="0"/>
    <s v="Poor"/>
  </r>
  <r>
    <n v="183"/>
    <x v="182"/>
    <x v="4"/>
    <x v="7"/>
    <x v="8"/>
    <x v="9"/>
    <x v="38"/>
    <x v="46"/>
    <x v="47"/>
    <x v="20"/>
    <x v="16"/>
    <x v="36"/>
    <x v="2"/>
    <s v="Excellent"/>
  </r>
  <r>
    <n v="184"/>
    <x v="183"/>
    <x v="5"/>
    <x v="8"/>
    <x v="6"/>
    <x v="16"/>
    <x v="14"/>
    <x v="2"/>
    <x v="22"/>
    <x v="24"/>
    <x v="15"/>
    <x v="17"/>
    <x v="2"/>
    <s v="Poor"/>
  </r>
  <r>
    <n v="185"/>
    <x v="184"/>
    <x v="1"/>
    <x v="7"/>
    <x v="7"/>
    <x v="0"/>
    <x v="29"/>
    <x v="102"/>
    <x v="10"/>
    <x v="63"/>
    <x v="2"/>
    <x v="40"/>
    <x v="0"/>
    <s v="Good"/>
  </r>
  <r>
    <n v="186"/>
    <x v="185"/>
    <x v="0"/>
    <x v="5"/>
    <x v="9"/>
    <x v="14"/>
    <x v="10"/>
    <x v="88"/>
    <x v="9"/>
    <x v="33"/>
    <x v="3"/>
    <x v="17"/>
    <x v="2"/>
    <s v="Good"/>
  </r>
  <r>
    <n v="187"/>
    <x v="186"/>
    <x v="1"/>
    <x v="6"/>
    <x v="2"/>
    <x v="0"/>
    <x v="28"/>
    <x v="91"/>
    <x v="2"/>
    <x v="21"/>
    <x v="3"/>
    <x v="29"/>
    <x v="2"/>
    <s v="Excellent"/>
  </r>
  <r>
    <n v="188"/>
    <x v="187"/>
    <x v="4"/>
    <x v="3"/>
    <x v="3"/>
    <x v="9"/>
    <x v="5"/>
    <x v="107"/>
    <x v="69"/>
    <x v="35"/>
    <x v="8"/>
    <x v="18"/>
    <x v="2"/>
    <s v="Good"/>
  </r>
  <r>
    <n v="189"/>
    <x v="188"/>
    <x v="0"/>
    <x v="8"/>
    <x v="2"/>
    <x v="0"/>
    <x v="27"/>
    <x v="82"/>
    <x v="25"/>
    <x v="18"/>
    <x v="2"/>
    <x v="36"/>
    <x v="2"/>
    <s v="Poor"/>
  </r>
  <r>
    <n v="190"/>
    <x v="189"/>
    <x v="5"/>
    <x v="4"/>
    <x v="9"/>
    <x v="31"/>
    <x v="43"/>
    <x v="72"/>
    <x v="57"/>
    <x v="41"/>
    <x v="19"/>
    <x v="29"/>
    <x v="2"/>
    <s v="Poor"/>
  </r>
  <r>
    <n v="191"/>
    <x v="190"/>
    <x v="3"/>
    <x v="0"/>
    <x v="2"/>
    <x v="20"/>
    <x v="5"/>
    <x v="86"/>
    <x v="47"/>
    <x v="21"/>
    <x v="3"/>
    <x v="17"/>
    <x v="2"/>
    <s v="Good"/>
  </r>
  <r>
    <n v="192"/>
    <x v="191"/>
    <x v="0"/>
    <x v="5"/>
    <x v="4"/>
    <x v="23"/>
    <x v="27"/>
    <x v="50"/>
    <x v="41"/>
    <x v="9"/>
    <x v="5"/>
    <x v="22"/>
    <x v="2"/>
    <s v="Poor"/>
  </r>
  <r>
    <n v="193"/>
    <x v="192"/>
    <x v="3"/>
    <x v="4"/>
    <x v="8"/>
    <x v="20"/>
    <x v="25"/>
    <x v="110"/>
    <x v="11"/>
    <x v="8"/>
    <x v="34"/>
    <x v="20"/>
    <x v="0"/>
    <s v="Average"/>
  </r>
  <r>
    <n v="194"/>
    <x v="193"/>
    <x v="6"/>
    <x v="7"/>
    <x v="6"/>
    <x v="8"/>
    <x v="14"/>
    <x v="111"/>
    <x v="83"/>
    <x v="64"/>
    <x v="22"/>
    <x v="45"/>
    <x v="1"/>
    <s v="Poor"/>
  </r>
  <r>
    <n v="195"/>
    <x v="194"/>
    <x v="3"/>
    <x v="2"/>
    <x v="0"/>
    <x v="24"/>
    <x v="5"/>
    <x v="112"/>
    <x v="65"/>
    <x v="65"/>
    <x v="34"/>
    <x v="12"/>
    <x v="0"/>
    <s v="Good"/>
  </r>
  <r>
    <n v="196"/>
    <x v="195"/>
    <x v="6"/>
    <x v="5"/>
    <x v="9"/>
    <x v="9"/>
    <x v="6"/>
    <x v="86"/>
    <x v="38"/>
    <x v="21"/>
    <x v="3"/>
    <x v="29"/>
    <x v="2"/>
    <s v="Good"/>
  </r>
  <r>
    <n v="197"/>
    <x v="196"/>
    <x v="3"/>
    <x v="9"/>
    <x v="6"/>
    <x v="20"/>
    <x v="16"/>
    <x v="30"/>
    <x v="19"/>
    <x v="35"/>
    <x v="17"/>
    <x v="2"/>
    <x v="2"/>
    <s v="Excellent"/>
  </r>
  <r>
    <n v="198"/>
    <x v="197"/>
    <x v="0"/>
    <x v="7"/>
    <x v="5"/>
    <x v="0"/>
    <x v="43"/>
    <x v="107"/>
    <x v="8"/>
    <x v="43"/>
    <x v="3"/>
    <x v="3"/>
    <x v="2"/>
    <s v="Poor"/>
  </r>
  <r>
    <n v="199"/>
    <x v="198"/>
    <x v="0"/>
    <x v="6"/>
    <x v="7"/>
    <x v="9"/>
    <x v="27"/>
    <x v="47"/>
    <x v="29"/>
    <x v="12"/>
    <x v="3"/>
    <x v="29"/>
    <x v="2"/>
    <s v="Poor"/>
  </r>
  <r>
    <n v="200"/>
    <x v="199"/>
    <x v="0"/>
    <x v="7"/>
    <x v="0"/>
    <x v="0"/>
    <x v="42"/>
    <x v="86"/>
    <x v="47"/>
    <x v="12"/>
    <x v="3"/>
    <x v="29"/>
    <x v="2"/>
    <s v="Poor"/>
  </r>
  <r>
    <n v="201"/>
    <x v="200"/>
    <x v="5"/>
    <x v="0"/>
    <x v="5"/>
    <x v="16"/>
    <x v="40"/>
    <x v="113"/>
    <x v="48"/>
    <x v="41"/>
    <x v="19"/>
    <x v="36"/>
    <x v="2"/>
    <s v="Good"/>
  </r>
  <r>
    <n v="202"/>
    <x v="201"/>
    <x v="1"/>
    <x v="0"/>
    <x v="9"/>
    <x v="1"/>
    <x v="0"/>
    <x v="41"/>
    <x v="76"/>
    <x v="33"/>
    <x v="35"/>
    <x v="9"/>
    <x v="0"/>
    <s v="Excellent"/>
  </r>
  <r>
    <n v="203"/>
    <x v="202"/>
    <x v="0"/>
    <x v="0"/>
    <x v="8"/>
    <x v="22"/>
    <x v="20"/>
    <x v="114"/>
    <x v="12"/>
    <x v="66"/>
    <x v="24"/>
    <x v="46"/>
    <x v="3"/>
    <s v="Poor"/>
  </r>
  <r>
    <n v="204"/>
    <x v="203"/>
    <x v="0"/>
    <x v="4"/>
    <x v="5"/>
    <x v="22"/>
    <x v="29"/>
    <x v="46"/>
    <x v="38"/>
    <x v="28"/>
    <x v="3"/>
    <x v="18"/>
    <x v="2"/>
    <s v="Good"/>
  </r>
  <r>
    <n v="205"/>
    <x v="204"/>
    <x v="6"/>
    <x v="2"/>
    <x v="2"/>
    <x v="23"/>
    <x v="16"/>
    <x v="22"/>
    <x v="25"/>
    <x v="12"/>
    <x v="2"/>
    <x v="36"/>
    <x v="2"/>
    <s v="Excellent"/>
  </r>
  <r>
    <n v="206"/>
    <x v="205"/>
    <x v="4"/>
    <x v="9"/>
    <x v="5"/>
    <x v="19"/>
    <x v="27"/>
    <x v="115"/>
    <x v="66"/>
    <x v="37"/>
    <x v="36"/>
    <x v="13"/>
    <x v="0"/>
    <s v="Poor"/>
  </r>
  <r>
    <n v="207"/>
    <x v="206"/>
    <x v="2"/>
    <x v="0"/>
    <x v="7"/>
    <x v="13"/>
    <x v="43"/>
    <x v="110"/>
    <x v="84"/>
    <x v="54"/>
    <x v="5"/>
    <x v="14"/>
    <x v="0"/>
    <s v="Poor"/>
  </r>
  <r>
    <n v="208"/>
    <x v="207"/>
    <x v="3"/>
    <x v="5"/>
    <x v="9"/>
    <x v="4"/>
    <x v="30"/>
    <x v="105"/>
    <x v="18"/>
    <x v="43"/>
    <x v="16"/>
    <x v="22"/>
    <x v="2"/>
    <s v="Average"/>
  </r>
  <r>
    <n v="209"/>
    <x v="208"/>
    <x v="4"/>
    <x v="0"/>
    <x v="5"/>
    <x v="19"/>
    <x v="18"/>
    <x v="86"/>
    <x v="29"/>
    <x v="28"/>
    <x v="3"/>
    <x v="29"/>
    <x v="2"/>
    <s v="Poor"/>
  </r>
  <r>
    <n v="210"/>
    <x v="209"/>
    <x v="5"/>
    <x v="6"/>
    <x v="0"/>
    <x v="10"/>
    <x v="25"/>
    <x v="88"/>
    <x v="36"/>
    <x v="35"/>
    <x v="2"/>
    <x v="3"/>
    <x v="2"/>
    <s v="Average"/>
  </r>
  <r>
    <n v="211"/>
    <x v="210"/>
    <x v="6"/>
    <x v="5"/>
    <x v="5"/>
    <x v="7"/>
    <x v="14"/>
    <x v="116"/>
    <x v="20"/>
    <x v="20"/>
    <x v="19"/>
    <x v="22"/>
    <x v="2"/>
    <s v="Poor"/>
  </r>
  <r>
    <n v="212"/>
    <x v="211"/>
    <x v="5"/>
    <x v="6"/>
    <x v="0"/>
    <x v="31"/>
    <x v="20"/>
    <x v="91"/>
    <x v="29"/>
    <x v="12"/>
    <x v="16"/>
    <x v="36"/>
    <x v="2"/>
    <s v="Poor"/>
  </r>
  <r>
    <n v="213"/>
    <x v="212"/>
    <x v="5"/>
    <x v="1"/>
    <x v="8"/>
    <x v="31"/>
    <x v="3"/>
    <x v="97"/>
    <x v="24"/>
    <x v="20"/>
    <x v="19"/>
    <x v="29"/>
    <x v="2"/>
    <s v="Excellent"/>
  </r>
  <r>
    <n v="214"/>
    <x v="213"/>
    <x v="3"/>
    <x v="8"/>
    <x v="7"/>
    <x v="4"/>
    <x v="34"/>
    <x v="36"/>
    <x v="50"/>
    <x v="19"/>
    <x v="17"/>
    <x v="35"/>
    <x v="2"/>
    <s v="Poor"/>
  </r>
  <r>
    <n v="215"/>
    <x v="214"/>
    <x v="0"/>
    <x v="2"/>
    <x v="3"/>
    <x v="0"/>
    <x v="2"/>
    <x v="96"/>
    <x v="72"/>
    <x v="35"/>
    <x v="3"/>
    <x v="12"/>
    <x v="0"/>
    <s v="Excellent"/>
  </r>
  <r>
    <n v="216"/>
    <x v="215"/>
    <x v="1"/>
    <x v="9"/>
    <x v="2"/>
    <x v="1"/>
    <x v="30"/>
    <x v="62"/>
    <x v="4"/>
    <x v="35"/>
    <x v="17"/>
    <x v="10"/>
    <x v="2"/>
    <s v="Average"/>
  </r>
  <r>
    <n v="217"/>
    <x v="216"/>
    <x v="2"/>
    <x v="5"/>
    <x v="0"/>
    <x v="27"/>
    <x v="12"/>
    <x v="117"/>
    <x v="85"/>
    <x v="45"/>
    <x v="36"/>
    <x v="25"/>
    <x v="3"/>
    <s v="Good"/>
  </r>
  <r>
    <n v="218"/>
    <x v="217"/>
    <x v="3"/>
    <x v="4"/>
    <x v="4"/>
    <x v="24"/>
    <x v="35"/>
    <x v="118"/>
    <x v="86"/>
    <x v="67"/>
    <x v="42"/>
    <x v="5"/>
    <x v="0"/>
    <s v="Poor"/>
  </r>
  <r>
    <n v="219"/>
    <x v="218"/>
    <x v="5"/>
    <x v="7"/>
    <x v="6"/>
    <x v="10"/>
    <x v="18"/>
    <x v="2"/>
    <x v="22"/>
    <x v="2"/>
    <x v="2"/>
    <x v="22"/>
    <x v="2"/>
    <s v="Poor"/>
  </r>
  <r>
    <n v="220"/>
    <x v="219"/>
    <x v="4"/>
    <x v="4"/>
    <x v="5"/>
    <x v="22"/>
    <x v="6"/>
    <x v="10"/>
    <x v="39"/>
    <x v="3"/>
    <x v="8"/>
    <x v="29"/>
    <x v="0"/>
    <s v="Good"/>
  </r>
  <r>
    <n v="221"/>
    <x v="220"/>
    <x v="5"/>
    <x v="8"/>
    <x v="9"/>
    <x v="21"/>
    <x v="36"/>
    <x v="92"/>
    <x v="61"/>
    <x v="29"/>
    <x v="0"/>
    <x v="7"/>
    <x v="0"/>
    <s v="Average"/>
  </r>
  <r>
    <n v="222"/>
    <x v="221"/>
    <x v="4"/>
    <x v="4"/>
    <x v="3"/>
    <x v="11"/>
    <x v="24"/>
    <x v="61"/>
    <x v="2"/>
    <x v="12"/>
    <x v="3"/>
    <x v="17"/>
    <x v="2"/>
    <s v="Poor"/>
  </r>
  <r>
    <n v="223"/>
    <x v="222"/>
    <x v="3"/>
    <x v="1"/>
    <x v="2"/>
    <x v="28"/>
    <x v="4"/>
    <x v="3"/>
    <x v="39"/>
    <x v="9"/>
    <x v="10"/>
    <x v="19"/>
    <x v="0"/>
    <s v="Good"/>
  </r>
  <r>
    <n v="224"/>
    <x v="223"/>
    <x v="4"/>
    <x v="1"/>
    <x v="4"/>
    <x v="14"/>
    <x v="43"/>
    <x v="119"/>
    <x v="36"/>
    <x v="38"/>
    <x v="15"/>
    <x v="33"/>
    <x v="2"/>
    <s v="Poor"/>
  </r>
  <r>
    <n v="225"/>
    <x v="224"/>
    <x v="5"/>
    <x v="0"/>
    <x v="5"/>
    <x v="21"/>
    <x v="28"/>
    <x v="20"/>
    <x v="36"/>
    <x v="18"/>
    <x v="2"/>
    <x v="5"/>
    <x v="2"/>
    <s v="Excellent"/>
  </r>
  <r>
    <n v="226"/>
    <x v="225"/>
    <x v="6"/>
    <x v="3"/>
    <x v="7"/>
    <x v="6"/>
    <x v="26"/>
    <x v="40"/>
    <x v="29"/>
    <x v="12"/>
    <x v="16"/>
    <x v="5"/>
    <x v="2"/>
    <s v="Poor"/>
  </r>
  <r>
    <n v="227"/>
    <x v="226"/>
    <x v="4"/>
    <x v="9"/>
    <x v="5"/>
    <x v="20"/>
    <x v="11"/>
    <x v="55"/>
    <x v="43"/>
    <x v="43"/>
    <x v="17"/>
    <x v="36"/>
    <x v="2"/>
    <s v="Average"/>
  </r>
  <r>
    <n v="228"/>
    <x v="227"/>
    <x v="4"/>
    <x v="9"/>
    <x v="2"/>
    <x v="19"/>
    <x v="8"/>
    <x v="47"/>
    <x v="38"/>
    <x v="28"/>
    <x v="3"/>
    <x v="22"/>
    <x v="2"/>
    <s v="Excellent"/>
  </r>
  <r>
    <n v="229"/>
    <x v="228"/>
    <x v="6"/>
    <x v="9"/>
    <x v="9"/>
    <x v="7"/>
    <x v="33"/>
    <x v="116"/>
    <x v="20"/>
    <x v="28"/>
    <x v="16"/>
    <x v="17"/>
    <x v="2"/>
    <s v="Average"/>
  </r>
  <r>
    <n v="230"/>
    <x v="229"/>
    <x v="1"/>
    <x v="9"/>
    <x v="2"/>
    <x v="7"/>
    <x v="13"/>
    <x v="65"/>
    <x v="87"/>
    <x v="45"/>
    <x v="14"/>
    <x v="10"/>
    <x v="0"/>
    <s v="Good"/>
  </r>
  <r>
    <n v="231"/>
    <x v="230"/>
    <x v="1"/>
    <x v="3"/>
    <x v="7"/>
    <x v="6"/>
    <x v="1"/>
    <x v="13"/>
    <x v="21"/>
    <x v="12"/>
    <x v="2"/>
    <x v="7"/>
    <x v="2"/>
    <s v="Excellent"/>
  </r>
  <r>
    <n v="232"/>
    <x v="231"/>
    <x v="2"/>
    <x v="7"/>
    <x v="2"/>
    <x v="13"/>
    <x v="7"/>
    <x v="120"/>
    <x v="72"/>
    <x v="48"/>
    <x v="8"/>
    <x v="12"/>
    <x v="0"/>
    <s v="Good"/>
  </r>
  <r>
    <n v="233"/>
    <x v="232"/>
    <x v="0"/>
    <x v="8"/>
    <x v="4"/>
    <x v="19"/>
    <x v="9"/>
    <x v="121"/>
    <x v="88"/>
    <x v="53"/>
    <x v="24"/>
    <x v="47"/>
    <x v="3"/>
    <s v="Excellent"/>
  </r>
  <r>
    <n v="234"/>
    <x v="233"/>
    <x v="6"/>
    <x v="1"/>
    <x v="8"/>
    <x v="8"/>
    <x v="5"/>
    <x v="42"/>
    <x v="47"/>
    <x v="28"/>
    <x v="19"/>
    <x v="17"/>
    <x v="2"/>
    <s v="Good"/>
  </r>
  <r>
    <n v="235"/>
    <x v="234"/>
    <x v="6"/>
    <x v="7"/>
    <x v="4"/>
    <x v="23"/>
    <x v="7"/>
    <x v="100"/>
    <x v="42"/>
    <x v="33"/>
    <x v="35"/>
    <x v="29"/>
    <x v="0"/>
    <s v="Good"/>
  </r>
  <r>
    <n v="236"/>
    <x v="235"/>
    <x v="2"/>
    <x v="4"/>
    <x v="7"/>
    <x v="27"/>
    <x v="43"/>
    <x v="71"/>
    <x v="30"/>
    <x v="3"/>
    <x v="7"/>
    <x v="3"/>
    <x v="0"/>
    <s v="Poor"/>
  </r>
  <r>
    <n v="237"/>
    <x v="236"/>
    <x v="0"/>
    <x v="9"/>
    <x v="4"/>
    <x v="22"/>
    <x v="34"/>
    <x v="8"/>
    <x v="89"/>
    <x v="42"/>
    <x v="7"/>
    <x v="5"/>
    <x v="0"/>
    <s v="Poor"/>
  </r>
  <r>
    <n v="238"/>
    <x v="237"/>
    <x v="6"/>
    <x v="4"/>
    <x v="0"/>
    <x v="11"/>
    <x v="2"/>
    <x v="27"/>
    <x v="47"/>
    <x v="21"/>
    <x v="3"/>
    <x v="29"/>
    <x v="2"/>
    <s v="Excellent"/>
  </r>
  <r>
    <n v="239"/>
    <x v="238"/>
    <x v="5"/>
    <x v="8"/>
    <x v="4"/>
    <x v="26"/>
    <x v="13"/>
    <x v="122"/>
    <x v="90"/>
    <x v="27"/>
    <x v="43"/>
    <x v="9"/>
    <x v="0"/>
    <s v="Good"/>
  </r>
  <r>
    <n v="240"/>
    <x v="239"/>
    <x v="0"/>
    <x v="8"/>
    <x v="2"/>
    <x v="17"/>
    <x v="43"/>
    <x v="96"/>
    <x v="80"/>
    <x v="33"/>
    <x v="17"/>
    <x v="11"/>
    <x v="0"/>
    <s v="Poor"/>
  </r>
  <r>
    <n v="241"/>
    <x v="240"/>
    <x v="6"/>
    <x v="1"/>
    <x v="1"/>
    <x v="1"/>
    <x v="2"/>
    <x v="28"/>
    <x v="9"/>
    <x v="10"/>
    <x v="5"/>
    <x v="33"/>
    <x v="0"/>
    <s v="Excellent"/>
  </r>
  <r>
    <n v="242"/>
    <x v="241"/>
    <x v="5"/>
    <x v="5"/>
    <x v="7"/>
    <x v="26"/>
    <x v="32"/>
    <x v="46"/>
    <x v="20"/>
    <x v="28"/>
    <x v="16"/>
    <x v="22"/>
    <x v="2"/>
    <s v="Average"/>
  </r>
  <r>
    <n v="243"/>
    <x v="242"/>
    <x v="5"/>
    <x v="6"/>
    <x v="6"/>
    <x v="26"/>
    <x v="20"/>
    <x v="47"/>
    <x v="29"/>
    <x v="28"/>
    <x v="3"/>
    <x v="36"/>
    <x v="2"/>
    <s v="Poor"/>
  </r>
  <r>
    <n v="244"/>
    <x v="243"/>
    <x v="6"/>
    <x v="4"/>
    <x v="7"/>
    <x v="9"/>
    <x v="27"/>
    <x v="46"/>
    <x v="24"/>
    <x v="28"/>
    <x v="3"/>
    <x v="17"/>
    <x v="2"/>
    <s v="Poor"/>
  </r>
  <r>
    <n v="245"/>
    <x v="244"/>
    <x v="3"/>
    <x v="3"/>
    <x v="7"/>
    <x v="28"/>
    <x v="9"/>
    <x v="123"/>
    <x v="41"/>
    <x v="18"/>
    <x v="2"/>
    <x v="5"/>
    <x v="2"/>
    <s v="Excellent"/>
  </r>
  <r>
    <n v="246"/>
    <x v="245"/>
    <x v="4"/>
    <x v="5"/>
    <x v="5"/>
    <x v="23"/>
    <x v="35"/>
    <x v="51"/>
    <x v="45"/>
    <x v="38"/>
    <x v="17"/>
    <x v="2"/>
    <x v="0"/>
    <s v="Poor"/>
  </r>
  <r>
    <n v="247"/>
    <x v="246"/>
    <x v="0"/>
    <x v="5"/>
    <x v="8"/>
    <x v="17"/>
    <x v="3"/>
    <x v="124"/>
    <x v="27"/>
    <x v="8"/>
    <x v="25"/>
    <x v="14"/>
    <x v="0"/>
    <s v="Excellent"/>
  </r>
  <r>
    <n v="248"/>
    <x v="247"/>
    <x v="4"/>
    <x v="5"/>
    <x v="0"/>
    <x v="4"/>
    <x v="36"/>
    <x v="50"/>
    <x v="69"/>
    <x v="0"/>
    <x v="35"/>
    <x v="18"/>
    <x v="2"/>
    <s v="Average"/>
  </r>
  <r>
    <n v="249"/>
    <x v="248"/>
    <x v="0"/>
    <x v="4"/>
    <x v="9"/>
    <x v="18"/>
    <x v="5"/>
    <x v="125"/>
    <x v="91"/>
    <x v="68"/>
    <x v="35"/>
    <x v="30"/>
    <x v="0"/>
    <s v="Good"/>
  </r>
  <r>
    <n v="250"/>
    <x v="249"/>
    <x v="5"/>
    <x v="6"/>
    <x v="6"/>
    <x v="31"/>
    <x v="12"/>
    <x v="107"/>
    <x v="8"/>
    <x v="18"/>
    <x v="8"/>
    <x v="19"/>
    <x v="2"/>
    <s v="Good"/>
  </r>
  <r>
    <n v="251"/>
    <x v="250"/>
    <x v="5"/>
    <x v="8"/>
    <x v="8"/>
    <x v="10"/>
    <x v="32"/>
    <x v="34"/>
    <x v="38"/>
    <x v="12"/>
    <x v="3"/>
    <x v="29"/>
    <x v="2"/>
    <s v="Average"/>
  </r>
  <r>
    <n v="252"/>
    <x v="251"/>
    <x v="4"/>
    <x v="6"/>
    <x v="2"/>
    <x v="20"/>
    <x v="36"/>
    <x v="46"/>
    <x v="47"/>
    <x v="28"/>
    <x v="19"/>
    <x v="36"/>
    <x v="2"/>
    <s v="Average"/>
  </r>
  <r>
    <n v="253"/>
    <x v="252"/>
    <x v="4"/>
    <x v="3"/>
    <x v="5"/>
    <x v="11"/>
    <x v="24"/>
    <x v="5"/>
    <x v="61"/>
    <x v="35"/>
    <x v="17"/>
    <x v="33"/>
    <x v="0"/>
    <s v="Poor"/>
  </r>
  <r>
    <n v="254"/>
    <x v="253"/>
    <x v="6"/>
    <x v="2"/>
    <x v="1"/>
    <x v="7"/>
    <x v="32"/>
    <x v="2"/>
    <x v="18"/>
    <x v="19"/>
    <x v="17"/>
    <x v="29"/>
    <x v="2"/>
    <s v="Average"/>
  </r>
  <r>
    <n v="255"/>
    <x v="254"/>
    <x v="2"/>
    <x v="0"/>
    <x v="0"/>
    <x v="2"/>
    <x v="11"/>
    <x v="126"/>
    <x v="92"/>
    <x v="69"/>
    <x v="44"/>
    <x v="48"/>
    <x v="3"/>
    <s v="Average"/>
  </r>
  <r>
    <n v="256"/>
    <x v="255"/>
    <x v="6"/>
    <x v="5"/>
    <x v="1"/>
    <x v="23"/>
    <x v="31"/>
    <x v="127"/>
    <x v="93"/>
    <x v="35"/>
    <x v="10"/>
    <x v="10"/>
    <x v="0"/>
    <s v="Average"/>
  </r>
  <r>
    <n v="257"/>
    <x v="256"/>
    <x v="4"/>
    <x v="4"/>
    <x v="6"/>
    <x v="11"/>
    <x v="40"/>
    <x v="128"/>
    <x v="84"/>
    <x v="67"/>
    <x v="5"/>
    <x v="9"/>
    <x v="0"/>
    <s v="Good"/>
  </r>
  <r>
    <n v="258"/>
    <x v="257"/>
    <x v="4"/>
    <x v="3"/>
    <x v="6"/>
    <x v="4"/>
    <x v="12"/>
    <x v="42"/>
    <x v="24"/>
    <x v="21"/>
    <x v="19"/>
    <x v="17"/>
    <x v="2"/>
    <s v="Good"/>
  </r>
  <r>
    <n v="259"/>
    <x v="258"/>
    <x v="2"/>
    <x v="0"/>
    <x v="3"/>
    <x v="30"/>
    <x v="9"/>
    <x v="129"/>
    <x v="94"/>
    <x v="70"/>
    <x v="45"/>
    <x v="31"/>
    <x v="3"/>
    <s v="Excellent"/>
  </r>
  <r>
    <n v="260"/>
    <x v="259"/>
    <x v="6"/>
    <x v="8"/>
    <x v="6"/>
    <x v="11"/>
    <x v="40"/>
    <x v="96"/>
    <x v="19"/>
    <x v="38"/>
    <x v="35"/>
    <x v="23"/>
    <x v="0"/>
    <s v="Good"/>
  </r>
  <r>
    <n v="261"/>
    <x v="260"/>
    <x v="1"/>
    <x v="2"/>
    <x v="6"/>
    <x v="6"/>
    <x v="40"/>
    <x v="41"/>
    <x v="30"/>
    <x v="63"/>
    <x v="2"/>
    <x v="10"/>
    <x v="0"/>
    <s v="Good"/>
  </r>
  <r>
    <n v="262"/>
    <x v="261"/>
    <x v="3"/>
    <x v="8"/>
    <x v="2"/>
    <x v="14"/>
    <x v="23"/>
    <x v="35"/>
    <x v="65"/>
    <x v="10"/>
    <x v="0"/>
    <x v="3"/>
    <x v="0"/>
    <s v="Poor"/>
  </r>
  <r>
    <n v="263"/>
    <x v="262"/>
    <x v="5"/>
    <x v="3"/>
    <x v="6"/>
    <x v="26"/>
    <x v="33"/>
    <x v="130"/>
    <x v="6"/>
    <x v="39"/>
    <x v="34"/>
    <x v="11"/>
    <x v="0"/>
    <s v="Average"/>
  </r>
  <r>
    <n v="264"/>
    <x v="263"/>
    <x v="3"/>
    <x v="5"/>
    <x v="7"/>
    <x v="10"/>
    <x v="14"/>
    <x v="61"/>
    <x v="29"/>
    <x v="21"/>
    <x v="16"/>
    <x v="10"/>
    <x v="2"/>
    <s v="Poor"/>
  </r>
  <r>
    <n v="265"/>
    <x v="264"/>
    <x v="6"/>
    <x v="7"/>
    <x v="4"/>
    <x v="11"/>
    <x v="35"/>
    <x v="97"/>
    <x v="20"/>
    <x v="20"/>
    <x v="16"/>
    <x v="29"/>
    <x v="2"/>
    <s v="Poor"/>
  </r>
  <r>
    <n v="266"/>
    <x v="265"/>
    <x v="3"/>
    <x v="5"/>
    <x v="3"/>
    <x v="10"/>
    <x v="21"/>
    <x v="59"/>
    <x v="95"/>
    <x v="55"/>
    <x v="10"/>
    <x v="35"/>
    <x v="0"/>
    <s v="Poor"/>
  </r>
  <r>
    <n v="267"/>
    <x v="266"/>
    <x v="1"/>
    <x v="8"/>
    <x v="6"/>
    <x v="12"/>
    <x v="20"/>
    <x v="26"/>
    <x v="10"/>
    <x v="71"/>
    <x v="36"/>
    <x v="30"/>
    <x v="0"/>
    <s v="Poor"/>
  </r>
  <r>
    <n v="268"/>
    <x v="267"/>
    <x v="3"/>
    <x v="4"/>
    <x v="3"/>
    <x v="15"/>
    <x v="8"/>
    <x v="113"/>
    <x v="48"/>
    <x v="41"/>
    <x v="16"/>
    <x v="17"/>
    <x v="2"/>
    <s v="Excellent"/>
  </r>
  <r>
    <n v="269"/>
    <x v="268"/>
    <x v="1"/>
    <x v="2"/>
    <x v="3"/>
    <x v="7"/>
    <x v="29"/>
    <x v="5"/>
    <x v="9"/>
    <x v="9"/>
    <x v="15"/>
    <x v="33"/>
    <x v="0"/>
    <s v="Good"/>
  </r>
  <r>
    <n v="270"/>
    <x v="269"/>
    <x v="0"/>
    <x v="3"/>
    <x v="4"/>
    <x v="19"/>
    <x v="14"/>
    <x v="19"/>
    <x v="22"/>
    <x v="43"/>
    <x v="16"/>
    <x v="7"/>
    <x v="2"/>
    <s v="Poor"/>
  </r>
  <r>
    <n v="271"/>
    <x v="270"/>
    <x v="0"/>
    <x v="3"/>
    <x v="2"/>
    <x v="9"/>
    <x v="36"/>
    <x v="131"/>
    <x v="96"/>
    <x v="72"/>
    <x v="41"/>
    <x v="18"/>
    <x v="0"/>
    <s v="Average"/>
  </r>
  <r>
    <n v="272"/>
    <x v="271"/>
    <x v="0"/>
    <x v="8"/>
    <x v="0"/>
    <x v="0"/>
    <x v="4"/>
    <x v="132"/>
    <x v="35"/>
    <x v="29"/>
    <x v="16"/>
    <x v="35"/>
    <x v="2"/>
    <s v="Good"/>
  </r>
  <r>
    <n v="273"/>
    <x v="272"/>
    <x v="6"/>
    <x v="0"/>
    <x v="0"/>
    <x v="7"/>
    <x v="8"/>
    <x v="95"/>
    <x v="97"/>
    <x v="41"/>
    <x v="19"/>
    <x v="18"/>
    <x v="2"/>
    <s v="Excellent"/>
  </r>
  <r>
    <n v="274"/>
    <x v="273"/>
    <x v="5"/>
    <x v="9"/>
    <x v="2"/>
    <x v="25"/>
    <x v="41"/>
    <x v="61"/>
    <x v="2"/>
    <x v="12"/>
    <x v="3"/>
    <x v="17"/>
    <x v="2"/>
    <s v="Poor"/>
  </r>
  <r>
    <n v="275"/>
    <x v="274"/>
    <x v="4"/>
    <x v="9"/>
    <x v="9"/>
    <x v="19"/>
    <x v="19"/>
    <x v="133"/>
    <x v="82"/>
    <x v="73"/>
    <x v="34"/>
    <x v="49"/>
    <x v="3"/>
    <s v="Poor"/>
  </r>
  <r>
    <n v="276"/>
    <x v="275"/>
    <x v="2"/>
    <x v="0"/>
    <x v="8"/>
    <x v="12"/>
    <x v="30"/>
    <x v="134"/>
    <x v="6"/>
    <x v="17"/>
    <x v="30"/>
    <x v="25"/>
    <x v="0"/>
    <s v="Average"/>
  </r>
  <r>
    <n v="277"/>
    <x v="276"/>
    <x v="6"/>
    <x v="0"/>
    <x v="1"/>
    <x v="5"/>
    <x v="14"/>
    <x v="24"/>
    <x v="21"/>
    <x v="12"/>
    <x v="16"/>
    <x v="7"/>
    <x v="2"/>
    <s v="Poor"/>
  </r>
  <r>
    <n v="278"/>
    <x v="277"/>
    <x v="1"/>
    <x v="1"/>
    <x v="7"/>
    <x v="3"/>
    <x v="25"/>
    <x v="55"/>
    <x v="2"/>
    <x v="2"/>
    <x v="17"/>
    <x v="7"/>
    <x v="2"/>
    <s v="Average"/>
  </r>
  <r>
    <n v="279"/>
    <x v="278"/>
    <x v="3"/>
    <x v="0"/>
    <x v="9"/>
    <x v="15"/>
    <x v="39"/>
    <x v="82"/>
    <x v="50"/>
    <x v="19"/>
    <x v="2"/>
    <x v="17"/>
    <x v="2"/>
    <s v="Poor"/>
  </r>
  <r>
    <n v="280"/>
    <x v="279"/>
    <x v="5"/>
    <x v="3"/>
    <x v="3"/>
    <x v="26"/>
    <x v="25"/>
    <x v="11"/>
    <x v="98"/>
    <x v="60"/>
    <x v="9"/>
    <x v="35"/>
    <x v="0"/>
    <s v="Average"/>
  </r>
  <r>
    <n v="281"/>
    <x v="280"/>
    <x v="3"/>
    <x v="2"/>
    <x v="3"/>
    <x v="20"/>
    <x v="24"/>
    <x v="47"/>
    <x v="38"/>
    <x v="28"/>
    <x v="16"/>
    <x v="19"/>
    <x v="2"/>
    <s v="Poor"/>
  </r>
  <r>
    <n v="282"/>
    <x v="281"/>
    <x v="1"/>
    <x v="8"/>
    <x v="2"/>
    <x v="1"/>
    <x v="9"/>
    <x v="135"/>
    <x v="99"/>
    <x v="23"/>
    <x v="28"/>
    <x v="50"/>
    <x v="0"/>
    <s v="Excellent"/>
  </r>
  <r>
    <n v="283"/>
    <x v="282"/>
    <x v="0"/>
    <x v="1"/>
    <x v="4"/>
    <x v="14"/>
    <x v="30"/>
    <x v="40"/>
    <x v="25"/>
    <x v="2"/>
    <x v="2"/>
    <x v="29"/>
    <x v="2"/>
    <s v="Average"/>
  </r>
  <r>
    <n v="284"/>
    <x v="283"/>
    <x v="5"/>
    <x v="9"/>
    <x v="9"/>
    <x v="21"/>
    <x v="10"/>
    <x v="32"/>
    <x v="75"/>
    <x v="58"/>
    <x v="8"/>
    <x v="37"/>
    <x v="0"/>
    <s v="Good"/>
  </r>
  <r>
    <n v="285"/>
    <x v="284"/>
    <x v="4"/>
    <x v="8"/>
    <x v="4"/>
    <x v="9"/>
    <x v="36"/>
    <x v="86"/>
    <x v="38"/>
    <x v="21"/>
    <x v="19"/>
    <x v="36"/>
    <x v="2"/>
    <s v="Average"/>
  </r>
  <r>
    <n v="286"/>
    <x v="285"/>
    <x v="5"/>
    <x v="2"/>
    <x v="4"/>
    <x v="26"/>
    <x v="19"/>
    <x v="34"/>
    <x v="29"/>
    <x v="12"/>
    <x v="16"/>
    <x v="29"/>
    <x v="2"/>
    <s v="Poor"/>
  </r>
  <r>
    <n v="287"/>
    <x v="286"/>
    <x v="5"/>
    <x v="4"/>
    <x v="0"/>
    <x v="21"/>
    <x v="23"/>
    <x v="96"/>
    <x v="9"/>
    <x v="38"/>
    <x v="2"/>
    <x v="23"/>
    <x v="0"/>
    <s v="Poor"/>
  </r>
  <r>
    <n v="288"/>
    <x v="287"/>
    <x v="5"/>
    <x v="7"/>
    <x v="0"/>
    <x v="21"/>
    <x v="32"/>
    <x v="88"/>
    <x v="41"/>
    <x v="43"/>
    <x v="8"/>
    <x v="10"/>
    <x v="2"/>
    <s v="Average"/>
  </r>
  <r>
    <n v="289"/>
    <x v="288"/>
    <x v="6"/>
    <x v="4"/>
    <x v="9"/>
    <x v="8"/>
    <x v="21"/>
    <x v="61"/>
    <x v="43"/>
    <x v="12"/>
    <x v="17"/>
    <x v="18"/>
    <x v="2"/>
    <s v="Poor"/>
  </r>
  <r>
    <n v="290"/>
    <x v="289"/>
    <x v="1"/>
    <x v="2"/>
    <x v="2"/>
    <x v="6"/>
    <x v="9"/>
    <x v="131"/>
    <x v="6"/>
    <x v="74"/>
    <x v="25"/>
    <x v="50"/>
    <x v="0"/>
    <s v="Excellent"/>
  </r>
  <r>
    <n v="291"/>
    <x v="290"/>
    <x v="3"/>
    <x v="5"/>
    <x v="7"/>
    <x v="15"/>
    <x v="23"/>
    <x v="136"/>
    <x v="100"/>
    <x v="75"/>
    <x v="37"/>
    <x v="18"/>
    <x v="3"/>
    <s v="Poor"/>
  </r>
  <r>
    <n v="292"/>
    <x v="291"/>
    <x v="0"/>
    <x v="2"/>
    <x v="5"/>
    <x v="23"/>
    <x v="12"/>
    <x v="137"/>
    <x v="101"/>
    <x v="67"/>
    <x v="2"/>
    <x v="12"/>
    <x v="0"/>
    <s v="Good"/>
  </r>
  <r>
    <n v="293"/>
    <x v="292"/>
    <x v="4"/>
    <x v="9"/>
    <x v="8"/>
    <x v="0"/>
    <x v="40"/>
    <x v="42"/>
    <x v="47"/>
    <x v="21"/>
    <x v="19"/>
    <x v="29"/>
    <x v="2"/>
    <s v="Good"/>
  </r>
  <r>
    <n v="294"/>
    <x v="293"/>
    <x v="5"/>
    <x v="2"/>
    <x v="4"/>
    <x v="16"/>
    <x v="40"/>
    <x v="42"/>
    <x v="47"/>
    <x v="28"/>
    <x v="19"/>
    <x v="17"/>
    <x v="2"/>
    <s v="Good"/>
  </r>
  <r>
    <n v="295"/>
    <x v="294"/>
    <x v="1"/>
    <x v="9"/>
    <x v="9"/>
    <x v="7"/>
    <x v="12"/>
    <x v="138"/>
    <x v="102"/>
    <x v="14"/>
    <x v="46"/>
    <x v="25"/>
    <x v="0"/>
    <s v="Good"/>
  </r>
  <r>
    <n v="296"/>
    <x v="295"/>
    <x v="0"/>
    <x v="1"/>
    <x v="4"/>
    <x v="14"/>
    <x v="13"/>
    <x v="73"/>
    <x v="103"/>
    <x v="76"/>
    <x v="47"/>
    <x v="51"/>
    <x v="3"/>
    <s v="Good"/>
  </r>
  <r>
    <n v="297"/>
    <x v="296"/>
    <x v="4"/>
    <x v="1"/>
    <x v="4"/>
    <x v="23"/>
    <x v="28"/>
    <x v="46"/>
    <x v="38"/>
    <x v="28"/>
    <x v="16"/>
    <x v="29"/>
    <x v="2"/>
    <s v="Excellent"/>
  </r>
  <r>
    <n v="298"/>
    <x v="297"/>
    <x v="2"/>
    <x v="1"/>
    <x v="1"/>
    <x v="29"/>
    <x v="18"/>
    <x v="36"/>
    <x v="22"/>
    <x v="35"/>
    <x v="8"/>
    <x v="10"/>
    <x v="2"/>
    <s v="Poor"/>
  </r>
  <r>
    <n v="299"/>
    <x v="298"/>
    <x v="5"/>
    <x v="5"/>
    <x v="6"/>
    <x v="25"/>
    <x v="39"/>
    <x v="34"/>
    <x v="29"/>
    <x v="28"/>
    <x v="3"/>
    <x v="17"/>
    <x v="2"/>
    <s v="Poor"/>
  </r>
  <r>
    <n v="300"/>
    <x v="299"/>
    <x v="2"/>
    <x v="2"/>
    <x v="1"/>
    <x v="30"/>
    <x v="13"/>
    <x v="98"/>
    <x v="104"/>
    <x v="63"/>
    <x v="9"/>
    <x v="2"/>
    <x v="0"/>
    <s v="Good"/>
  </r>
  <r>
    <n v="301"/>
    <x v="300"/>
    <x v="3"/>
    <x v="6"/>
    <x v="5"/>
    <x v="14"/>
    <x v="31"/>
    <x v="139"/>
    <x v="7"/>
    <x v="42"/>
    <x v="9"/>
    <x v="6"/>
    <x v="0"/>
    <s v="Average"/>
  </r>
  <r>
    <n v="302"/>
    <x v="301"/>
    <x v="4"/>
    <x v="8"/>
    <x v="1"/>
    <x v="22"/>
    <x v="34"/>
    <x v="35"/>
    <x v="0"/>
    <x v="55"/>
    <x v="21"/>
    <x v="26"/>
    <x v="0"/>
    <s v="Poor"/>
  </r>
  <r>
    <n v="303"/>
    <x v="302"/>
    <x v="0"/>
    <x v="4"/>
    <x v="2"/>
    <x v="22"/>
    <x v="22"/>
    <x v="82"/>
    <x v="22"/>
    <x v="19"/>
    <x v="17"/>
    <x v="22"/>
    <x v="2"/>
    <s v="Average"/>
  </r>
  <r>
    <n v="304"/>
    <x v="303"/>
    <x v="5"/>
    <x v="1"/>
    <x v="8"/>
    <x v="16"/>
    <x v="37"/>
    <x v="55"/>
    <x v="2"/>
    <x v="43"/>
    <x v="17"/>
    <x v="22"/>
    <x v="2"/>
    <s v="Average"/>
  </r>
  <r>
    <n v="305"/>
    <x v="304"/>
    <x v="6"/>
    <x v="6"/>
    <x v="4"/>
    <x v="7"/>
    <x v="17"/>
    <x v="88"/>
    <x v="69"/>
    <x v="9"/>
    <x v="8"/>
    <x v="36"/>
    <x v="2"/>
    <s v="Good"/>
  </r>
  <r>
    <n v="306"/>
    <x v="305"/>
    <x v="0"/>
    <x v="4"/>
    <x v="2"/>
    <x v="22"/>
    <x v="8"/>
    <x v="140"/>
    <x v="79"/>
    <x v="77"/>
    <x v="35"/>
    <x v="41"/>
    <x v="0"/>
    <s v="Excellent"/>
  </r>
  <r>
    <n v="307"/>
    <x v="306"/>
    <x v="2"/>
    <x v="7"/>
    <x v="3"/>
    <x v="27"/>
    <x v="42"/>
    <x v="20"/>
    <x v="50"/>
    <x v="43"/>
    <x v="8"/>
    <x v="3"/>
    <x v="2"/>
    <s v="Poor"/>
  </r>
  <r>
    <n v="308"/>
    <x v="307"/>
    <x v="6"/>
    <x v="1"/>
    <x v="5"/>
    <x v="0"/>
    <x v="27"/>
    <x v="103"/>
    <x v="72"/>
    <x v="35"/>
    <x v="2"/>
    <x v="7"/>
    <x v="0"/>
    <s v="Poor"/>
  </r>
  <r>
    <n v="309"/>
    <x v="308"/>
    <x v="0"/>
    <x v="2"/>
    <x v="0"/>
    <x v="0"/>
    <x v="8"/>
    <x v="141"/>
    <x v="60"/>
    <x v="57"/>
    <x v="39"/>
    <x v="42"/>
    <x v="0"/>
    <s v="Excellent"/>
  </r>
  <r>
    <n v="310"/>
    <x v="309"/>
    <x v="5"/>
    <x v="3"/>
    <x v="6"/>
    <x v="25"/>
    <x v="9"/>
    <x v="64"/>
    <x v="25"/>
    <x v="2"/>
    <x v="2"/>
    <x v="19"/>
    <x v="2"/>
    <s v="Excellent"/>
  </r>
  <r>
    <n v="311"/>
    <x v="310"/>
    <x v="2"/>
    <x v="3"/>
    <x v="0"/>
    <x v="29"/>
    <x v="1"/>
    <x v="142"/>
    <x v="42"/>
    <x v="0"/>
    <x v="3"/>
    <x v="0"/>
    <x v="0"/>
    <s v="Excellent"/>
  </r>
  <r>
    <n v="312"/>
    <x v="311"/>
    <x v="2"/>
    <x v="1"/>
    <x v="1"/>
    <x v="12"/>
    <x v="19"/>
    <x v="143"/>
    <x v="68"/>
    <x v="34"/>
    <x v="5"/>
    <x v="52"/>
    <x v="0"/>
    <s v="Poor"/>
  </r>
  <r>
    <n v="313"/>
    <x v="312"/>
    <x v="2"/>
    <x v="6"/>
    <x v="7"/>
    <x v="13"/>
    <x v="15"/>
    <x v="144"/>
    <x v="105"/>
    <x v="78"/>
    <x v="28"/>
    <x v="34"/>
    <x v="3"/>
    <s v="Average"/>
  </r>
  <r>
    <n v="314"/>
    <x v="313"/>
    <x v="4"/>
    <x v="1"/>
    <x v="0"/>
    <x v="14"/>
    <x v="42"/>
    <x v="43"/>
    <x v="8"/>
    <x v="19"/>
    <x v="15"/>
    <x v="19"/>
    <x v="2"/>
    <s v="Poor"/>
  </r>
  <r>
    <n v="315"/>
    <x v="314"/>
    <x v="2"/>
    <x v="3"/>
    <x v="5"/>
    <x v="13"/>
    <x v="31"/>
    <x v="31"/>
    <x v="78"/>
    <x v="54"/>
    <x v="47"/>
    <x v="40"/>
    <x v="0"/>
    <s v="Average"/>
  </r>
  <r>
    <n v="316"/>
    <x v="315"/>
    <x v="4"/>
    <x v="0"/>
    <x v="1"/>
    <x v="20"/>
    <x v="7"/>
    <x v="82"/>
    <x v="35"/>
    <x v="2"/>
    <x v="2"/>
    <x v="10"/>
    <x v="2"/>
    <s v="Good"/>
  </r>
  <r>
    <n v="317"/>
    <x v="316"/>
    <x v="4"/>
    <x v="6"/>
    <x v="2"/>
    <x v="4"/>
    <x v="32"/>
    <x v="145"/>
    <x v="23"/>
    <x v="39"/>
    <x v="10"/>
    <x v="3"/>
    <x v="0"/>
    <s v="Average"/>
  </r>
  <r>
    <n v="318"/>
    <x v="317"/>
    <x v="2"/>
    <x v="6"/>
    <x v="5"/>
    <x v="3"/>
    <x v="19"/>
    <x v="109"/>
    <x v="51"/>
    <x v="79"/>
    <x v="27"/>
    <x v="10"/>
    <x v="0"/>
    <s v="Poor"/>
  </r>
  <r>
    <n v="319"/>
    <x v="318"/>
    <x v="1"/>
    <x v="3"/>
    <x v="1"/>
    <x v="6"/>
    <x v="43"/>
    <x v="81"/>
    <x v="63"/>
    <x v="34"/>
    <x v="9"/>
    <x v="53"/>
    <x v="0"/>
    <s v="Poor"/>
  </r>
  <r>
    <n v="320"/>
    <x v="319"/>
    <x v="5"/>
    <x v="7"/>
    <x v="7"/>
    <x v="16"/>
    <x v="18"/>
    <x v="92"/>
    <x v="80"/>
    <x v="9"/>
    <x v="0"/>
    <x v="5"/>
    <x v="0"/>
    <s v="Poor"/>
  </r>
  <r>
    <n v="321"/>
    <x v="320"/>
    <x v="0"/>
    <x v="7"/>
    <x v="1"/>
    <x v="22"/>
    <x v="39"/>
    <x v="146"/>
    <x v="106"/>
    <x v="23"/>
    <x v="9"/>
    <x v="37"/>
    <x v="0"/>
    <s v="Poor"/>
  </r>
  <r>
    <n v="322"/>
    <x v="321"/>
    <x v="6"/>
    <x v="0"/>
    <x v="7"/>
    <x v="23"/>
    <x v="25"/>
    <x v="72"/>
    <x v="48"/>
    <x v="41"/>
    <x v="19"/>
    <x v="17"/>
    <x v="2"/>
    <s v="Average"/>
  </r>
  <r>
    <n v="323"/>
    <x v="322"/>
    <x v="1"/>
    <x v="6"/>
    <x v="2"/>
    <x v="3"/>
    <x v="28"/>
    <x v="147"/>
    <x v="6"/>
    <x v="17"/>
    <x v="40"/>
    <x v="26"/>
    <x v="0"/>
    <s v="Excellent"/>
  </r>
  <r>
    <n v="324"/>
    <x v="323"/>
    <x v="6"/>
    <x v="2"/>
    <x v="2"/>
    <x v="0"/>
    <x v="9"/>
    <x v="36"/>
    <x v="18"/>
    <x v="43"/>
    <x v="16"/>
    <x v="35"/>
    <x v="2"/>
    <s v="Excellent"/>
  </r>
  <r>
    <n v="325"/>
    <x v="324"/>
    <x v="4"/>
    <x v="7"/>
    <x v="0"/>
    <x v="14"/>
    <x v="7"/>
    <x v="47"/>
    <x v="38"/>
    <x v="12"/>
    <x v="3"/>
    <x v="17"/>
    <x v="2"/>
    <s v="Good"/>
  </r>
  <r>
    <n v="326"/>
    <x v="325"/>
    <x v="6"/>
    <x v="1"/>
    <x v="8"/>
    <x v="11"/>
    <x v="20"/>
    <x v="91"/>
    <x v="29"/>
    <x v="12"/>
    <x v="3"/>
    <x v="17"/>
    <x v="2"/>
    <s v="Poor"/>
  </r>
  <r>
    <n v="327"/>
    <x v="326"/>
    <x v="3"/>
    <x v="8"/>
    <x v="9"/>
    <x v="14"/>
    <x v="28"/>
    <x v="148"/>
    <x v="13"/>
    <x v="80"/>
    <x v="39"/>
    <x v="54"/>
    <x v="3"/>
    <s v="Excellent"/>
  </r>
  <r>
    <n v="328"/>
    <x v="327"/>
    <x v="6"/>
    <x v="1"/>
    <x v="6"/>
    <x v="1"/>
    <x v="21"/>
    <x v="64"/>
    <x v="25"/>
    <x v="43"/>
    <x v="16"/>
    <x v="19"/>
    <x v="2"/>
    <s v="Poor"/>
  </r>
  <r>
    <n v="329"/>
    <x v="328"/>
    <x v="1"/>
    <x v="2"/>
    <x v="0"/>
    <x v="3"/>
    <x v="35"/>
    <x v="66"/>
    <x v="38"/>
    <x v="12"/>
    <x v="17"/>
    <x v="19"/>
    <x v="2"/>
    <s v="Poor"/>
  </r>
  <r>
    <n v="330"/>
    <x v="329"/>
    <x v="6"/>
    <x v="8"/>
    <x v="8"/>
    <x v="7"/>
    <x v="30"/>
    <x v="48"/>
    <x v="29"/>
    <x v="12"/>
    <x v="3"/>
    <x v="10"/>
    <x v="2"/>
    <s v="Average"/>
  </r>
  <r>
    <n v="331"/>
    <x v="330"/>
    <x v="2"/>
    <x v="7"/>
    <x v="3"/>
    <x v="13"/>
    <x v="20"/>
    <x v="128"/>
    <x v="77"/>
    <x v="26"/>
    <x v="44"/>
    <x v="2"/>
    <x v="0"/>
    <s v="Poor"/>
  </r>
  <r>
    <n v="332"/>
    <x v="331"/>
    <x v="0"/>
    <x v="2"/>
    <x v="1"/>
    <x v="23"/>
    <x v="34"/>
    <x v="149"/>
    <x v="5"/>
    <x v="81"/>
    <x v="47"/>
    <x v="55"/>
    <x v="3"/>
    <s v="Poor"/>
  </r>
  <r>
    <n v="333"/>
    <x v="332"/>
    <x v="5"/>
    <x v="5"/>
    <x v="0"/>
    <x v="26"/>
    <x v="20"/>
    <x v="150"/>
    <x v="61"/>
    <x v="63"/>
    <x v="9"/>
    <x v="11"/>
    <x v="0"/>
    <s v="Poor"/>
  </r>
  <r>
    <n v="334"/>
    <x v="333"/>
    <x v="2"/>
    <x v="3"/>
    <x v="0"/>
    <x v="13"/>
    <x v="21"/>
    <x v="35"/>
    <x v="74"/>
    <x v="34"/>
    <x v="34"/>
    <x v="17"/>
    <x v="0"/>
    <s v="Poor"/>
  </r>
  <r>
    <n v="335"/>
    <x v="334"/>
    <x v="3"/>
    <x v="9"/>
    <x v="7"/>
    <x v="20"/>
    <x v="31"/>
    <x v="128"/>
    <x v="77"/>
    <x v="82"/>
    <x v="34"/>
    <x v="9"/>
    <x v="0"/>
    <s v="Average"/>
  </r>
  <r>
    <n v="336"/>
    <x v="335"/>
    <x v="2"/>
    <x v="5"/>
    <x v="4"/>
    <x v="27"/>
    <x v="37"/>
    <x v="151"/>
    <x v="14"/>
    <x v="3"/>
    <x v="10"/>
    <x v="7"/>
    <x v="0"/>
    <s v="Average"/>
  </r>
  <r>
    <n v="337"/>
    <x v="336"/>
    <x v="0"/>
    <x v="8"/>
    <x v="6"/>
    <x v="23"/>
    <x v="1"/>
    <x v="152"/>
    <x v="82"/>
    <x v="40"/>
    <x v="18"/>
    <x v="12"/>
    <x v="0"/>
    <s v="Excellent"/>
  </r>
  <r>
    <n v="338"/>
    <x v="337"/>
    <x v="3"/>
    <x v="8"/>
    <x v="3"/>
    <x v="4"/>
    <x v="16"/>
    <x v="142"/>
    <x v="0"/>
    <x v="33"/>
    <x v="35"/>
    <x v="10"/>
    <x v="0"/>
    <s v="Excellent"/>
  </r>
  <r>
    <n v="339"/>
    <x v="338"/>
    <x v="6"/>
    <x v="6"/>
    <x v="2"/>
    <x v="8"/>
    <x v="20"/>
    <x v="36"/>
    <x v="4"/>
    <x v="19"/>
    <x v="17"/>
    <x v="7"/>
    <x v="2"/>
    <s v="Poor"/>
  </r>
  <r>
    <n v="340"/>
    <x v="339"/>
    <x v="0"/>
    <x v="0"/>
    <x v="4"/>
    <x v="18"/>
    <x v="39"/>
    <x v="132"/>
    <x v="8"/>
    <x v="29"/>
    <x v="2"/>
    <x v="22"/>
    <x v="2"/>
    <s v="Poor"/>
  </r>
  <r>
    <n v="341"/>
    <x v="340"/>
    <x v="3"/>
    <x v="8"/>
    <x v="2"/>
    <x v="20"/>
    <x v="37"/>
    <x v="153"/>
    <x v="23"/>
    <x v="22"/>
    <x v="21"/>
    <x v="23"/>
    <x v="0"/>
    <s v="Average"/>
  </r>
  <r>
    <n v="342"/>
    <x v="341"/>
    <x v="4"/>
    <x v="8"/>
    <x v="1"/>
    <x v="19"/>
    <x v="19"/>
    <x v="49"/>
    <x v="89"/>
    <x v="23"/>
    <x v="14"/>
    <x v="18"/>
    <x v="0"/>
    <s v="Poor"/>
  </r>
  <r>
    <n v="343"/>
    <x v="342"/>
    <x v="4"/>
    <x v="1"/>
    <x v="9"/>
    <x v="11"/>
    <x v="19"/>
    <x v="105"/>
    <x v="50"/>
    <x v="24"/>
    <x v="3"/>
    <x v="10"/>
    <x v="2"/>
    <s v="Poor"/>
  </r>
  <r>
    <n v="344"/>
    <x v="343"/>
    <x v="2"/>
    <x v="4"/>
    <x v="1"/>
    <x v="3"/>
    <x v="16"/>
    <x v="123"/>
    <x v="9"/>
    <x v="43"/>
    <x v="15"/>
    <x v="7"/>
    <x v="2"/>
    <s v="Excellent"/>
  </r>
  <r>
    <n v="345"/>
    <x v="344"/>
    <x v="3"/>
    <x v="3"/>
    <x v="3"/>
    <x v="10"/>
    <x v="2"/>
    <x v="101"/>
    <x v="73"/>
    <x v="37"/>
    <x v="0"/>
    <x v="30"/>
    <x v="0"/>
    <s v="Excellent"/>
  </r>
  <r>
    <n v="346"/>
    <x v="345"/>
    <x v="6"/>
    <x v="8"/>
    <x v="6"/>
    <x v="5"/>
    <x v="18"/>
    <x v="119"/>
    <x v="41"/>
    <x v="35"/>
    <x v="2"/>
    <x v="5"/>
    <x v="2"/>
    <s v="Poor"/>
  </r>
  <r>
    <n v="347"/>
    <x v="346"/>
    <x v="3"/>
    <x v="1"/>
    <x v="3"/>
    <x v="20"/>
    <x v="43"/>
    <x v="154"/>
    <x v="75"/>
    <x v="5"/>
    <x v="17"/>
    <x v="2"/>
    <x v="0"/>
    <s v="Poor"/>
  </r>
  <r>
    <n v="348"/>
    <x v="347"/>
    <x v="0"/>
    <x v="5"/>
    <x v="9"/>
    <x v="0"/>
    <x v="39"/>
    <x v="155"/>
    <x v="101"/>
    <x v="39"/>
    <x v="35"/>
    <x v="17"/>
    <x v="0"/>
    <s v="Poor"/>
  </r>
  <r>
    <n v="349"/>
    <x v="348"/>
    <x v="2"/>
    <x v="6"/>
    <x v="1"/>
    <x v="27"/>
    <x v="4"/>
    <x v="135"/>
    <x v="68"/>
    <x v="72"/>
    <x v="25"/>
    <x v="50"/>
    <x v="0"/>
    <s v="Good"/>
  </r>
  <r>
    <n v="350"/>
    <x v="349"/>
    <x v="2"/>
    <x v="2"/>
    <x v="7"/>
    <x v="3"/>
    <x v="24"/>
    <x v="156"/>
    <x v="7"/>
    <x v="10"/>
    <x v="34"/>
    <x v="23"/>
    <x v="0"/>
    <s v="Poor"/>
  </r>
  <r>
    <n v="351"/>
    <x v="350"/>
    <x v="6"/>
    <x v="5"/>
    <x v="8"/>
    <x v="9"/>
    <x v="38"/>
    <x v="97"/>
    <x v="20"/>
    <x v="41"/>
    <x v="19"/>
    <x v="36"/>
    <x v="2"/>
    <s v="Excellent"/>
  </r>
  <r>
    <n v="352"/>
    <x v="351"/>
    <x v="6"/>
    <x v="8"/>
    <x v="5"/>
    <x v="7"/>
    <x v="22"/>
    <x v="66"/>
    <x v="21"/>
    <x v="12"/>
    <x v="16"/>
    <x v="19"/>
    <x v="2"/>
    <s v="Average"/>
  </r>
  <r>
    <n v="353"/>
    <x v="352"/>
    <x v="5"/>
    <x v="0"/>
    <x v="9"/>
    <x v="16"/>
    <x v="39"/>
    <x v="157"/>
    <x v="75"/>
    <x v="29"/>
    <x v="35"/>
    <x v="22"/>
    <x v="0"/>
    <s v="Poor"/>
  </r>
  <r>
    <n v="354"/>
    <x v="353"/>
    <x v="0"/>
    <x v="6"/>
    <x v="0"/>
    <x v="17"/>
    <x v="0"/>
    <x v="97"/>
    <x v="24"/>
    <x v="28"/>
    <x v="19"/>
    <x v="18"/>
    <x v="2"/>
    <s v="Excellent"/>
  </r>
  <r>
    <n v="355"/>
    <x v="354"/>
    <x v="4"/>
    <x v="6"/>
    <x v="3"/>
    <x v="14"/>
    <x v="16"/>
    <x v="96"/>
    <x v="42"/>
    <x v="29"/>
    <x v="2"/>
    <x v="11"/>
    <x v="0"/>
    <s v="Excellent"/>
  </r>
  <r>
    <n v="356"/>
    <x v="355"/>
    <x v="4"/>
    <x v="5"/>
    <x v="2"/>
    <x v="19"/>
    <x v="42"/>
    <x v="116"/>
    <x v="20"/>
    <x v="20"/>
    <x v="16"/>
    <x v="36"/>
    <x v="2"/>
    <s v="Poor"/>
  </r>
  <r>
    <n v="357"/>
    <x v="356"/>
    <x v="2"/>
    <x v="0"/>
    <x v="8"/>
    <x v="29"/>
    <x v="18"/>
    <x v="158"/>
    <x v="8"/>
    <x v="33"/>
    <x v="15"/>
    <x v="33"/>
    <x v="0"/>
    <s v="Poor"/>
  </r>
  <r>
    <n v="358"/>
    <x v="357"/>
    <x v="0"/>
    <x v="3"/>
    <x v="6"/>
    <x v="23"/>
    <x v="1"/>
    <x v="40"/>
    <x v="43"/>
    <x v="12"/>
    <x v="17"/>
    <x v="22"/>
    <x v="2"/>
    <s v="Excellent"/>
  </r>
  <r>
    <n v="359"/>
    <x v="358"/>
    <x v="4"/>
    <x v="3"/>
    <x v="9"/>
    <x v="0"/>
    <x v="33"/>
    <x v="23"/>
    <x v="24"/>
    <x v="28"/>
    <x v="19"/>
    <x v="29"/>
    <x v="2"/>
    <s v="Average"/>
  </r>
  <r>
    <n v="360"/>
    <x v="359"/>
    <x v="0"/>
    <x v="1"/>
    <x v="0"/>
    <x v="18"/>
    <x v="25"/>
    <x v="159"/>
    <x v="73"/>
    <x v="26"/>
    <x v="5"/>
    <x v="56"/>
    <x v="0"/>
    <s v="Average"/>
  </r>
  <r>
    <n v="361"/>
    <x v="360"/>
    <x v="0"/>
    <x v="8"/>
    <x v="6"/>
    <x v="18"/>
    <x v="18"/>
    <x v="56"/>
    <x v="51"/>
    <x v="62"/>
    <x v="34"/>
    <x v="42"/>
    <x v="0"/>
    <s v="Poor"/>
  </r>
  <r>
    <n v="362"/>
    <x v="361"/>
    <x v="5"/>
    <x v="6"/>
    <x v="8"/>
    <x v="16"/>
    <x v="28"/>
    <x v="160"/>
    <x v="75"/>
    <x v="63"/>
    <x v="25"/>
    <x v="3"/>
    <x v="0"/>
    <s v="Excellent"/>
  </r>
  <r>
    <n v="363"/>
    <x v="362"/>
    <x v="0"/>
    <x v="7"/>
    <x v="8"/>
    <x v="18"/>
    <x v="12"/>
    <x v="156"/>
    <x v="56"/>
    <x v="42"/>
    <x v="25"/>
    <x v="30"/>
    <x v="0"/>
    <s v="Good"/>
  </r>
  <r>
    <n v="364"/>
    <x v="363"/>
    <x v="6"/>
    <x v="7"/>
    <x v="3"/>
    <x v="0"/>
    <x v="13"/>
    <x v="86"/>
    <x v="47"/>
    <x v="21"/>
    <x v="16"/>
    <x v="36"/>
    <x v="2"/>
    <s v="Good"/>
  </r>
  <r>
    <n v="365"/>
    <x v="364"/>
    <x v="6"/>
    <x v="4"/>
    <x v="0"/>
    <x v="5"/>
    <x v="39"/>
    <x v="98"/>
    <x v="55"/>
    <x v="22"/>
    <x v="21"/>
    <x v="10"/>
    <x v="0"/>
    <s v="Poor"/>
  </r>
  <r>
    <n v="366"/>
    <x v="365"/>
    <x v="6"/>
    <x v="9"/>
    <x v="8"/>
    <x v="7"/>
    <x v="31"/>
    <x v="20"/>
    <x v="4"/>
    <x v="9"/>
    <x v="2"/>
    <x v="36"/>
    <x v="2"/>
    <s v="Average"/>
  </r>
  <r>
    <n v="367"/>
    <x v="366"/>
    <x v="1"/>
    <x v="8"/>
    <x v="2"/>
    <x v="5"/>
    <x v="13"/>
    <x v="120"/>
    <x v="45"/>
    <x v="0"/>
    <x v="2"/>
    <x v="9"/>
    <x v="0"/>
    <s v="Good"/>
  </r>
  <r>
    <n v="368"/>
    <x v="367"/>
    <x v="3"/>
    <x v="9"/>
    <x v="5"/>
    <x v="24"/>
    <x v="30"/>
    <x v="161"/>
    <x v="44"/>
    <x v="39"/>
    <x v="9"/>
    <x v="15"/>
    <x v="0"/>
    <s v="Average"/>
  </r>
  <r>
    <n v="369"/>
    <x v="368"/>
    <x v="6"/>
    <x v="0"/>
    <x v="6"/>
    <x v="6"/>
    <x v="9"/>
    <x v="162"/>
    <x v="50"/>
    <x v="29"/>
    <x v="3"/>
    <x v="22"/>
    <x v="2"/>
    <s v="Excellent"/>
  </r>
  <r>
    <n v="370"/>
    <x v="369"/>
    <x v="3"/>
    <x v="3"/>
    <x v="8"/>
    <x v="24"/>
    <x v="9"/>
    <x v="163"/>
    <x v="107"/>
    <x v="83"/>
    <x v="48"/>
    <x v="18"/>
    <x v="3"/>
    <s v="Excellent"/>
  </r>
  <r>
    <n v="371"/>
    <x v="370"/>
    <x v="3"/>
    <x v="9"/>
    <x v="0"/>
    <x v="28"/>
    <x v="27"/>
    <x v="68"/>
    <x v="81"/>
    <x v="16"/>
    <x v="7"/>
    <x v="40"/>
    <x v="3"/>
    <s v="Poor"/>
  </r>
  <r>
    <n v="372"/>
    <x v="371"/>
    <x v="4"/>
    <x v="6"/>
    <x v="7"/>
    <x v="9"/>
    <x v="3"/>
    <x v="157"/>
    <x v="80"/>
    <x v="29"/>
    <x v="2"/>
    <x v="12"/>
    <x v="0"/>
    <s v="Excellent"/>
  </r>
  <r>
    <n v="373"/>
    <x v="372"/>
    <x v="6"/>
    <x v="4"/>
    <x v="7"/>
    <x v="8"/>
    <x v="41"/>
    <x v="22"/>
    <x v="21"/>
    <x v="19"/>
    <x v="3"/>
    <x v="19"/>
    <x v="2"/>
    <s v="Poor"/>
  </r>
  <r>
    <n v="374"/>
    <x v="373"/>
    <x v="5"/>
    <x v="7"/>
    <x v="7"/>
    <x v="31"/>
    <x v="24"/>
    <x v="28"/>
    <x v="61"/>
    <x v="9"/>
    <x v="9"/>
    <x v="0"/>
    <x v="0"/>
    <s v="Poor"/>
  </r>
  <r>
    <n v="375"/>
    <x v="374"/>
    <x v="3"/>
    <x v="7"/>
    <x v="2"/>
    <x v="14"/>
    <x v="9"/>
    <x v="10"/>
    <x v="45"/>
    <x v="38"/>
    <x v="10"/>
    <x v="22"/>
    <x v="0"/>
    <s v="Excellent"/>
  </r>
  <r>
    <n v="376"/>
    <x v="375"/>
    <x v="1"/>
    <x v="5"/>
    <x v="1"/>
    <x v="6"/>
    <x v="17"/>
    <x v="56"/>
    <x v="108"/>
    <x v="84"/>
    <x v="25"/>
    <x v="16"/>
    <x v="0"/>
    <s v="Good"/>
  </r>
  <r>
    <n v="377"/>
    <x v="376"/>
    <x v="4"/>
    <x v="6"/>
    <x v="4"/>
    <x v="0"/>
    <x v="9"/>
    <x v="77"/>
    <x v="36"/>
    <x v="18"/>
    <x v="17"/>
    <x v="36"/>
    <x v="2"/>
    <s v="Excellent"/>
  </r>
  <r>
    <n v="378"/>
    <x v="377"/>
    <x v="6"/>
    <x v="7"/>
    <x v="7"/>
    <x v="8"/>
    <x v="16"/>
    <x v="95"/>
    <x v="97"/>
    <x v="41"/>
    <x v="19"/>
    <x v="18"/>
    <x v="2"/>
    <s v="Excellent"/>
  </r>
  <r>
    <n v="379"/>
    <x v="378"/>
    <x v="3"/>
    <x v="2"/>
    <x v="6"/>
    <x v="14"/>
    <x v="20"/>
    <x v="82"/>
    <x v="25"/>
    <x v="19"/>
    <x v="2"/>
    <x v="19"/>
    <x v="2"/>
    <s v="Poor"/>
  </r>
  <r>
    <n v="380"/>
    <x v="379"/>
    <x v="4"/>
    <x v="3"/>
    <x v="2"/>
    <x v="4"/>
    <x v="14"/>
    <x v="20"/>
    <x v="50"/>
    <x v="43"/>
    <x v="2"/>
    <x v="35"/>
    <x v="2"/>
    <s v="Poor"/>
  </r>
  <r>
    <n v="381"/>
    <x v="380"/>
    <x v="2"/>
    <x v="4"/>
    <x v="2"/>
    <x v="3"/>
    <x v="37"/>
    <x v="131"/>
    <x v="17"/>
    <x v="79"/>
    <x v="44"/>
    <x v="18"/>
    <x v="0"/>
    <s v="Average"/>
  </r>
  <r>
    <n v="382"/>
    <x v="381"/>
    <x v="1"/>
    <x v="5"/>
    <x v="8"/>
    <x v="0"/>
    <x v="39"/>
    <x v="164"/>
    <x v="109"/>
    <x v="85"/>
    <x v="28"/>
    <x v="23"/>
    <x v="0"/>
    <s v="Poor"/>
  </r>
  <r>
    <n v="383"/>
    <x v="382"/>
    <x v="0"/>
    <x v="0"/>
    <x v="7"/>
    <x v="19"/>
    <x v="12"/>
    <x v="36"/>
    <x v="8"/>
    <x v="18"/>
    <x v="8"/>
    <x v="22"/>
    <x v="2"/>
    <s v="Good"/>
  </r>
  <r>
    <n v="384"/>
    <x v="383"/>
    <x v="5"/>
    <x v="8"/>
    <x v="4"/>
    <x v="31"/>
    <x v="25"/>
    <x v="97"/>
    <x v="57"/>
    <x v="28"/>
    <x v="19"/>
    <x v="17"/>
    <x v="2"/>
    <s v="Average"/>
  </r>
  <r>
    <n v="385"/>
    <x v="384"/>
    <x v="1"/>
    <x v="6"/>
    <x v="7"/>
    <x v="0"/>
    <x v="20"/>
    <x v="165"/>
    <x v="65"/>
    <x v="3"/>
    <x v="0"/>
    <x v="14"/>
    <x v="0"/>
    <s v="Poor"/>
  </r>
  <r>
    <n v="386"/>
    <x v="385"/>
    <x v="0"/>
    <x v="7"/>
    <x v="2"/>
    <x v="22"/>
    <x v="36"/>
    <x v="158"/>
    <x v="80"/>
    <x v="18"/>
    <x v="17"/>
    <x v="23"/>
    <x v="0"/>
    <s v="Average"/>
  </r>
  <r>
    <n v="387"/>
    <x v="386"/>
    <x v="5"/>
    <x v="5"/>
    <x v="6"/>
    <x v="26"/>
    <x v="25"/>
    <x v="107"/>
    <x v="69"/>
    <x v="43"/>
    <x v="3"/>
    <x v="7"/>
    <x v="2"/>
    <s v="Average"/>
  </r>
  <r>
    <n v="388"/>
    <x v="387"/>
    <x v="4"/>
    <x v="2"/>
    <x v="8"/>
    <x v="19"/>
    <x v="33"/>
    <x v="58"/>
    <x v="97"/>
    <x v="41"/>
    <x v="19"/>
    <x v="29"/>
    <x v="2"/>
    <s v="Average"/>
  </r>
  <r>
    <n v="389"/>
    <x v="388"/>
    <x v="3"/>
    <x v="5"/>
    <x v="6"/>
    <x v="28"/>
    <x v="43"/>
    <x v="166"/>
    <x v="110"/>
    <x v="37"/>
    <x v="9"/>
    <x v="8"/>
    <x v="0"/>
    <s v="Poor"/>
  </r>
  <r>
    <n v="390"/>
    <x v="389"/>
    <x v="4"/>
    <x v="9"/>
    <x v="1"/>
    <x v="23"/>
    <x v="6"/>
    <x v="77"/>
    <x v="8"/>
    <x v="29"/>
    <x v="2"/>
    <x v="18"/>
    <x v="2"/>
    <s v="Good"/>
  </r>
  <r>
    <n v="391"/>
    <x v="390"/>
    <x v="0"/>
    <x v="3"/>
    <x v="8"/>
    <x v="0"/>
    <x v="27"/>
    <x v="167"/>
    <x v="40"/>
    <x v="22"/>
    <x v="7"/>
    <x v="2"/>
    <x v="0"/>
    <s v="Poor"/>
  </r>
  <r>
    <n v="392"/>
    <x v="391"/>
    <x v="5"/>
    <x v="1"/>
    <x v="2"/>
    <x v="16"/>
    <x v="35"/>
    <x v="104"/>
    <x v="93"/>
    <x v="9"/>
    <x v="15"/>
    <x v="12"/>
    <x v="0"/>
    <s v="Poor"/>
  </r>
  <r>
    <n v="393"/>
    <x v="392"/>
    <x v="2"/>
    <x v="1"/>
    <x v="3"/>
    <x v="3"/>
    <x v="41"/>
    <x v="168"/>
    <x v="56"/>
    <x v="22"/>
    <x v="5"/>
    <x v="23"/>
    <x v="0"/>
    <s v="Poor"/>
  </r>
  <r>
    <n v="394"/>
    <x v="393"/>
    <x v="1"/>
    <x v="5"/>
    <x v="2"/>
    <x v="8"/>
    <x v="12"/>
    <x v="100"/>
    <x v="19"/>
    <x v="38"/>
    <x v="2"/>
    <x v="11"/>
    <x v="0"/>
    <s v="Good"/>
  </r>
  <r>
    <n v="395"/>
    <x v="394"/>
    <x v="5"/>
    <x v="6"/>
    <x v="6"/>
    <x v="10"/>
    <x v="31"/>
    <x v="16"/>
    <x v="14"/>
    <x v="10"/>
    <x v="15"/>
    <x v="32"/>
    <x v="0"/>
    <s v="Average"/>
  </r>
  <r>
    <n v="396"/>
    <x v="395"/>
    <x v="6"/>
    <x v="8"/>
    <x v="3"/>
    <x v="8"/>
    <x v="22"/>
    <x v="63"/>
    <x v="50"/>
    <x v="18"/>
    <x v="16"/>
    <x v="2"/>
    <x v="2"/>
    <s v="Average"/>
  </r>
  <r>
    <n v="397"/>
    <x v="396"/>
    <x v="6"/>
    <x v="7"/>
    <x v="5"/>
    <x v="7"/>
    <x v="22"/>
    <x v="34"/>
    <x v="21"/>
    <x v="28"/>
    <x v="19"/>
    <x v="36"/>
    <x v="2"/>
    <s v="Average"/>
  </r>
  <r>
    <n v="398"/>
    <x v="397"/>
    <x v="5"/>
    <x v="9"/>
    <x v="6"/>
    <x v="21"/>
    <x v="28"/>
    <x v="100"/>
    <x v="42"/>
    <x v="9"/>
    <x v="5"/>
    <x v="19"/>
    <x v="0"/>
    <s v="Excellent"/>
  </r>
  <r>
    <n v="399"/>
    <x v="398"/>
    <x v="1"/>
    <x v="2"/>
    <x v="2"/>
    <x v="3"/>
    <x v="29"/>
    <x v="137"/>
    <x v="74"/>
    <x v="54"/>
    <x v="35"/>
    <x v="26"/>
    <x v="0"/>
    <s v="Good"/>
  </r>
  <r>
    <n v="400"/>
    <x v="399"/>
    <x v="4"/>
    <x v="9"/>
    <x v="2"/>
    <x v="0"/>
    <x v="42"/>
    <x v="19"/>
    <x v="50"/>
    <x v="43"/>
    <x v="2"/>
    <x v="36"/>
    <x v="2"/>
    <s v="Poor"/>
  </r>
  <r>
    <n v="401"/>
    <x v="400"/>
    <x v="1"/>
    <x v="7"/>
    <x v="3"/>
    <x v="6"/>
    <x v="7"/>
    <x v="169"/>
    <x v="80"/>
    <x v="3"/>
    <x v="35"/>
    <x v="11"/>
    <x v="0"/>
    <s v="Good"/>
  </r>
  <r>
    <n v="402"/>
    <x v="401"/>
    <x v="4"/>
    <x v="5"/>
    <x v="7"/>
    <x v="20"/>
    <x v="20"/>
    <x v="158"/>
    <x v="69"/>
    <x v="33"/>
    <x v="3"/>
    <x v="33"/>
    <x v="0"/>
    <s v="Poor"/>
  </r>
  <r>
    <n v="403"/>
    <x v="402"/>
    <x v="0"/>
    <x v="2"/>
    <x v="2"/>
    <x v="18"/>
    <x v="36"/>
    <x v="170"/>
    <x v="55"/>
    <x v="37"/>
    <x v="9"/>
    <x v="20"/>
    <x v="0"/>
    <s v="Average"/>
  </r>
  <r>
    <n v="404"/>
    <x v="403"/>
    <x v="5"/>
    <x v="1"/>
    <x v="3"/>
    <x v="10"/>
    <x v="5"/>
    <x v="171"/>
    <x v="106"/>
    <x v="68"/>
    <x v="33"/>
    <x v="41"/>
    <x v="0"/>
    <s v="Good"/>
  </r>
  <r>
    <n v="405"/>
    <x v="404"/>
    <x v="2"/>
    <x v="7"/>
    <x v="9"/>
    <x v="13"/>
    <x v="2"/>
    <x v="102"/>
    <x v="40"/>
    <x v="8"/>
    <x v="26"/>
    <x v="11"/>
    <x v="0"/>
    <s v="Excellent"/>
  </r>
  <r>
    <n v="406"/>
    <x v="405"/>
    <x v="1"/>
    <x v="1"/>
    <x v="2"/>
    <x v="6"/>
    <x v="15"/>
    <x v="172"/>
    <x v="95"/>
    <x v="23"/>
    <x v="24"/>
    <x v="26"/>
    <x v="0"/>
    <s v="Average"/>
  </r>
  <r>
    <n v="407"/>
    <x v="406"/>
    <x v="1"/>
    <x v="6"/>
    <x v="1"/>
    <x v="3"/>
    <x v="3"/>
    <x v="96"/>
    <x v="42"/>
    <x v="38"/>
    <x v="17"/>
    <x v="35"/>
    <x v="0"/>
    <s v="Excellent"/>
  </r>
  <r>
    <n v="408"/>
    <x v="407"/>
    <x v="4"/>
    <x v="4"/>
    <x v="2"/>
    <x v="11"/>
    <x v="23"/>
    <x v="107"/>
    <x v="4"/>
    <x v="9"/>
    <x v="8"/>
    <x v="18"/>
    <x v="2"/>
    <s v="Poor"/>
  </r>
  <r>
    <n v="409"/>
    <x v="408"/>
    <x v="4"/>
    <x v="6"/>
    <x v="8"/>
    <x v="18"/>
    <x v="19"/>
    <x v="71"/>
    <x v="34"/>
    <x v="42"/>
    <x v="25"/>
    <x v="0"/>
    <x v="0"/>
    <s v="Poor"/>
  </r>
  <r>
    <n v="410"/>
    <x v="409"/>
    <x v="0"/>
    <x v="5"/>
    <x v="3"/>
    <x v="0"/>
    <x v="21"/>
    <x v="18"/>
    <x v="68"/>
    <x v="7"/>
    <x v="5"/>
    <x v="46"/>
    <x v="0"/>
    <s v="Poor"/>
  </r>
  <r>
    <n v="411"/>
    <x v="410"/>
    <x v="5"/>
    <x v="0"/>
    <x v="0"/>
    <x v="25"/>
    <x v="40"/>
    <x v="113"/>
    <x v="20"/>
    <x v="41"/>
    <x v="16"/>
    <x v="18"/>
    <x v="2"/>
    <s v="Good"/>
  </r>
  <r>
    <n v="412"/>
    <x v="411"/>
    <x v="0"/>
    <x v="3"/>
    <x v="1"/>
    <x v="17"/>
    <x v="18"/>
    <x v="3"/>
    <x v="39"/>
    <x v="38"/>
    <x v="8"/>
    <x v="2"/>
    <x v="0"/>
    <s v="Poor"/>
  </r>
  <r>
    <n v="413"/>
    <x v="412"/>
    <x v="5"/>
    <x v="5"/>
    <x v="2"/>
    <x v="31"/>
    <x v="39"/>
    <x v="173"/>
    <x v="48"/>
    <x v="41"/>
    <x v="19"/>
    <x v="29"/>
    <x v="2"/>
    <s v="Poor"/>
  </r>
  <r>
    <n v="414"/>
    <x v="413"/>
    <x v="1"/>
    <x v="1"/>
    <x v="7"/>
    <x v="6"/>
    <x v="17"/>
    <x v="40"/>
    <x v="2"/>
    <x v="2"/>
    <x v="16"/>
    <x v="10"/>
    <x v="2"/>
    <s v="Good"/>
  </r>
  <r>
    <n v="415"/>
    <x v="414"/>
    <x v="4"/>
    <x v="2"/>
    <x v="6"/>
    <x v="17"/>
    <x v="24"/>
    <x v="48"/>
    <x v="29"/>
    <x v="24"/>
    <x v="19"/>
    <x v="10"/>
    <x v="2"/>
    <s v="Poor"/>
  </r>
  <r>
    <n v="416"/>
    <x v="415"/>
    <x v="5"/>
    <x v="7"/>
    <x v="9"/>
    <x v="16"/>
    <x v="23"/>
    <x v="47"/>
    <x v="29"/>
    <x v="21"/>
    <x v="17"/>
    <x v="29"/>
    <x v="2"/>
    <s v="Poor"/>
  </r>
  <r>
    <n v="417"/>
    <x v="416"/>
    <x v="6"/>
    <x v="0"/>
    <x v="3"/>
    <x v="23"/>
    <x v="20"/>
    <x v="42"/>
    <x v="38"/>
    <x v="28"/>
    <x v="16"/>
    <x v="18"/>
    <x v="2"/>
    <s v="Poor"/>
  </r>
  <r>
    <n v="418"/>
    <x v="417"/>
    <x v="6"/>
    <x v="5"/>
    <x v="1"/>
    <x v="1"/>
    <x v="34"/>
    <x v="154"/>
    <x v="61"/>
    <x v="0"/>
    <x v="5"/>
    <x v="2"/>
    <x v="0"/>
    <s v="Poor"/>
  </r>
  <r>
    <n v="419"/>
    <x v="418"/>
    <x v="2"/>
    <x v="1"/>
    <x v="0"/>
    <x v="2"/>
    <x v="16"/>
    <x v="48"/>
    <x v="2"/>
    <x v="24"/>
    <x v="3"/>
    <x v="17"/>
    <x v="2"/>
    <s v="Excellent"/>
  </r>
  <r>
    <n v="420"/>
    <x v="419"/>
    <x v="1"/>
    <x v="8"/>
    <x v="2"/>
    <x v="0"/>
    <x v="1"/>
    <x v="47"/>
    <x v="29"/>
    <x v="21"/>
    <x v="16"/>
    <x v="36"/>
    <x v="2"/>
    <s v="Excellent"/>
  </r>
  <r>
    <n v="421"/>
    <x v="420"/>
    <x v="2"/>
    <x v="7"/>
    <x v="8"/>
    <x v="27"/>
    <x v="37"/>
    <x v="19"/>
    <x v="25"/>
    <x v="19"/>
    <x v="16"/>
    <x v="3"/>
    <x v="2"/>
    <s v="Average"/>
  </r>
  <r>
    <n v="422"/>
    <x v="421"/>
    <x v="6"/>
    <x v="3"/>
    <x v="1"/>
    <x v="0"/>
    <x v="13"/>
    <x v="107"/>
    <x v="8"/>
    <x v="29"/>
    <x v="15"/>
    <x v="19"/>
    <x v="2"/>
    <s v="Good"/>
  </r>
  <r>
    <n v="423"/>
    <x v="422"/>
    <x v="5"/>
    <x v="5"/>
    <x v="9"/>
    <x v="21"/>
    <x v="43"/>
    <x v="174"/>
    <x v="77"/>
    <x v="42"/>
    <x v="26"/>
    <x v="33"/>
    <x v="0"/>
    <s v="Poor"/>
  </r>
  <r>
    <n v="424"/>
    <x v="423"/>
    <x v="1"/>
    <x v="0"/>
    <x v="9"/>
    <x v="1"/>
    <x v="39"/>
    <x v="175"/>
    <x v="111"/>
    <x v="86"/>
    <x v="49"/>
    <x v="57"/>
    <x v="1"/>
    <s v="Poor"/>
  </r>
  <r>
    <n v="425"/>
    <x v="424"/>
    <x v="5"/>
    <x v="5"/>
    <x v="8"/>
    <x v="10"/>
    <x v="19"/>
    <x v="20"/>
    <x v="19"/>
    <x v="43"/>
    <x v="8"/>
    <x v="10"/>
    <x v="2"/>
    <s v="Poor"/>
  </r>
  <r>
    <n v="426"/>
    <x v="425"/>
    <x v="1"/>
    <x v="9"/>
    <x v="3"/>
    <x v="11"/>
    <x v="20"/>
    <x v="20"/>
    <x v="8"/>
    <x v="18"/>
    <x v="3"/>
    <x v="3"/>
    <x v="2"/>
    <s v="Poor"/>
  </r>
  <r>
    <n v="427"/>
    <x v="426"/>
    <x v="2"/>
    <x v="1"/>
    <x v="3"/>
    <x v="30"/>
    <x v="11"/>
    <x v="103"/>
    <x v="72"/>
    <x v="35"/>
    <x v="17"/>
    <x v="2"/>
    <x v="0"/>
    <s v="Average"/>
  </r>
  <r>
    <n v="428"/>
    <x v="427"/>
    <x v="2"/>
    <x v="4"/>
    <x v="8"/>
    <x v="12"/>
    <x v="7"/>
    <x v="3"/>
    <x v="49"/>
    <x v="10"/>
    <x v="9"/>
    <x v="29"/>
    <x v="0"/>
    <s v="Good"/>
  </r>
  <r>
    <n v="429"/>
    <x v="428"/>
    <x v="2"/>
    <x v="6"/>
    <x v="1"/>
    <x v="12"/>
    <x v="43"/>
    <x v="176"/>
    <x v="112"/>
    <x v="56"/>
    <x v="50"/>
    <x v="58"/>
    <x v="3"/>
    <s v="Poor"/>
  </r>
  <r>
    <n v="430"/>
    <x v="429"/>
    <x v="2"/>
    <x v="2"/>
    <x v="1"/>
    <x v="12"/>
    <x v="14"/>
    <x v="64"/>
    <x v="35"/>
    <x v="2"/>
    <x v="2"/>
    <x v="22"/>
    <x v="2"/>
    <s v="Poor"/>
  </r>
  <r>
    <n v="431"/>
    <x v="430"/>
    <x v="5"/>
    <x v="4"/>
    <x v="9"/>
    <x v="16"/>
    <x v="33"/>
    <x v="57"/>
    <x v="56"/>
    <x v="3"/>
    <x v="35"/>
    <x v="36"/>
    <x v="0"/>
    <s v="Average"/>
  </r>
  <r>
    <n v="432"/>
    <x v="431"/>
    <x v="5"/>
    <x v="6"/>
    <x v="1"/>
    <x v="16"/>
    <x v="23"/>
    <x v="95"/>
    <x v="97"/>
    <x v="41"/>
    <x v="38"/>
    <x v="29"/>
    <x v="2"/>
    <s v="Poor"/>
  </r>
  <r>
    <n v="433"/>
    <x v="432"/>
    <x v="6"/>
    <x v="9"/>
    <x v="1"/>
    <x v="11"/>
    <x v="15"/>
    <x v="2"/>
    <x v="35"/>
    <x v="24"/>
    <x v="2"/>
    <x v="22"/>
    <x v="2"/>
    <s v="Average"/>
  </r>
  <r>
    <n v="434"/>
    <x v="433"/>
    <x v="3"/>
    <x v="4"/>
    <x v="0"/>
    <x v="10"/>
    <x v="4"/>
    <x v="61"/>
    <x v="2"/>
    <x v="21"/>
    <x v="16"/>
    <x v="22"/>
    <x v="2"/>
    <s v="Good"/>
  </r>
  <r>
    <n v="435"/>
    <x v="434"/>
    <x v="1"/>
    <x v="8"/>
    <x v="2"/>
    <x v="0"/>
    <x v="12"/>
    <x v="16"/>
    <x v="75"/>
    <x v="5"/>
    <x v="10"/>
    <x v="40"/>
    <x v="0"/>
    <s v="Good"/>
  </r>
  <r>
    <n v="436"/>
    <x v="435"/>
    <x v="1"/>
    <x v="9"/>
    <x v="6"/>
    <x v="8"/>
    <x v="17"/>
    <x v="177"/>
    <x v="42"/>
    <x v="35"/>
    <x v="35"/>
    <x v="36"/>
    <x v="0"/>
    <s v="Good"/>
  </r>
  <r>
    <n v="437"/>
    <x v="436"/>
    <x v="5"/>
    <x v="4"/>
    <x v="2"/>
    <x v="31"/>
    <x v="19"/>
    <x v="91"/>
    <x v="47"/>
    <x v="21"/>
    <x v="17"/>
    <x v="22"/>
    <x v="2"/>
    <s v="Poor"/>
  </r>
  <r>
    <n v="438"/>
    <x v="437"/>
    <x v="2"/>
    <x v="7"/>
    <x v="9"/>
    <x v="29"/>
    <x v="39"/>
    <x v="178"/>
    <x v="86"/>
    <x v="77"/>
    <x v="36"/>
    <x v="40"/>
    <x v="0"/>
    <s v="Poor"/>
  </r>
  <r>
    <n v="439"/>
    <x v="438"/>
    <x v="5"/>
    <x v="0"/>
    <x v="6"/>
    <x v="31"/>
    <x v="37"/>
    <x v="42"/>
    <x v="20"/>
    <x v="20"/>
    <x v="16"/>
    <x v="22"/>
    <x v="2"/>
    <s v="Average"/>
  </r>
  <r>
    <n v="440"/>
    <x v="439"/>
    <x v="3"/>
    <x v="8"/>
    <x v="4"/>
    <x v="4"/>
    <x v="1"/>
    <x v="179"/>
    <x v="10"/>
    <x v="55"/>
    <x v="34"/>
    <x v="9"/>
    <x v="0"/>
    <s v="Excellent"/>
  </r>
  <r>
    <n v="441"/>
    <x v="440"/>
    <x v="4"/>
    <x v="0"/>
    <x v="4"/>
    <x v="9"/>
    <x v="37"/>
    <x v="21"/>
    <x v="57"/>
    <x v="20"/>
    <x v="16"/>
    <x v="29"/>
    <x v="2"/>
    <s v="Average"/>
  </r>
  <r>
    <n v="442"/>
    <x v="441"/>
    <x v="5"/>
    <x v="6"/>
    <x v="3"/>
    <x v="26"/>
    <x v="37"/>
    <x v="180"/>
    <x v="51"/>
    <x v="74"/>
    <x v="51"/>
    <x v="43"/>
    <x v="3"/>
    <s v="Average"/>
  </r>
  <r>
    <n v="443"/>
    <x v="442"/>
    <x v="5"/>
    <x v="7"/>
    <x v="9"/>
    <x v="21"/>
    <x v="41"/>
    <x v="5"/>
    <x v="19"/>
    <x v="58"/>
    <x v="2"/>
    <x v="35"/>
    <x v="0"/>
    <s v="Poor"/>
  </r>
  <r>
    <n v="444"/>
    <x v="443"/>
    <x v="1"/>
    <x v="3"/>
    <x v="1"/>
    <x v="8"/>
    <x v="25"/>
    <x v="44"/>
    <x v="44"/>
    <x v="34"/>
    <x v="7"/>
    <x v="18"/>
    <x v="0"/>
    <s v="Average"/>
  </r>
  <r>
    <n v="445"/>
    <x v="444"/>
    <x v="4"/>
    <x v="4"/>
    <x v="1"/>
    <x v="18"/>
    <x v="27"/>
    <x v="142"/>
    <x v="72"/>
    <x v="3"/>
    <x v="9"/>
    <x v="10"/>
    <x v="0"/>
    <s v="Poor"/>
  </r>
  <r>
    <n v="446"/>
    <x v="445"/>
    <x v="4"/>
    <x v="5"/>
    <x v="2"/>
    <x v="11"/>
    <x v="14"/>
    <x v="36"/>
    <x v="8"/>
    <x v="18"/>
    <x v="3"/>
    <x v="2"/>
    <x v="2"/>
    <s v="Poor"/>
  </r>
  <r>
    <n v="447"/>
    <x v="446"/>
    <x v="4"/>
    <x v="9"/>
    <x v="8"/>
    <x v="14"/>
    <x v="15"/>
    <x v="181"/>
    <x v="87"/>
    <x v="15"/>
    <x v="52"/>
    <x v="18"/>
    <x v="0"/>
    <s v="Average"/>
  </r>
  <r>
    <n v="448"/>
    <x v="447"/>
    <x v="2"/>
    <x v="1"/>
    <x v="5"/>
    <x v="12"/>
    <x v="35"/>
    <x v="117"/>
    <x v="113"/>
    <x v="36"/>
    <x v="28"/>
    <x v="7"/>
    <x v="3"/>
    <s v="Poor"/>
  </r>
  <r>
    <n v="449"/>
    <x v="448"/>
    <x v="4"/>
    <x v="3"/>
    <x v="6"/>
    <x v="18"/>
    <x v="41"/>
    <x v="150"/>
    <x v="56"/>
    <x v="10"/>
    <x v="15"/>
    <x v="35"/>
    <x v="0"/>
    <s v="Poor"/>
  </r>
  <r>
    <n v="450"/>
    <x v="449"/>
    <x v="5"/>
    <x v="2"/>
    <x v="0"/>
    <x v="21"/>
    <x v="3"/>
    <x v="162"/>
    <x v="35"/>
    <x v="19"/>
    <x v="17"/>
    <x v="2"/>
    <x v="2"/>
    <s v="Excellent"/>
  </r>
  <r>
    <n v="451"/>
    <x v="450"/>
    <x v="3"/>
    <x v="5"/>
    <x v="1"/>
    <x v="15"/>
    <x v="32"/>
    <x v="182"/>
    <x v="114"/>
    <x v="40"/>
    <x v="25"/>
    <x v="6"/>
    <x v="0"/>
    <s v="Average"/>
  </r>
  <r>
    <n v="452"/>
    <x v="451"/>
    <x v="3"/>
    <x v="9"/>
    <x v="0"/>
    <x v="28"/>
    <x v="36"/>
    <x v="132"/>
    <x v="8"/>
    <x v="35"/>
    <x v="15"/>
    <x v="17"/>
    <x v="2"/>
    <s v="Average"/>
  </r>
  <r>
    <n v="453"/>
    <x v="452"/>
    <x v="1"/>
    <x v="8"/>
    <x v="1"/>
    <x v="12"/>
    <x v="7"/>
    <x v="9"/>
    <x v="9"/>
    <x v="18"/>
    <x v="15"/>
    <x v="19"/>
    <x v="2"/>
    <s v="Good"/>
  </r>
  <r>
    <n v="454"/>
    <x v="453"/>
    <x v="4"/>
    <x v="8"/>
    <x v="2"/>
    <x v="4"/>
    <x v="19"/>
    <x v="13"/>
    <x v="43"/>
    <x v="19"/>
    <x v="3"/>
    <x v="22"/>
    <x v="2"/>
    <s v="Poor"/>
  </r>
  <r>
    <n v="455"/>
    <x v="454"/>
    <x v="1"/>
    <x v="9"/>
    <x v="1"/>
    <x v="6"/>
    <x v="29"/>
    <x v="117"/>
    <x v="115"/>
    <x v="84"/>
    <x v="53"/>
    <x v="37"/>
    <x v="3"/>
    <s v="Good"/>
  </r>
  <r>
    <n v="456"/>
    <x v="455"/>
    <x v="4"/>
    <x v="3"/>
    <x v="2"/>
    <x v="9"/>
    <x v="7"/>
    <x v="116"/>
    <x v="47"/>
    <x v="28"/>
    <x v="16"/>
    <x v="18"/>
    <x v="2"/>
    <s v="Good"/>
  </r>
  <r>
    <n v="457"/>
    <x v="456"/>
    <x v="5"/>
    <x v="1"/>
    <x v="7"/>
    <x v="21"/>
    <x v="35"/>
    <x v="165"/>
    <x v="56"/>
    <x v="39"/>
    <x v="21"/>
    <x v="12"/>
    <x v="0"/>
    <s v="Poor"/>
  </r>
  <r>
    <n v="458"/>
    <x v="457"/>
    <x v="2"/>
    <x v="3"/>
    <x v="2"/>
    <x v="13"/>
    <x v="39"/>
    <x v="11"/>
    <x v="34"/>
    <x v="54"/>
    <x v="5"/>
    <x v="26"/>
    <x v="0"/>
    <s v="Poor"/>
  </r>
  <r>
    <n v="459"/>
    <x v="458"/>
    <x v="4"/>
    <x v="4"/>
    <x v="4"/>
    <x v="4"/>
    <x v="37"/>
    <x v="51"/>
    <x v="41"/>
    <x v="9"/>
    <x v="9"/>
    <x v="11"/>
    <x v="0"/>
    <s v="Average"/>
  </r>
  <r>
    <n v="460"/>
    <x v="459"/>
    <x v="0"/>
    <x v="7"/>
    <x v="0"/>
    <x v="14"/>
    <x v="24"/>
    <x v="16"/>
    <x v="49"/>
    <x v="63"/>
    <x v="35"/>
    <x v="0"/>
    <x v="0"/>
    <s v="Poor"/>
  </r>
  <r>
    <n v="461"/>
    <x v="460"/>
    <x v="1"/>
    <x v="9"/>
    <x v="9"/>
    <x v="11"/>
    <x v="16"/>
    <x v="82"/>
    <x v="50"/>
    <x v="2"/>
    <x v="16"/>
    <x v="7"/>
    <x v="2"/>
    <s v="Excellent"/>
  </r>
  <r>
    <n v="462"/>
    <x v="461"/>
    <x v="5"/>
    <x v="1"/>
    <x v="1"/>
    <x v="10"/>
    <x v="0"/>
    <x v="52"/>
    <x v="41"/>
    <x v="29"/>
    <x v="17"/>
    <x v="12"/>
    <x v="0"/>
    <s v="Excellent"/>
  </r>
  <r>
    <n v="463"/>
    <x v="462"/>
    <x v="3"/>
    <x v="6"/>
    <x v="9"/>
    <x v="15"/>
    <x v="16"/>
    <x v="22"/>
    <x v="25"/>
    <x v="19"/>
    <x v="16"/>
    <x v="36"/>
    <x v="2"/>
    <s v="Excellent"/>
  </r>
  <r>
    <n v="464"/>
    <x v="463"/>
    <x v="0"/>
    <x v="1"/>
    <x v="2"/>
    <x v="23"/>
    <x v="16"/>
    <x v="86"/>
    <x v="24"/>
    <x v="12"/>
    <x v="16"/>
    <x v="36"/>
    <x v="2"/>
    <s v="Excellent"/>
  </r>
  <r>
    <n v="465"/>
    <x v="464"/>
    <x v="1"/>
    <x v="5"/>
    <x v="6"/>
    <x v="12"/>
    <x v="20"/>
    <x v="35"/>
    <x v="40"/>
    <x v="63"/>
    <x v="34"/>
    <x v="22"/>
    <x v="0"/>
    <s v="Poor"/>
  </r>
  <r>
    <n v="466"/>
    <x v="465"/>
    <x v="4"/>
    <x v="4"/>
    <x v="9"/>
    <x v="18"/>
    <x v="17"/>
    <x v="127"/>
    <x v="93"/>
    <x v="58"/>
    <x v="5"/>
    <x v="36"/>
    <x v="0"/>
    <s v="Good"/>
  </r>
  <r>
    <n v="467"/>
    <x v="466"/>
    <x v="4"/>
    <x v="7"/>
    <x v="0"/>
    <x v="11"/>
    <x v="27"/>
    <x v="142"/>
    <x v="75"/>
    <x v="58"/>
    <x v="0"/>
    <x v="18"/>
    <x v="0"/>
    <s v="Poor"/>
  </r>
  <r>
    <n v="468"/>
    <x v="467"/>
    <x v="1"/>
    <x v="1"/>
    <x v="3"/>
    <x v="0"/>
    <x v="24"/>
    <x v="18"/>
    <x v="99"/>
    <x v="11"/>
    <x v="21"/>
    <x v="59"/>
    <x v="0"/>
    <s v="Poor"/>
  </r>
  <r>
    <n v="469"/>
    <x v="468"/>
    <x v="2"/>
    <x v="0"/>
    <x v="5"/>
    <x v="2"/>
    <x v="12"/>
    <x v="183"/>
    <x v="99"/>
    <x v="82"/>
    <x v="7"/>
    <x v="60"/>
    <x v="0"/>
    <s v="Good"/>
  </r>
  <r>
    <n v="470"/>
    <x v="469"/>
    <x v="0"/>
    <x v="7"/>
    <x v="1"/>
    <x v="0"/>
    <x v="14"/>
    <x v="184"/>
    <x v="31"/>
    <x v="87"/>
    <x v="13"/>
    <x v="61"/>
    <x v="3"/>
    <s v="Poor"/>
  </r>
  <r>
    <n v="471"/>
    <x v="470"/>
    <x v="1"/>
    <x v="8"/>
    <x v="4"/>
    <x v="0"/>
    <x v="16"/>
    <x v="54"/>
    <x v="40"/>
    <x v="8"/>
    <x v="27"/>
    <x v="29"/>
    <x v="0"/>
    <s v="Excellent"/>
  </r>
  <r>
    <n v="472"/>
    <x v="471"/>
    <x v="0"/>
    <x v="3"/>
    <x v="4"/>
    <x v="17"/>
    <x v="31"/>
    <x v="180"/>
    <x v="116"/>
    <x v="27"/>
    <x v="36"/>
    <x v="41"/>
    <x v="3"/>
    <s v="Average"/>
  </r>
  <r>
    <n v="473"/>
    <x v="472"/>
    <x v="6"/>
    <x v="1"/>
    <x v="1"/>
    <x v="7"/>
    <x v="23"/>
    <x v="55"/>
    <x v="25"/>
    <x v="43"/>
    <x v="16"/>
    <x v="22"/>
    <x v="2"/>
    <s v="Poor"/>
  </r>
  <r>
    <n v="474"/>
    <x v="473"/>
    <x v="0"/>
    <x v="2"/>
    <x v="3"/>
    <x v="18"/>
    <x v="23"/>
    <x v="100"/>
    <x v="80"/>
    <x v="38"/>
    <x v="17"/>
    <x v="33"/>
    <x v="0"/>
    <s v="Poor"/>
  </r>
  <r>
    <n v="475"/>
    <x v="474"/>
    <x v="1"/>
    <x v="6"/>
    <x v="3"/>
    <x v="12"/>
    <x v="17"/>
    <x v="25"/>
    <x v="11"/>
    <x v="39"/>
    <x v="26"/>
    <x v="5"/>
    <x v="0"/>
    <s v="Good"/>
  </r>
  <r>
    <n v="476"/>
    <x v="475"/>
    <x v="2"/>
    <x v="0"/>
    <x v="4"/>
    <x v="3"/>
    <x v="23"/>
    <x v="173"/>
    <x v="48"/>
    <x v="41"/>
    <x v="19"/>
    <x v="29"/>
    <x v="2"/>
    <s v="Poor"/>
  </r>
  <r>
    <n v="477"/>
    <x v="476"/>
    <x v="5"/>
    <x v="6"/>
    <x v="6"/>
    <x v="16"/>
    <x v="19"/>
    <x v="91"/>
    <x v="21"/>
    <x v="12"/>
    <x v="16"/>
    <x v="17"/>
    <x v="2"/>
    <s v="Poor"/>
  </r>
  <r>
    <n v="478"/>
    <x v="477"/>
    <x v="3"/>
    <x v="2"/>
    <x v="1"/>
    <x v="24"/>
    <x v="4"/>
    <x v="86"/>
    <x v="38"/>
    <x v="28"/>
    <x v="3"/>
    <x v="17"/>
    <x v="2"/>
    <s v="Good"/>
  </r>
  <r>
    <n v="479"/>
    <x v="478"/>
    <x v="6"/>
    <x v="9"/>
    <x v="6"/>
    <x v="7"/>
    <x v="15"/>
    <x v="70"/>
    <x v="18"/>
    <x v="24"/>
    <x v="2"/>
    <x v="2"/>
    <x v="2"/>
    <s v="Average"/>
  </r>
  <r>
    <n v="480"/>
    <x v="479"/>
    <x v="4"/>
    <x v="2"/>
    <x v="2"/>
    <x v="4"/>
    <x v="10"/>
    <x v="22"/>
    <x v="35"/>
    <x v="24"/>
    <x v="17"/>
    <x v="29"/>
    <x v="2"/>
    <s v="Good"/>
  </r>
  <r>
    <n v="481"/>
    <x v="480"/>
    <x v="1"/>
    <x v="6"/>
    <x v="3"/>
    <x v="1"/>
    <x v="23"/>
    <x v="150"/>
    <x v="23"/>
    <x v="60"/>
    <x v="9"/>
    <x v="17"/>
    <x v="0"/>
    <s v="Poor"/>
  </r>
  <r>
    <n v="482"/>
    <x v="481"/>
    <x v="1"/>
    <x v="7"/>
    <x v="0"/>
    <x v="6"/>
    <x v="14"/>
    <x v="185"/>
    <x v="117"/>
    <x v="88"/>
    <x v="54"/>
    <x v="30"/>
    <x v="3"/>
    <s v="Poor"/>
  </r>
  <r>
    <n v="483"/>
    <x v="482"/>
    <x v="4"/>
    <x v="1"/>
    <x v="0"/>
    <x v="19"/>
    <x v="18"/>
    <x v="30"/>
    <x v="19"/>
    <x v="43"/>
    <x v="8"/>
    <x v="2"/>
    <x v="2"/>
    <s v="Poor"/>
  </r>
  <r>
    <n v="484"/>
    <x v="483"/>
    <x v="2"/>
    <x v="3"/>
    <x v="8"/>
    <x v="13"/>
    <x v="20"/>
    <x v="19"/>
    <x v="18"/>
    <x v="43"/>
    <x v="17"/>
    <x v="36"/>
    <x v="2"/>
    <s v="Poor"/>
  </r>
  <r>
    <n v="485"/>
    <x v="484"/>
    <x v="1"/>
    <x v="9"/>
    <x v="6"/>
    <x v="5"/>
    <x v="6"/>
    <x v="142"/>
    <x v="49"/>
    <x v="5"/>
    <x v="35"/>
    <x v="17"/>
    <x v="0"/>
    <s v="Good"/>
  </r>
  <r>
    <n v="486"/>
    <x v="485"/>
    <x v="1"/>
    <x v="8"/>
    <x v="6"/>
    <x v="1"/>
    <x v="9"/>
    <x v="69"/>
    <x v="54"/>
    <x v="23"/>
    <x v="9"/>
    <x v="15"/>
    <x v="0"/>
    <s v="Excellent"/>
  </r>
  <r>
    <n v="487"/>
    <x v="486"/>
    <x v="1"/>
    <x v="6"/>
    <x v="2"/>
    <x v="7"/>
    <x v="20"/>
    <x v="134"/>
    <x v="52"/>
    <x v="82"/>
    <x v="44"/>
    <x v="0"/>
    <x v="0"/>
    <s v="Poor"/>
  </r>
  <r>
    <n v="488"/>
    <x v="487"/>
    <x v="5"/>
    <x v="5"/>
    <x v="7"/>
    <x v="31"/>
    <x v="14"/>
    <x v="3"/>
    <x v="72"/>
    <x v="58"/>
    <x v="8"/>
    <x v="35"/>
    <x v="0"/>
    <s v="Poor"/>
  </r>
  <r>
    <n v="489"/>
    <x v="488"/>
    <x v="3"/>
    <x v="1"/>
    <x v="4"/>
    <x v="20"/>
    <x v="10"/>
    <x v="156"/>
    <x v="10"/>
    <x v="65"/>
    <x v="15"/>
    <x v="2"/>
    <x v="0"/>
    <s v="Good"/>
  </r>
  <r>
    <n v="490"/>
    <x v="489"/>
    <x v="2"/>
    <x v="0"/>
    <x v="8"/>
    <x v="3"/>
    <x v="37"/>
    <x v="186"/>
    <x v="118"/>
    <x v="26"/>
    <x v="21"/>
    <x v="14"/>
    <x v="0"/>
    <s v="Average"/>
  </r>
  <r>
    <n v="491"/>
    <x v="490"/>
    <x v="1"/>
    <x v="4"/>
    <x v="2"/>
    <x v="8"/>
    <x v="0"/>
    <x v="30"/>
    <x v="4"/>
    <x v="38"/>
    <x v="2"/>
    <x v="22"/>
    <x v="2"/>
    <s v="Excellent"/>
  </r>
  <r>
    <n v="492"/>
    <x v="491"/>
    <x v="1"/>
    <x v="6"/>
    <x v="7"/>
    <x v="7"/>
    <x v="18"/>
    <x v="187"/>
    <x v="63"/>
    <x v="37"/>
    <x v="14"/>
    <x v="18"/>
    <x v="0"/>
    <s v="Poor"/>
  </r>
  <r>
    <n v="493"/>
    <x v="492"/>
    <x v="3"/>
    <x v="3"/>
    <x v="2"/>
    <x v="10"/>
    <x v="10"/>
    <x v="156"/>
    <x v="65"/>
    <x v="39"/>
    <x v="35"/>
    <x v="23"/>
    <x v="0"/>
    <s v="Good"/>
  </r>
  <r>
    <n v="494"/>
    <x v="493"/>
    <x v="3"/>
    <x v="4"/>
    <x v="9"/>
    <x v="15"/>
    <x v="13"/>
    <x v="188"/>
    <x v="119"/>
    <x v="67"/>
    <x v="7"/>
    <x v="25"/>
    <x v="0"/>
    <s v="Good"/>
  </r>
  <r>
    <n v="495"/>
    <x v="494"/>
    <x v="0"/>
    <x v="0"/>
    <x v="9"/>
    <x v="14"/>
    <x v="35"/>
    <x v="189"/>
    <x v="120"/>
    <x v="89"/>
    <x v="55"/>
    <x v="62"/>
    <x v="1"/>
    <s v="Poor"/>
  </r>
  <r>
    <n v="496"/>
    <x v="495"/>
    <x v="6"/>
    <x v="7"/>
    <x v="8"/>
    <x v="7"/>
    <x v="1"/>
    <x v="113"/>
    <x v="57"/>
    <x v="20"/>
    <x v="19"/>
    <x v="29"/>
    <x v="2"/>
    <s v="Excellent"/>
  </r>
  <r>
    <n v="497"/>
    <x v="496"/>
    <x v="4"/>
    <x v="9"/>
    <x v="4"/>
    <x v="9"/>
    <x v="30"/>
    <x v="103"/>
    <x v="69"/>
    <x v="0"/>
    <x v="8"/>
    <x v="19"/>
    <x v="0"/>
    <s v="Average"/>
  </r>
  <r>
    <n v="498"/>
    <x v="497"/>
    <x v="0"/>
    <x v="1"/>
    <x v="4"/>
    <x v="9"/>
    <x v="39"/>
    <x v="140"/>
    <x v="77"/>
    <x v="26"/>
    <x v="10"/>
    <x v="14"/>
    <x v="0"/>
    <s v="Poor"/>
  </r>
  <r>
    <n v="499"/>
    <x v="498"/>
    <x v="4"/>
    <x v="9"/>
    <x v="7"/>
    <x v="23"/>
    <x v="0"/>
    <x v="10"/>
    <x v="41"/>
    <x v="0"/>
    <x v="10"/>
    <x v="35"/>
    <x v="0"/>
    <s v="Excellent"/>
  </r>
  <r>
    <n v="500"/>
    <x v="499"/>
    <x v="0"/>
    <x v="3"/>
    <x v="9"/>
    <x v="22"/>
    <x v="22"/>
    <x v="86"/>
    <x v="24"/>
    <x v="21"/>
    <x v="3"/>
    <x v="36"/>
    <x v="2"/>
    <s v="Average"/>
  </r>
  <r>
    <n v="501"/>
    <x v="500"/>
    <x v="0"/>
    <x v="7"/>
    <x v="7"/>
    <x v="19"/>
    <x v="30"/>
    <x v="159"/>
    <x v="46"/>
    <x v="44"/>
    <x v="21"/>
    <x v="2"/>
    <x v="0"/>
    <s v="Average"/>
  </r>
  <r>
    <n v="502"/>
    <x v="501"/>
    <x v="1"/>
    <x v="7"/>
    <x v="7"/>
    <x v="5"/>
    <x v="25"/>
    <x v="82"/>
    <x v="50"/>
    <x v="2"/>
    <x v="17"/>
    <x v="19"/>
    <x v="2"/>
    <s v="Average"/>
  </r>
  <r>
    <n v="503"/>
    <x v="502"/>
    <x v="1"/>
    <x v="7"/>
    <x v="8"/>
    <x v="6"/>
    <x v="38"/>
    <x v="190"/>
    <x v="63"/>
    <x v="13"/>
    <x v="5"/>
    <x v="63"/>
    <x v="0"/>
    <s v="Excellent"/>
  </r>
  <r>
    <n v="504"/>
    <x v="503"/>
    <x v="6"/>
    <x v="4"/>
    <x v="3"/>
    <x v="1"/>
    <x v="20"/>
    <x v="191"/>
    <x v="116"/>
    <x v="15"/>
    <x v="40"/>
    <x v="29"/>
    <x v="0"/>
    <s v="Poor"/>
  </r>
  <r>
    <n v="505"/>
    <x v="504"/>
    <x v="6"/>
    <x v="1"/>
    <x v="4"/>
    <x v="7"/>
    <x v="22"/>
    <x v="62"/>
    <x v="69"/>
    <x v="9"/>
    <x v="8"/>
    <x v="29"/>
    <x v="2"/>
    <s v="Average"/>
  </r>
  <r>
    <n v="506"/>
    <x v="505"/>
    <x v="2"/>
    <x v="5"/>
    <x v="8"/>
    <x v="29"/>
    <x v="33"/>
    <x v="167"/>
    <x v="79"/>
    <x v="58"/>
    <x v="15"/>
    <x v="52"/>
    <x v="0"/>
    <s v="Average"/>
  </r>
  <r>
    <n v="507"/>
    <x v="506"/>
    <x v="5"/>
    <x v="7"/>
    <x v="3"/>
    <x v="10"/>
    <x v="22"/>
    <x v="192"/>
    <x v="116"/>
    <x v="74"/>
    <x v="41"/>
    <x v="17"/>
    <x v="0"/>
    <s v="Average"/>
  </r>
  <r>
    <n v="508"/>
    <x v="507"/>
    <x v="5"/>
    <x v="9"/>
    <x v="7"/>
    <x v="31"/>
    <x v="41"/>
    <x v="83"/>
    <x v="2"/>
    <x v="12"/>
    <x v="17"/>
    <x v="18"/>
    <x v="2"/>
    <s v="Poor"/>
  </r>
  <r>
    <n v="509"/>
    <x v="508"/>
    <x v="0"/>
    <x v="1"/>
    <x v="4"/>
    <x v="9"/>
    <x v="32"/>
    <x v="193"/>
    <x v="10"/>
    <x v="63"/>
    <x v="33"/>
    <x v="25"/>
    <x v="0"/>
    <s v="Average"/>
  </r>
  <r>
    <n v="510"/>
    <x v="509"/>
    <x v="0"/>
    <x v="7"/>
    <x v="5"/>
    <x v="18"/>
    <x v="1"/>
    <x v="63"/>
    <x v="35"/>
    <x v="43"/>
    <x v="17"/>
    <x v="5"/>
    <x v="2"/>
    <s v="Excellent"/>
  </r>
  <r>
    <n v="511"/>
    <x v="510"/>
    <x v="2"/>
    <x v="2"/>
    <x v="0"/>
    <x v="27"/>
    <x v="39"/>
    <x v="27"/>
    <x v="24"/>
    <x v="28"/>
    <x v="3"/>
    <x v="36"/>
    <x v="2"/>
    <s v="Poor"/>
  </r>
  <r>
    <n v="512"/>
    <x v="511"/>
    <x v="3"/>
    <x v="0"/>
    <x v="1"/>
    <x v="20"/>
    <x v="14"/>
    <x v="194"/>
    <x v="7"/>
    <x v="48"/>
    <x v="35"/>
    <x v="10"/>
    <x v="0"/>
    <s v="Poor"/>
  </r>
  <r>
    <n v="513"/>
    <x v="512"/>
    <x v="6"/>
    <x v="8"/>
    <x v="6"/>
    <x v="9"/>
    <x v="6"/>
    <x v="72"/>
    <x v="57"/>
    <x v="41"/>
    <x v="19"/>
    <x v="29"/>
    <x v="2"/>
    <s v="Good"/>
  </r>
  <r>
    <n v="514"/>
    <x v="513"/>
    <x v="5"/>
    <x v="2"/>
    <x v="3"/>
    <x v="10"/>
    <x v="23"/>
    <x v="22"/>
    <x v="43"/>
    <x v="19"/>
    <x v="17"/>
    <x v="17"/>
    <x v="2"/>
    <s v="Poor"/>
  </r>
  <r>
    <n v="515"/>
    <x v="514"/>
    <x v="0"/>
    <x v="2"/>
    <x v="3"/>
    <x v="9"/>
    <x v="2"/>
    <x v="158"/>
    <x v="8"/>
    <x v="18"/>
    <x v="35"/>
    <x v="35"/>
    <x v="0"/>
    <s v="Excellent"/>
  </r>
  <r>
    <n v="516"/>
    <x v="515"/>
    <x v="3"/>
    <x v="4"/>
    <x v="5"/>
    <x v="28"/>
    <x v="13"/>
    <x v="153"/>
    <x v="74"/>
    <x v="37"/>
    <x v="2"/>
    <x v="11"/>
    <x v="0"/>
    <s v="Good"/>
  </r>
  <r>
    <n v="517"/>
    <x v="516"/>
    <x v="5"/>
    <x v="0"/>
    <x v="2"/>
    <x v="21"/>
    <x v="28"/>
    <x v="127"/>
    <x v="49"/>
    <x v="10"/>
    <x v="2"/>
    <x v="10"/>
    <x v="0"/>
    <s v="Excellent"/>
  </r>
  <r>
    <n v="518"/>
    <x v="517"/>
    <x v="2"/>
    <x v="2"/>
    <x v="1"/>
    <x v="12"/>
    <x v="28"/>
    <x v="156"/>
    <x v="7"/>
    <x v="58"/>
    <x v="34"/>
    <x v="12"/>
    <x v="0"/>
    <s v="Excellent"/>
  </r>
  <r>
    <n v="519"/>
    <x v="518"/>
    <x v="0"/>
    <x v="7"/>
    <x v="9"/>
    <x v="17"/>
    <x v="18"/>
    <x v="112"/>
    <x v="104"/>
    <x v="54"/>
    <x v="5"/>
    <x v="0"/>
    <x v="0"/>
    <s v="Poor"/>
  </r>
  <r>
    <n v="520"/>
    <x v="519"/>
    <x v="6"/>
    <x v="4"/>
    <x v="3"/>
    <x v="11"/>
    <x v="35"/>
    <x v="195"/>
    <x v="121"/>
    <x v="57"/>
    <x v="34"/>
    <x v="51"/>
    <x v="3"/>
    <s v="Poor"/>
  </r>
  <r>
    <n v="521"/>
    <x v="520"/>
    <x v="3"/>
    <x v="4"/>
    <x v="7"/>
    <x v="14"/>
    <x v="42"/>
    <x v="47"/>
    <x v="47"/>
    <x v="28"/>
    <x v="3"/>
    <x v="19"/>
    <x v="2"/>
    <s v="Poor"/>
  </r>
  <r>
    <n v="522"/>
    <x v="521"/>
    <x v="2"/>
    <x v="3"/>
    <x v="1"/>
    <x v="30"/>
    <x v="24"/>
    <x v="182"/>
    <x v="64"/>
    <x v="13"/>
    <x v="41"/>
    <x v="26"/>
    <x v="0"/>
    <s v="Poor"/>
  </r>
  <r>
    <n v="523"/>
    <x v="522"/>
    <x v="1"/>
    <x v="5"/>
    <x v="7"/>
    <x v="7"/>
    <x v="7"/>
    <x v="113"/>
    <x v="57"/>
    <x v="41"/>
    <x v="19"/>
    <x v="17"/>
    <x v="2"/>
    <s v="Good"/>
  </r>
  <r>
    <n v="524"/>
    <x v="523"/>
    <x v="1"/>
    <x v="6"/>
    <x v="3"/>
    <x v="11"/>
    <x v="16"/>
    <x v="103"/>
    <x v="41"/>
    <x v="18"/>
    <x v="2"/>
    <x v="35"/>
    <x v="0"/>
    <s v="Excellent"/>
  </r>
  <r>
    <n v="525"/>
    <x v="524"/>
    <x v="6"/>
    <x v="8"/>
    <x v="6"/>
    <x v="8"/>
    <x v="32"/>
    <x v="44"/>
    <x v="74"/>
    <x v="67"/>
    <x v="15"/>
    <x v="14"/>
    <x v="0"/>
    <s v="Average"/>
  </r>
  <r>
    <n v="526"/>
    <x v="525"/>
    <x v="0"/>
    <x v="5"/>
    <x v="2"/>
    <x v="22"/>
    <x v="1"/>
    <x v="196"/>
    <x v="112"/>
    <x v="64"/>
    <x v="45"/>
    <x v="31"/>
    <x v="3"/>
    <s v="Excellent"/>
  </r>
  <r>
    <n v="527"/>
    <x v="526"/>
    <x v="3"/>
    <x v="0"/>
    <x v="0"/>
    <x v="15"/>
    <x v="18"/>
    <x v="16"/>
    <x v="49"/>
    <x v="63"/>
    <x v="5"/>
    <x v="9"/>
    <x v="0"/>
    <s v="Poor"/>
  </r>
  <r>
    <n v="528"/>
    <x v="527"/>
    <x v="6"/>
    <x v="1"/>
    <x v="6"/>
    <x v="9"/>
    <x v="40"/>
    <x v="0"/>
    <x v="14"/>
    <x v="55"/>
    <x v="9"/>
    <x v="12"/>
    <x v="0"/>
    <s v="Good"/>
  </r>
  <r>
    <n v="529"/>
    <x v="528"/>
    <x v="1"/>
    <x v="5"/>
    <x v="9"/>
    <x v="7"/>
    <x v="31"/>
    <x v="157"/>
    <x v="69"/>
    <x v="9"/>
    <x v="2"/>
    <x v="12"/>
    <x v="0"/>
    <s v="Average"/>
  </r>
  <r>
    <n v="530"/>
    <x v="529"/>
    <x v="0"/>
    <x v="0"/>
    <x v="9"/>
    <x v="18"/>
    <x v="34"/>
    <x v="47"/>
    <x v="38"/>
    <x v="12"/>
    <x v="16"/>
    <x v="36"/>
    <x v="2"/>
    <s v="Poor"/>
  </r>
  <r>
    <n v="531"/>
    <x v="530"/>
    <x v="0"/>
    <x v="9"/>
    <x v="7"/>
    <x v="18"/>
    <x v="27"/>
    <x v="95"/>
    <x v="97"/>
    <x v="41"/>
    <x v="38"/>
    <x v="29"/>
    <x v="2"/>
    <s v="Poor"/>
  </r>
  <r>
    <n v="532"/>
    <x v="531"/>
    <x v="4"/>
    <x v="5"/>
    <x v="6"/>
    <x v="22"/>
    <x v="8"/>
    <x v="146"/>
    <x v="73"/>
    <x v="73"/>
    <x v="52"/>
    <x v="30"/>
    <x v="0"/>
    <s v="Excellent"/>
  </r>
  <r>
    <n v="533"/>
    <x v="532"/>
    <x v="2"/>
    <x v="4"/>
    <x v="8"/>
    <x v="3"/>
    <x v="20"/>
    <x v="197"/>
    <x v="75"/>
    <x v="9"/>
    <x v="10"/>
    <x v="33"/>
    <x v="0"/>
    <s v="Poor"/>
  </r>
  <r>
    <n v="534"/>
    <x v="533"/>
    <x v="3"/>
    <x v="1"/>
    <x v="4"/>
    <x v="15"/>
    <x v="26"/>
    <x v="10"/>
    <x v="75"/>
    <x v="3"/>
    <x v="35"/>
    <x v="29"/>
    <x v="0"/>
    <s v="Poor"/>
  </r>
  <r>
    <n v="535"/>
    <x v="534"/>
    <x v="5"/>
    <x v="7"/>
    <x v="7"/>
    <x v="26"/>
    <x v="11"/>
    <x v="160"/>
    <x v="61"/>
    <x v="48"/>
    <x v="9"/>
    <x v="52"/>
    <x v="0"/>
    <s v="Average"/>
  </r>
  <r>
    <n v="536"/>
    <x v="535"/>
    <x v="4"/>
    <x v="8"/>
    <x v="1"/>
    <x v="19"/>
    <x v="32"/>
    <x v="198"/>
    <x v="10"/>
    <x v="22"/>
    <x v="27"/>
    <x v="12"/>
    <x v="0"/>
    <s v="Average"/>
  </r>
  <r>
    <n v="537"/>
    <x v="536"/>
    <x v="2"/>
    <x v="0"/>
    <x v="8"/>
    <x v="2"/>
    <x v="35"/>
    <x v="177"/>
    <x v="8"/>
    <x v="9"/>
    <x v="5"/>
    <x v="35"/>
    <x v="0"/>
    <s v="Poor"/>
  </r>
  <r>
    <n v="538"/>
    <x v="537"/>
    <x v="4"/>
    <x v="8"/>
    <x v="6"/>
    <x v="20"/>
    <x v="36"/>
    <x v="157"/>
    <x v="61"/>
    <x v="5"/>
    <x v="35"/>
    <x v="29"/>
    <x v="0"/>
    <s v="Average"/>
  </r>
  <r>
    <n v="539"/>
    <x v="538"/>
    <x v="4"/>
    <x v="5"/>
    <x v="3"/>
    <x v="17"/>
    <x v="4"/>
    <x v="57"/>
    <x v="9"/>
    <x v="5"/>
    <x v="9"/>
    <x v="30"/>
    <x v="0"/>
    <s v="Good"/>
  </r>
  <r>
    <n v="540"/>
    <x v="539"/>
    <x v="2"/>
    <x v="2"/>
    <x v="0"/>
    <x v="29"/>
    <x v="37"/>
    <x v="28"/>
    <x v="49"/>
    <x v="55"/>
    <x v="25"/>
    <x v="29"/>
    <x v="0"/>
    <s v="Average"/>
  </r>
  <r>
    <n v="541"/>
    <x v="540"/>
    <x v="5"/>
    <x v="7"/>
    <x v="5"/>
    <x v="25"/>
    <x v="41"/>
    <x v="34"/>
    <x v="29"/>
    <x v="21"/>
    <x v="3"/>
    <x v="29"/>
    <x v="2"/>
    <s v="Poor"/>
  </r>
  <r>
    <n v="542"/>
    <x v="541"/>
    <x v="2"/>
    <x v="0"/>
    <x v="4"/>
    <x v="27"/>
    <x v="34"/>
    <x v="169"/>
    <x v="39"/>
    <x v="9"/>
    <x v="2"/>
    <x v="12"/>
    <x v="0"/>
    <s v="Poor"/>
  </r>
  <r>
    <n v="543"/>
    <x v="542"/>
    <x v="5"/>
    <x v="8"/>
    <x v="3"/>
    <x v="25"/>
    <x v="30"/>
    <x v="140"/>
    <x v="63"/>
    <x v="40"/>
    <x v="27"/>
    <x v="12"/>
    <x v="0"/>
    <s v="Average"/>
  </r>
  <r>
    <n v="544"/>
    <x v="543"/>
    <x v="2"/>
    <x v="7"/>
    <x v="4"/>
    <x v="30"/>
    <x v="15"/>
    <x v="63"/>
    <x v="18"/>
    <x v="35"/>
    <x v="15"/>
    <x v="29"/>
    <x v="2"/>
    <s v="Average"/>
  </r>
  <r>
    <n v="545"/>
    <x v="544"/>
    <x v="5"/>
    <x v="1"/>
    <x v="4"/>
    <x v="25"/>
    <x v="1"/>
    <x v="199"/>
    <x v="122"/>
    <x v="57"/>
    <x v="39"/>
    <x v="61"/>
    <x v="3"/>
    <s v="Excellent"/>
  </r>
  <r>
    <n v="546"/>
    <x v="545"/>
    <x v="5"/>
    <x v="9"/>
    <x v="7"/>
    <x v="21"/>
    <x v="11"/>
    <x v="116"/>
    <x v="20"/>
    <x v="20"/>
    <x v="19"/>
    <x v="22"/>
    <x v="2"/>
    <s v="Average"/>
  </r>
  <r>
    <n v="547"/>
    <x v="546"/>
    <x v="0"/>
    <x v="8"/>
    <x v="7"/>
    <x v="0"/>
    <x v="35"/>
    <x v="191"/>
    <x v="102"/>
    <x v="77"/>
    <x v="14"/>
    <x v="13"/>
    <x v="0"/>
    <s v="Poor"/>
  </r>
  <r>
    <n v="548"/>
    <x v="547"/>
    <x v="0"/>
    <x v="0"/>
    <x v="8"/>
    <x v="18"/>
    <x v="28"/>
    <x v="200"/>
    <x v="30"/>
    <x v="40"/>
    <x v="14"/>
    <x v="10"/>
    <x v="0"/>
    <s v="Excellent"/>
  </r>
  <r>
    <n v="549"/>
    <x v="548"/>
    <x v="2"/>
    <x v="3"/>
    <x v="9"/>
    <x v="27"/>
    <x v="35"/>
    <x v="83"/>
    <x v="29"/>
    <x v="21"/>
    <x v="17"/>
    <x v="36"/>
    <x v="2"/>
    <s v="Poor"/>
  </r>
  <r>
    <n v="550"/>
    <x v="549"/>
    <x v="1"/>
    <x v="2"/>
    <x v="3"/>
    <x v="1"/>
    <x v="28"/>
    <x v="64"/>
    <x v="22"/>
    <x v="19"/>
    <x v="16"/>
    <x v="22"/>
    <x v="2"/>
    <s v="Excellent"/>
  </r>
  <r>
    <n v="551"/>
    <x v="550"/>
    <x v="5"/>
    <x v="7"/>
    <x v="5"/>
    <x v="16"/>
    <x v="19"/>
    <x v="43"/>
    <x v="36"/>
    <x v="24"/>
    <x v="15"/>
    <x v="7"/>
    <x v="2"/>
    <s v="Poor"/>
  </r>
  <r>
    <n v="552"/>
    <x v="551"/>
    <x v="1"/>
    <x v="4"/>
    <x v="3"/>
    <x v="7"/>
    <x v="24"/>
    <x v="50"/>
    <x v="42"/>
    <x v="33"/>
    <x v="3"/>
    <x v="36"/>
    <x v="2"/>
    <s v="Poor"/>
  </r>
  <r>
    <n v="553"/>
    <x v="552"/>
    <x v="4"/>
    <x v="4"/>
    <x v="0"/>
    <x v="23"/>
    <x v="10"/>
    <x v="54"/>
    <x v="7"/>
    <x v="63"/>
    <x v="15"/>
    <x v="33"/>
    <x v="0"/>
    <s v="Good"/>
  </r>
  <r>
    <n v="554"/>
    <x v="553"/>
    <x v="0"/>
    <x v="8"/>
    <x v="3"/>
    <x v="0"/>
    <x v="31"/>
    <x v="91"/>
    <x v="2"/>
    <x v="21"/>
    <x v="3"/>
    <x v="29"/>
    <x v="2"/>
    <s v="Average"/>
  </r>
  <r>
    <n v="555"/>
    <x v="554"/>
    <x v="4"/>
    <x v="3"/>
    <x v="6"/>
    <x v="0"/>
    <x v="37"/>
    <x v="158"/>
    <x v="42"/>
    <x v="0"/>
    <x v="2"/>
    <x v="36"/>
    <x v="0"/>
    <s v="Average"/>
  </r>
  <r>
    <n v="556"/>
    <x v="555"/>
    <x v="2"/>
    <x v="7"/>
    <x v="6"/>
    <x v="27"/>
    <x v="14"/>
    <x v="141"/>
    <x v="121"/>
    <x v="90"/>
    <x v="52"/>
    <x v="0"/>
    <x v="0"/>
    <s v="Poor"/>
  </r>
  <r>
    <n v="557"/>
    <x v="556"/>
    <x v="1"/>
    <x v="0"/>
    <x v="5"/>
    <x v="5"/>
    <x v="18"/>
    <x v="137"/>
    <x v="104"/>
    <x v="42"/>
    <x v="9"/>
    <x v="25"/>
    <x v="0"/>
    <s v="Poor"/>
  </r>
  <r>
    <n v="558"/>
    <x v="557"/>
    <x v="4"/>
    <x v="2"/>
    <x v="3"/>
    <x v="23"/>
    <x v="26"/>
    <x v="153"/>
    <x v="45"/>
    <x v="48"/>
    <x v="26"/>
    <x v="30"/>
    <x v="0"/>
    <s v="Poor"/>
  </r>
  <r>
    <n v="559"/>
    <x v="558"/>
    <x v="3"/>
    <x v="3"/>
    <x v="1"/>
    <x v="24"/>
    <x v="40"/>
    <x v="24"/>
    <x v="43"/>
    <x v="21"/>
    <x v="16"/>
    <x v="10"/>
    <x v="2"/>
    <s v="Good"/>
  </r>
  <r>
    <n v="560"/>
    <x v="559"/>
    <x v="4"/>
    <x v="2"/>
    <x v="9"/>
    <x v="14"/>
    <x v="33"/>
    <x v="120"/>
    <x v="93"/>
    <x v="10"/>
    <x v="2"/>
    <x v="3"/>
    <x v="0"/>
    <s v="Average"/>
  </r>
  <r>
    <n v="561"/>
    <x v="560"/>
    <x v="2"/>
    <x v="3"/>
    <x v="1"/>
    <x v="2"/>
    <x v="37"/>
    <x v="119"/>
    <x v="4"/>
    <x v="0"/>
    <x v="3"/>
    <x v="5"/>
    <x v="2"/>
    <s v="Average"/>
  </r>
  <r>
    <n v="562"/>
    <x v="561"/>
    <x v="3"/>
    <x v="5"/>
    <x v="6"/>
    <x v="4"/>
    <x v="17"/>
    <x v="201"/>
    <x v="123"/>
    <x v="91"/>
    <x v="56"/>
    <x v="8"/>
    <x v="3"/>
    <s v="Good"/>
  </r>
  <r>
    <n v="563"/>
    <x v="562"/>
    <x v="5"/>
    <x v="3"/>
    <x v="1"/>
    <x v="31"/>
    <x v="15"/>
    <x v="157"/>
    <x v="9"/>
    <x v="55"/>
    <x v="8"/>
    <x v="19"/>
    <x v="0"/>
    <s v="Average"/>
  </r>
  <r>
    <n v="564"/>
    <x v="563"/>
    <x v="0"/>
    <x v="6"/>
    <x v="1"/>
    <x v="18"/>
    <x v="34"/>
    <x v="101"/>
    <x v="30"/>
    <x v="63"/>
    <x v="5"/>
    <x v="63"/>
    <x v="0"/>
    <s v="Poor"/>
  </r>
  <r>
    <n v="565"/>
    <x v="564"/>
    <x v="5"/>
    <x v="2"/>
    <x v="5"/>
    <x v="26"/>
    <x v="10"/>
    <x v="137"/>
    <x v="76"/>
    <x v="10"/>
    <x v="9"/>
    <x v="63"/>
    <x v="0"/>
    <s v="Good"/>
  </r>
  <r>
    <n v="566"/>
    <x v="565"/>
    <x v="5"/>
    <x v="0"/>
    <x v="5"/>
    <x v="21"/>
    <x v="43"/>
    <x v="123"/>
    <x v="41"/>
    <x v="43"/>
    <x v="3"/>
    <x v="35"/>
    <x v="2"/>
    <s v="Poor"/>
  </r>
  <r>
    <n v="567"/>
    <x v="566"/>
    <x v="4"/>
    <x v="9"/>
    <x v="3"/>
    <x v="18"/>
    <x v="4"/>
    <x v="202"/>
    <x v="64"/>
    <x v="65"/>
    <x v="42"/>
    <x v="32"/>
    <x v="0"/>
    <s v="Good"/>
  </r>
  <r>
    <n v="568"/>
    <x v="567"/>
    <x v="6"/>
    <x v="8"/>
    <x v="6"/>
    <x v="23"/>
    <x v="42"/>
    <x v="8"/>
    <x v="6"/>
    <x v="22"/>
    <x v="9"/>
    <x v="30"/>
    <x v="0"/>
    <s v="Poor"/>
  </r>
  <r>
    <n v="569"/>
    <x v="568"/>
    <x v="2"/>
    <x v="7"/>
    <x v="3"/>
    <x v="29"/>
    <x v="7"/>
    <x v="11"/>
    <x v="77"/>
    <x v="11"/>
    <x v="10"/>
    <x v="36"/>
    <x v="0"/>
    <s v="Good"/>
  </r>
  <r>
    <n v="570"/>
    <x v="569"/>
    <x v="2"/>
    <x v="4"/>
    <x v="5"/>
    <x v="12"/>
    <x v="29"/>
    <x v="203"/>
    <x v="88"/>
    <x v="61"/>
    <x v="43"/>
    <x v="64"/>
    <x v="3"/>
    <s v="Good"/>
  </r>
  <r>
    <n v="571"/>
    <x v="570"/>
    <x v="5"/>
    <x v="6"/>
    <x v="0"/>
    <x v="26"/>
    <x v="38"/>
    <x v="204"/>
    <x v="46"/>
    <x v="40"/>
    <x v="41"/>
    <x v="30"/>
    <x v="0"/>
    <s v="Excellent"/>
  </r>
  <r>
    <n v="572"/>
    <x v="571"/>
    <x v="3"/>
    <x v="2"/>
    <x v="0"/>
    <x v="14"/>
    <x v="24"/>
    <x v="61"/>
    <x v="2"/>
    <x v="21"/>
    <x v="16"/>
    <x v="22"/>
    <x v="2"/>
    <s v="Poor"/>
  </r>
  <r>
    <n v="573"/>
    <x v="572"/>
    <x v="1"/>
    <x v="3"/>
    <x v="5"/>
    <x v="11"/>
    <x v="30"/>
    <x v="197"/>
    <x v="14"/>
    <x v="5"/>
    <x v="10"/>
    <x v="5"/>
    <x v="0"/>
    <s v="Average"/>
  </r>
  <r>
    <n v="574"/>
    <x v="573"/>
    <x v="6"/>
    <x v="4"/>
    <x v="3"/>
    <x v="7"/>
    <x v="12"/>
    <x v="97"/>
    <x v="57"/>
    <x v="20"/>
    <x v="19"/>
    <x v="36"/>
    <x v="2"/>
    <s v="Good"/>
  </r>
  <r>
    <n v="575"/>
    <x v="574"/>
    <x v="3"/>
    <x v="2"/>
    <x v="1"/>
    <x v="10"/>
    <x v="38"/>
    <x v="194"/>
    <x v="39"/>
    <x v="63"/>
    <x v="34"/>
    <x v="33"/>
    <x v="0"/>
    <s v="Excellent"/>
  </r>
  <r>
    <n v="576"/>
    <x v="575"/>
    <x v="4"/>
    <x v="7"/>
    <x v="0"/>
    <x v="9"/>
    <x v="0"/>
    <x v="123"/>
    <x v="69"/>
    <x v="38"/>
    <x v="15"/>
    <x v="19"/>
    <x v="2"/>
    <s v="Excellent"/>
  </r>
  <r>
    <n v="577"/>
    <x v="576"/>
    <x v="5"/>
    <x v="4"/>
    <x v="5"/>
    <x v="31"/>
    <x v="33"/>
    <x v="200"/>
    <x v="23"/>
    <x v="22"/>
    <x v="27"/>
    <x v="21"/>
    <x v="0"/>
    <s v="Average"/>
  </r>
  <r>
    <n v="578"/>
    <x v="577"/>
    <x v="6"/>
    <x v="3"/>
    <x v="0"/>
    <x v="7"/>
    <x v="15"/>
    <x v="5"/>
    <x v="4"/>
    <x v="0"/>
    <x v="5"/>
    <x v="3"/>
    <x v="0"/>
    <s v="Average"/>
  </r>
  <r>
    <n v="579"/>
    <x v="578"/>
    <x v="4"/>
    <x v="9"/>
    <x v="0"/>
    <x v="9"/>
    <x v="42"/>
    <x v="50"/>
    <x v="69"/>
    <x v="0"/>
    <x v="8"/>
    <x v="36"/>
    <x v="2"/>
    <s v="Poor"/>
  </r>
  <r>
    <n v="580"/>
    <x v="579"/>
    <x v="0"/>
    <x v="1"/>
    <x v="1"/>
    <x v="22"/>
    <x v="39"/>
    <x v="48"/>
    <x v="43"/>
    <x v="2"/>
    <x v="17"/>
    <x v="29"/>
    <x v="2"/>
    <s v="Poor"/>
  </r>
  <r>
    <n v="581"/>
    <x v="580"/>
    <x v="4"/>
    <x v="4"/>
    <x v="5"/>
    <x v="19"/>
    <x v="25"/>
    <x v="36"/>
    <x v="50"/>
    <x v="43"/>
    <x v="17"/>
    <x v="33"/>
    <x v="2"/>
    <s v="Average"/>
  </r>
  <r>
    <n v="582"/>
    <x v="581"/>
    <x v="5"/>
    <x v="2"/>
    <x v="4"/>
    <x v="10"/>
    <x v="42"/>
    <x v="116"/>
    <x v="24"/>
    <x v="28"/>
    <x v="16"/>
    <x v="29"/>
    <x v="2"/>
    <s v="Poor"/>
  </r>
  <r>
    <n v="583"/>
    <x v="582"/>
    <x v="1"/>
    <x v="0"/>
    <x v="0"/>
    <x v="6"/>
    <x v="33"/>
    <x v="92"/>
    <x v="42"/>
    <x v="58"/>
    <x v="17"/>
    <x v="5"/>
    <x v="0"/>
    <s v="Average"/>
  </r>
  <r>
    <n v="584"/>
    <x v="583"/>
    <x v="4"/>
    <x v="1"/>
    <x v="0"/>
    <x v="17"/>
    <x v="42"/>
    <x v="10"/>
    <x v="61"/>
    <x v="0"/>
    <x v="10"/>
    <x v="7"/>
    <x v="0"/>
    <s v="Poor"/>
  </r>
  <r>
    <n v="585"/>
    <x v="584"/>
    <x v="6"/>
    <x v="8"/>
    <x v="6"/>
    <x v="9"/>
    <x v="21"/>
    <x v="42"/>
    <x v="47"/>
    <x v="28"/>
    <x v="3"/>
    <x v="18"/>
    <x v="2"/>
    <s v="Poor"/>
  </r>
  <r>
    <n v="586"/>
    <x v="585"/>
    <x v="4"/>
    <x v="2"/>
    <x v="9"/>
    <x v="0"/>
    <x v="18"/>
    <x v="51"/>
    <x v="72"/>
    <x v="38"/>
    <x v="17"/>
    <x v="0"/>
    <x v="0"/>
    <s v="Poor"/>
  </r>
  <r>
    <n v="587"/>
    <x v="586"/>
    <x v="6"/>
    <x v="8"/>
    <x v="4"/>
    <x v="7"/>
    <x v="33"/>
    <x v="42"/>
    <x v="47"/>
    <x v="28"/>
    <x v="16"/>
    <x v="29"/>
    <x v="2"/>
    <s v="Average"/>
  </r>
  <r>
    <n v="588"/>
    <x v="587"/>
    <x v="3"/>
    <x v="8"/>
    <x v="7"/>
    <x v="10"/>
    <x v="43"/>
    <x v="205"/>
    <x v="124"/>
    <x v="90"/>
    <x v="51"/>
    <x v="25"/>
    <x v="3"/>
    <s v="Poor"/>
  </r>
  <r>
    <n v="589"/>
    <x v="588"/>
    <x v="6"/>
    <x v="9"/>
    <x v="1"/>
    <x v="6"/>
    <x v="11"/>
    <x v="22"/>
    <x v="25"/>
    <x v="19"/>
    <x v="2"/>
    <x v="18"/>
    <x v="2"/>
    <s v="Average"/>
  </r>
  <r>
    <n v="590"/>
    <x v="589"/>
    <x v="1"/>
    <x v="2"/>
    <x v="6"/>
    <x v="1"/>
    <x v="37"/>
    <x v="206"/>
    <x v="98"/>
    <x v="34"/>
    <x v="8"/>
    <x v="40"/>
    <x v="0"/>
    <s v="Average"/>
  </r>
  <r>
    <n v="591"/>
    <x v="590"/>
    <x v="3"/>
    <x v="5"/>
    <x v="4"/>
    <x v="10"/>
    <x v="16"/>
    <x v="207"/>
    <x v="125"/>
    <x v="72"/>
    <x v="52"/>
    <x v="13"/>
    <x v="3"/>
    <s v="Excellent"/>
  </r>
  <r>
    <n v="592"/>
    <x v="591"/>
    <x v="5"/>
    <x v="6"/>
    <x v="8"/>
    <x v="21"/>
    <x v="13"/>
    <x v="11"/>
    <x v="65"/>
    <x v="3"/>
    <x v="39"/>
    <x v="30"/>
    <x v="0"/>
    <s v="Good"/>
  </r>
  <r>
    <n v="593"/>
    <x v="592"/>
    <x v="0"/>
    <x v="4"/>
    <x v="7"/>
    <x v="17"/>
    <x v="9"/>
    <x v="120"/>
    <x v="23"/>
    <x v="22"/>
    <x v="15"/>
    <x v="36"/>
    <x v="0"/>
    <s v="Excellent"/>
  </r>
  <r>
    <n v="594"/>
    <x v="593"/>
    <x v="5"/>
    <x v="9"/>
    <x v="5"/>
    <x v="25"/>
    <x v="8"/>
    <x v="208"/>
    <x v="126"/>
    <x v="87"/>
    <x v="52"/>
    <x v="25"/>
    <x v="3"/>
    <s v="Excellent"/>
  </r>
  <r>
    <n v="595"/>
    <x v="594"/>
    <x v="5"/>
    <x v="5"/>
    <x v="4"/>
    <x v="25"/>
    <x v="22"/>
    <x v="123"/>
    <x v="36"/>
    <x v="9"/>
    <x v="15"/>
    <x v="3"/>
    <x v="2"/>
    <s v="Average"/>
  </r>
  <r>
    <n v="596"/>
    <x v="595"/>
    <x v="3"/>
    <x v="3"/>
    <x v="3"/>
    <x v="24"/>
    <x v="15"/>
    <x v="209"/>
    <x v="82"/>
    <x v="53"/>
    <x v="43"/>
    <x v="22"/>
    <x v="0"/>
    <s v="Average"/>
  </r>
  <r>
    <n v="597"/>
    <x v="596"/>
    <x v="6"/>
    <x v="6"/>
    <x v="8"/>
    <x v="11"/>
    <x v="2"/>
    <x v="145"/>
    <x v="104"/>
    <x v="55"/>
    <x v="27"/>
    <x v="2"/>
    <x v="0"/>
    <s v="Excellent"/>
  </r>
  <r>
    <n v="598"/>
    <x v="597"/>
    <x v="6"/>
    <x v="4"/>
    <x v="1"/>
    <x v="1"/>
    <x v="15"/>
    <x v="47"/>
    <x v="21"/>
    <x v="12"/>
    <x v="3"/>
    <x v="18"/>
    <x v="2"/>
    <s v="Average"/>
  </r>
  <r>
    <n v="599"/>
    <x v="598"/>
    <x v="6"/>
    <x v="0"/>
    <x v="4"/>
    <x v="6"/>
    <x v="6"/>
    <x v="47"/>
    <x v="21"/>
    <x v="28"/>
    <x v="19"/>
    <x v="22"/>
    <x v="2"/>
    <s v="Good"/>
  </r>
  <r>
    <n v="600"/>
    <x v="599"/>
    <x v="0"/>
    <x v="1"/>
    <x v="2"/>
    <x v="17"/>
    <x v="33"/>
    <x v="52"/>
    <x v="19"/>
    <x v="33"/>
    <x v="5"/>
    <x v="33"/>
    <x v="0"/>
    <s v="Average"/>
  </r>
  <r>
    <n v="601"/>
    <x v="600"/>
    <x v="6"/>
    <x v="0"/>
    <x v="2"/>
    <x v="0"/>
    <x v="33"/>
    <x v="19"/>
    <x v="35"/>
    <x v="43"/>
    <x v="15"/>
    <x v="22"/>
    <x v="2"/>
    <s v="Average"/>
  </r>
  <r>
    <n v="602"/>
    <x v="601"/>
    <x v="4"/>
    <x v="9"/>
    <x v="2"/>
    <x v="14"/>
    <x v="6"/>
    <x v="71"/>
    <x v="56"/>
    <x v="42"/>
    <x v="9"/>
    <x v="25"/>
    <x v="0"/>
    <s v="Good"/>
  </r>
  <r>
    <n v="603"/>
    <x v="602"/>
    <x v="0"/>
    <x v="2"/>
    <x v="2"/>
    <x v="19"/>
    <x v="12"/>
    <x v="210"/>
    <x v="54"/>
    <x v="7"/>
    <x v="39"/>
    <x v="18"/>
    <x v="0"/>
    <s v="Good"/>
  </r>
  <r>
    <n v="604"/>
    <x v="603"/>
    <x v="4"/>
    <x v="2"/>
    <x v="0"/>
    <x v="17"/>
    <x v="42"/>
    <x v="157"/>
    <x v="75"/>
    <x v="35"/>
    <x v="5"/>
    <x v="19"/>
    <x v="0"/>
    <s v="Poor"/>
  </r>
  <r>
    <n v="605"/>
    <x v="604"/>
    <x v="5"/>
    <x v="8"/>
    <x v="2"/>
    <x v="10"/>
    <x v="35"/>
    <x v="48"/>
    <x v="25"/>
    <x v="24"/>
    <x v="16"/>
    <x v="29"/>
    <x v="2"/>
    <s v="Poor"/>
  </r>
  <r>
    <n v="606"/>
    <x v="605"/>
    <x v="4"/>
    <x v="4"/>
    <x v="7"/>
    <x v="23"/>
    <x v="3"/>
    <x v="0"/>
    <x v="14"/>
    <x v="22"/>
    <x v="17"/>
    <x v="9"/>
    <x v="0"/>
    <s v="Excellent"/>
  </r>
  <r>
    <n v="607"/>
    <x v="606"/>
    <x v="0"/>
    <x v="9"/>
    <x v="0"/>
    <x v="19"/>
    <x v="8"/>
    <x v="179"/>
    <x v="93"/>
    <x v="10"/>
    <x v="35"/>
    <x v="8"/>
    <x v="0"/>
    <s v="Excellent"/>
  </r>
  <r>
    <n v="608"/>
    <x v="607"/>
    <x v="4"/>
    <x v="5"/>
    <x v="2"/>
    <x v="22"/>
    <x v="22"/>
    <x v="97"/>
    <x v="57"/>
    <x v="28"/>
    <x v="19"/>
    <x v="17"/>
    <x v="2"/>
    <s v="Average"/>
  </r>
  <r>
    <n v="609"/>
    <x v="608"/>
    <x v="0"/>
    <x v="0"/>
    <x v="4"/>
    <x v="14"/>
    <x v="31"/>
    <x v="77"/>
    <x v="22"/>
    <x v="29"/>
    <x v="2"/>
    <x v="22"/>
    <x v="2"/>
    <s v="Average"/>
  </r>
  <r>
    <n v="610"/>
    <x v="609"/>
    <x v="2"/>
    <x v="6"/>
    <x v="7"/>
    <x v="12"/>
    <x v="30"/>
    <x v="84"/>
    <x v="119"/>
    <x v="26"/>
    <x v="35"/>
    <x v="6"/>
    <x v="0"/>
    <s v="Average"/>
  </r>
  <r>
    <n v="611"/>
    <x v="610"/>
    <x v="5"/>
    <x v="0"/>
    <x v="7"/>
    <x v="21"/>
    <x v="11"/>
    <x v="102"/>
    <x v="95"/>
    <x v="34"/>
    <x v="26"/>
    <x v="17"/>
    <x v="0"/>
    <s v="Average"/>
  </r>
  <r>
    <n v="612"/>
    <x v="611"/>
    <x v="0"/>
    <x v="4"/>
    <x v="7"/>
    <x v="23"/>
    <x v="14"/>
    <x v="99"/>
    <x v="127"/>
    <x v="73"/>
    <x v="34"/>
    <x v="15"/>
    <x v="0"/>
    <s v="Poor"/>
  </r>
  <r>
    <n v="613"/>
    <x v="612"/>
    <x v="5"/>
    <x v="3"/>
    <x v="1"/>
    <x v="25"/>
    <x v="42"/>
    <x v="104"/>
    <x v="23"/>
    <x v="22"/>
    <x v="17"/>
    <x v="22"/>
    <x v="0"/>
    <s v="Poor"/>
  </r>
  <r>
    <n v="614"/>
    <x v="613"/>
    <x v="0"/>
    <x v="7"/>
    <x v="0"/>
    <x v="0"/>
    <x v="35"/>
    <x v="62"/>
    <x v="36"/>
    <x v="9"/>
    <x v="8"/>
    <x v="19"/>
    <x v="2"/>
    <s v="Poor"/>
  </r>
  <r>
    <n v="615"/>
    <x v="614"/>
    <x v="6"/>
    <x v="9"/>
    <x v="9"/>
    <x v="7"/>
    <x v="24"/>
    <x v="82"/>
    <x v="35"/>
    <x v="2"/>
    <x v="2"/>
    <x v="10"/>
    <x v="2"/>
    <s v="Poor"/>
  </r>
  <r>
    <n v="616"/>
    <x v="615"/>
    <x v="4"/>
    <x v="1"/>
    <x v="1"/>
    <x v="20"/>
    <x v="12"/>
    <x v="95"/>
    <x v="97"/>
    <x v="59"/>
    <x v="38"/>
    <x v="17"/>
    <x v="2"/>
    <s v="Good"/>
  </r>
  <r>
    <n v="617"/>
    <x v="616"/>
    <x v="1"/>
    <x v="7"/>
    <x v="4"/>
    <x v="3"/>
    <x v="30"/>
    <x v="211"/>
    <x v="128"/>
    <x v="92"/>
    <x v="37"/>
    <x v="18"/>
    <x v="3"/>
    <s v="Average"/>
  </r>
  <r>
    <n v="618"/>
    <x v="617"/>
    <x v="2"/>
    <x v="5"/>
    <x v="1"/>
    <x v="12"/>
    <x v="21"/>
    <x v="152"/>
    <x v="129"/>
    <x v="23"/>
    <x v="21"/>
    <x v="65"/>
    <x v="0"/>
    <s v="Poor"/>
  </r>
  <r>
    <n v="619"/>
    <x v="618"/>
    <x v="3"/>
    <x v="4"/>
    <x v="5"/>
    <x v="14"/>
    <x v="42"/>
    <x v="119"/>
    <x v="80"/>
    <x v="0"/>
    <x v="17"/>
    <x v="19"/>
    <x v="2"/>
    <s v="Poor"/>
  </r>
  <r>
    <n v="620"/>
    <x v="619"/>
    <x v="0"/>
    <x v="4"/>
    <x v="4"/>
    <x v="0"/>
    <x v="25"/>
    <x v="212"/>
    <x v="130"/>
    <x v="75"/>
    <x v="50"/>
    <x v="32"/>
    <x v="3"/>
    <s v="Average"/>
  </r>
  <r>
    <n v="621"/>
    <x v="620"/>
    <x v="1"/>
    <x v="9"/>
    <x v="9"/>
    <x v="6"/>
    <x v="10"/>
    <x v="79"/>
    <x v="131"/>
    <x v="75"/>
    <x v="27"/>
    <x v="66"/>
    <x v="3"/>
    <s v="Good"/>
  </r>
  <r>
    <n v="622"/>
    <x v="621"/>
    <x v="0"/>
    <x v="5"/>
    <x v="7"/>
    <x v="0"/>
    <x v="2"/>
    <x v="150"/>
    <x v="39"/>
    <x v="33"/>
    <x v="25"/>
    <x v="23"/>
    <x v="0"/>
    <s v="Excellent"/>
  </r>
  <r>
    <n v="623"/>
    <x v="622"/>
    <x v="0"/>
    <x v="3"/>
    <x v="4"/>
    <x v="18"/>
    <x v="10"/>
    <x v="107"/>
    <x v="22"/>
    <x v="19"/>
    <x v="3"/>
    <x v="0"/>
    <x v="2"/>
    <s v="Good"/>
  </r>
  <r>
    <n v="624"/>
    <x v="623"/>
    <x v="1"/>
    <x v="2"/>
    <x v="0"/>
    <x v="8"/>
    <x v="25"/>
    <x v="100"/>
    <x v="80"/>
    <x v="29"/>
    <x v="5"/>
    <x v="3"/>
    <x v="0"/>
    <s v="Average"/>
  </r>
  <r>
    <n v="625"/>
    <x v="624"/>
    <x v="3"/>
    <x v="3"/>
    <x v="2"/>
    <x v="14"/>
    <x v="40"/>
    <x v="204"/>
    <x v="132"/>
    <x v="82"/>
    <x v="33"/>
    <x v="9"/>
    <x v="0"/>
    <s v="Good"/>
  </r>
  <r>
    <n v="626"/>
    <x v="625"/>
    <x v="2"/>
    <x v="6"/>
    <x v="3"/>
    <x v="29"/>
    <x v="41"/>
    <x v="48"/>
    <x v="21"/>
    <x v="21"/>
    <x v="3"/>
    <x v="10"/>
    <x v="2"/>
    <s v="Poor"/>
  </r>
  <r>
    <n v="627"/>
    <x v="626"/>
    <x v="5"/>
    <x v="7"/>
    <x v="0"/>
    <x v="25"/>
    <x v="13"/>
    <x v="72"/>
    <x v="57"/>
    <x v="41"/>
    <x v="16"/>
    <x v="18"/>
    <x v="2"/>
    <s v="Good"/>
  </r>
  <r>
    <n v="628"/>
    <x v="627"/>
    <x v="4"/>
    <x v="6"/>
    <x v="5"/>
    <x v="22"/>
    <x v="24"/>
    <x v="57"/>
    <x v="9"/>
    <x v="58"/>
    <x v="2"/>
    <x v="25"/>
    <x v="0"/>
    <s v="Poor"/>
  </r>
  <r>
    <n v="629"/>
    <x v="628"/>
    <x v="3"/>
    <x v="8"/>
    <x v="6"/>
    <x v="28"/>
    <x v="29"/>
    <x v="40"/>
    <x v="21"/>
    <x v="19"/>
    <x v="17"/>
    <x v="36"/>
    <x v="2"/>
    <s v="Good"/>
  </r>
  <r>
    <n v="630"/>
    <x v="629"/>
    <x v="1"/>
    <x v="7"/>
    <x v="1"/>
    <x v="3"/>
    <x v="36"/>
    <x v="13"/>
    <x v="35"/>
    <x v="12"/>
    <x v="19"/>
    <x v="7"/>
    <x v="2"/>
    <s v="Average"/>
  </r>
  <r>
    <n v="631"/>
    <x v="630"/>
    <x v="4"/>
    <x v="4"/>
    <x v="0"/>
    <x v="22"/>
    <x v="16"/>
    <x v="77"/>
    <x v="18"/>
    <x v="29"/>
    <x v="8"/>
    <x v="18"/>
    <x v="2"/>
    <s v="Excellent"/>
  </r>
  <r>
    <n v="632"/>
    <x v="631"/>
    <x v="6"/>
    <x v="5"/>
    <x v="1"/>
    <x v="1"/>
    <x v="10"/>
    <x v="70"/>
    <x v="22"/>
    <x v="18"/>
    <x v="8"/>
    <x v="19"/>
    <x v="2"/>
    <s v="Good"/>
  </r>
  <r>
    <n v="633"/>
    <x v="632"/>
    <x v="5"/>
    <x v="9"/>
    <x v="3"/>
    <x v="26"/>
    <x v="26"/>
    <x v="58"/>
    <x v="48"/>
    <x v="41"/>
    <x v="19"/>
    <x v="18"/>
    <x v="2"/>
    <s v="Poor"/>
  </r>
  <r>
    <n v="634"/>
    <x v="633"/>
    <x v="2"/>
    <x v="1"/>
    <x v="9"/>
    <x v="27"/>
    <x v="37"/>
    <x v="7"/>
    <x v="63"/>
    <x v="84"/>
    <x v="39"/>
    <x v="33"/>
    <x v="0"/>
    <s v="Average"/>
  </r>
  <r>
    <n v="635"/>
    <x v="634"/>
    <x v="0"/>
    <x v="3"/>
    <x v="9"/>
    <x v="0"/>
    <x v="23"/>
    <x v="160"/>
    <x v="75"/>
    <x v="48"/>
    <x v="2"/>
    <x v="26"/>
    <x v="0"/>
    <s v="Poor"/>
  </r>
  <r>
    <n v="636"/>
    <x v="635"/>
    <x v="1"/>
    <x v="6"/>
    <x v="6"/>
    <x v="3"/>
    <x v="21"/>
    <x v="40"/>
    <x v="21"/>
    <x v="19"/>
    <x v="3"/>
    <x v="22"/>
    <x v="2"/>
    <s v="Poor"/>
  </r>
  <r>
    <n v="637"/>
    <x v="636"/>
    <x v="6"/>
    <x v="1"/>
    <x v="2"/>
    <x v="9"/>
    <x v="27"/>
    <x v="42"/>
    <x v="24"/>
    <x v="28"/>
    <x v="19"/>
    <x v="36"/>
    <x v="2"/>
    <s v="Poor"/>
  </r>
  <r>
    <n v="638"/>
    <x v="637"/>
    <x v="5"/>
    <x v="6"/>
    <x v="7"/>
    <x v="16"/>
    <x v="0"/>
    <x v="188"/>
    <x v="73"/>
    <x v="47"/>
    <x v="26"/>
    <x v="21"/>
    <x v="0"/>
    <s v="Excellent"/>
  </r>
  <r>
    <n v="639"/>
    <x v="638"/>
    <x v="3"/>
    <x v="2"/>
    <x v="6"/>
    <x v="20"/>
    <x v="37"/>
    <x v="136"/>
    <x v="67"/>
    <x v="93"/>
    <x v="39"/>
    <x v="56"/>
    <x v="3"/>
    <s v="Average"/>
  </r>
  <r>
    <n v="640"/>
    <x v="639"/>
    <x v="0"/>
    <x v="3"/>
    <x v="5"/>
    <x v="23"/>
    <x v="40"/>
    <x v="109"/>
    <x v="15"/>
    <x v="67"/>
    <x v="34"/>
    <x v="67"/>
    <x v="0"/>
    <s v="Good"/>
  </r>
  <r>
    <n v="641"/>
    <x v="640"/>
    <x v="4"/>
    <x v="1"/>
    <x v="6"/>
    <x v="22"/>
    <x v="40"/>
    <x v="41"/>
    <x v="93"/>
    <x v="42"/>
    <x v="21"/>
    <x v="36"/>
    <x v="0"/>
    <s v="Good"/>
  </r>
  <r>
    <n v="642"/>
    <x v="641"/>
    <x v="6"/>
    <x v="1"/>
    <x v="1"/>
    <x v="8"/>
    <x v="24"/>
    <x v="92"/>
    <x v="4"/>
    <x v="38"/>
    <x v="8"/>
    <x v="12"/>
    <x v="0"/>
    <s v="Poor"/>
  </r>
  <r>
    <n v="643"/>
    <x v="642"/>
    <x v="6"/>
    <x v="4"/>
    <x v="1"/>
    <x v="0"/>
    <x v="0"/>
    <x v="21"/>
    <x v="20"/>
    <x v="20"/>
    <x v="16"/>
    <x v="18"/>
    <x v="2"/>
    <s v="Excellent"/>
  </r>
  <r>
    <n v="644"/>
    <x v="643"/>
    <x v="0"/>
    <x v="0"/>
    <x v="4"/>
    <x v="23"/>
    <x v="14"/>
    <x v="137"/>
    <x v="74"/>
    <x v="34"/>
    <x v="26"/>
    <x v="9"/>
    <x v="0"/>
    <s v="Poor"/>
  </r>
  <r>
    <n v="645"/>
    <x v="644"/>
    <x v="4"/>
    <x v="1"/>
    <x v="2"/>
    <x v="23"/>
    <x v="23"/>
    <x v="27"/>
    <x v="38"/>
    <x v="21"/>
    <x v="19"/>
    <x v="17"/>
    <x v="2"/>
    <s v="Poor"/>
  </r>
  <r>
    <n v="646"/>
    <x v="645"/>
    <x v="2"/>
    <x v="5"/>
    <x v="5"/>
    <x v="2"/>
    <x v="15"/>
    <x v="194"/>
    <x v="49"/>
    <x v="0"/>
    <x v="34"/>
    <x v="25"/>
    <x v="0"/>
    <s v="Average"/>
  </r>
  <r>
    <n v="647"/>
    <x v="646"/>
    <x v="2"/>
    <x v="5"/>
    <x v="4"/>
    <x v="2"/>
    <x v="35"/>
    <x v="213"/>
    <x v="133"/>
    <x v="94"/>
    <x v="56"/>
    <x v="68"/>
    <x v="1"/>
    <s v="Poor"/>
  </r>
  <r>
    <n v="648"/>
    <x v="647"/>
    <x v="6"/>
    <x v="7"/>
    <x v="4"/>
    <x v="9"/>
    <x v="29"/>
    <x v="83"/>
    <x v="21"/>
    <x v="12"/>
    <x v="3"/>
    <x v="17"/>
    <x v="2"/>
    <s v="Good"/>
  </r>
  <r>
    <n v="649"/>
    <x v="648"/>
    <x v="4"/>
    <x v="8"/>
    <x v="9"/>
    <x v="11"/>
    <x v="15"/>
    <x v="21"/>
    <x v="20"/>
    <x v="20"/>
    <x v="16"/>
    <x v="18"/>
    <x v="2"/>
    <s v="Average"/>
  </r>
  <r>
    <n v="650"/>
    <x v="649"/>
    <x v="2"/>
    <x v="5"/>
    <x v="5"/>
    <x v="27"/>
    <x v="8"/>
    <x v="113"/>
    <x v="57"/>
    <x v="41"/>
    <x v="19"/>
    <x v="17"/>
    <x v="2"/>
    <s v="Excellent"/>
  </r>
  <r>
    <n v="651"/>
    <x v="650"/>
    <x v="1"/>
    <x v="2"/>
    <x v="1"/>
    <x v="11"/>
    <x v="6"/>
    <x v="119"/>
    <x v="80"/>
    <x v="35"/>
    <x v="8"/>
    <x v="10"/>
    <x v="2"/>
    <s v="Good"/>
  </r>
  <r>
    <n v="652"/>
    <x v="651"/>
    <x v="6"/>
    <x v="6"/>
    <x v="9"/>
    <x v="6"/>
    <x v="7"/>
    <x v="100"/>
    <x v="4"/>
    <x v="38"/>
    <x v="8"/>
    <x v="33"/>
    <x v="0"/>
    <s v="Good"/>
  </r>
  <r>
    <n v="653"/>
    <x v="652"/>
    <x v="1"/>
    <x v="8"/>
    <x v="8"/>
    <x v="7"/>
    <x v="29"/>
    <x v="169"/>
    <x v="76"/>
    <x v="5"/>
    <x v="25"/>
    <x v="29"/>
    <x v="0"/>
    <s v="Good"/>
  </r>
  <r>
    <n v="654"/>
    <x v="653"/>
    <x v="2"/>
    <x v="4"/>
    <x v="5"/>
    <x v="29"/>
    <x v="9"/>
    <x v="63"/>
    <x v="35"/>
    <x v="19"/>
    <x v="17"/>
    <x v="3"/>
    <x v="2"/>
    <s v="Excellent"/>
  </r>
  <r>
    <n v="655"/>
    <x v="654"/>
    <x v="0"/>
    <x v="0"/>
    <x v="7"/>
    <x v="0"/>
    <x v="40"/>
    <x v="110"/>
    <x v="99"/>
    <x v="67"/>
    <x v="9"/>
    <x v="30"/>
    <x v="0"/>
    <s v="Good"/>
  </r>
  <r>
    <n v="656"/>
    <x v="655"/>
    <x v="0"/>
    <x v="0"/>
    <x v="2"/>
    <x v="17"/>
    <x v="15"/>
    <x v="18"/>
    <x v="96"/>
    <x v="84"/>
    <x v="18"/>
    <x v="3"/>
    <x v="0"/>
    <s v="Average"/>
  </r>
  <r>
    <n v="657"/>
    <x v="656"/>
    <x v="2"/>
    <x v="3"/>
    <x v="8"/>
    <x v="12"/>
    <x v="0"/>
    <x v="36"/>
    <x v="18"/>
    <x v="35"/>
    <x v="15"/>
    <x v="19"/>
    <x v="2"/>
    <s v="Excellent"/>
  </r>
  <r>
    <n v="658"/>
    <x v="657"/>
    <x v="1"/>
    <x v="5"/>
    <x v="2"/>
    <x v="8"/>
    <x v="39"/>
    <x v="211"/>
    <x v="105"/>
    <x v="95"/>
    <x v="30"/>
    <x v="2"/>
    <x v="3"/>
    <s v="Poor"/>
  </r>
  <r>
    <n v="659"/>
    <x v="658"/>
    <x v="6"/>
    <x v="8"/>
    <x v="5"/>
    <x v="7"/>
    <x v="19"/>
    <x v="214"/>
    <x v="54"/>
    <x v="96"/>
    <x v="7"/>
    <x v="36"/>
    <x v="0"/>
    <s v="Poor"/>
  </r>
  <r>
    <n v="660"/>
    <x v="659"/>
    <x v="6"/>
    <x v="8"/>
    <x v="1"/>
    <x v="1"/>
    <x v="41"/>
    <x v="160"/>
    <x v="75"/>
    <x v="60"/>
    <x v="34"/>
    <x v="2"/>
    <x v="0"/>
    <s v="Poor"/>
  </r>
  <r>
    <n v="661"/>
    <x v="660"/>
    <x v="2"/>
    <x v="2"/>
    <x v="8"/>
    <x v="30"/>
    <x v="12"/>
    <x v="165"/>
    <x v="98"/>
    <x v="22"/>
    <x v="8"/>
    <x v="11"/>
    <x v="0"/>
    <s v="Good"/>
  </r>
  <r>
    <n v="662"/>
    <x v="661"/>
    <x v="5"/>
    <x v="1"/>
    <x v="2"/>
    <x v="16"/>
    <x v="35"/>
    <x v="22"/>
    <x v="35"/>
    <x v="12"/>
    <x v="2"/>
    <x v="17"/>
    <x v="2"/>
    <s v="Poor"/>
  </r>
  <r>
    <n v="663"/>
    <x v="662"/>
    <x v="4"/>
    <x v="0"/>
    <x v="9"/>
    <x v="14"/>
    <x v="26"/>
    <x v="89"/>
    <x v="61"/>
    <x v="0"/>
    <x v="34"/>
    <x v="30"/>
    <x v="0"/>
    <s v="Poor"/>
  </r>
  <r>
    <n v="664"/>
    <x v="663"/>
    <x v="0"/>
    <x v="2"/>
    <x v="1"/>
    <x v="9"/>
    <x v="3"/>
    <x v="89"/>
    <x v="23"/>
    <x v="55"/>
    <x v="2"/>
    <x v="23"/>
    <x v="0"/>
    <s v="Excellent"/>
  </r>
  <r>
    <n v="665"/>
    <x v="664"/>
    <x v="5"/>
    <x v="7"/>
    <x v="8"/>
    <x v="21"/>
    <x v="6"/>
    <x v="119"/>
    <x v="8"/>
    <x v="33"/>
    <x v="8"/>
    <x v="2"/>
    <x v="2"/>
    <s v="Good"/>
  </r>
  <r>
    <n v="666"/>
    <x v="665"/>
    <x v="3"/>
    <x v="9"/>
    <x v="2"/>
    <x v="24"/>
    <x v="2"/>
    <x v="197"/>
    <x v="9"/>
    <x v="58"/>
    <x v="2"/>
    <x v="30"/>
    <x v="0"/>
    <s v="Excellent"/>
  </r>
  <r>
    <n v="667"/>
    <x v="666"/>
    <x v="3"/>
    <x v="4"/>
    <x v="8"/>
    <x v="4"/>
    <x v="24"/>
    <x v="8"/>
    <x v="55"/>
    <x v="22"/>
    <x v="14"/>
    <x v="32"/>
    <x v="0"/>
    <s v="Poor"/>
  </r>
  <r>
    <n v="668"/>
    <x v="667"/>
    <x v="0"/>
    <x v="4"/>
    <x v="3"/>
    <x v="22"/>
    <x v="4"/>
    <x v="43"/>
    <x v="36"/>
    <x v="24"/>
    <x v="16"/>
    <x v="33"/>
    <x v="2"/>
    <s v="Good"/>
  </r>
  <r>
    <n v="669"/>
    <x v="668"/>
    <x v="4"/>
    <x v="3"/>
    <x v="8"/>
    <x v="20"/>
    <x v="43"/>
    <x v="91"/>
    <x v="38"/>
    <x v="21"/>
    <x v="3"/>
    <x v="22"/>
    <x v="2"/>
    <s v="Poor"/>
  </r>
  <r>
    <n v="670"/>
    <x v="669"/>
    <x v="1"/>
    <x v="5"/>
    <x v="3"/>
    <x v="6"/>
    <x v="29"/>
    <x v="215"/>
    <x v="134"/>
    <x v="17"/>
    <x v="37"/>
    <x v="11"/>
    <x v="3"/>
    <s v="Good"/>
  </r>
  <r>
    <n v="671"/>
    <x v="670"/>
    <x v="2"/>
    <x v="0"/>
    <x v="1"/>
    <x v="30"/>
    <x v="16"/>
    <x v="17"/>
    <x v="82"/>
    <x v="27"/>
    <x v="10"/>
    <x v="14"/>
    <x v="0"/>
    <s v="Excellent"/>
  </r>
  <r>
    <n v="672"/>
    <x v="671"/>
    <x v="5"/>
    <x v="7"/>
    <x v="5"/>
    <x v="10"/>
    <x v="3"/>
    <x v="2"/>
    <x v="50"/>
    <x v="19"/>
    <x v="16"/>
    <x v="22"/>
    <x v="2"/>
    <s v="Excellent"/>
  </r>
  <r>
    <n v="673"/>
    <x v="672"/>
    <x v="1"/>
    <x v="5"/>
    <x v="0"/>
    <x v="1"/>
    <x v="26"/>
    <x v="216"/>
    <x v="135"/>
    <x v="90"/>
    <x v="50"/>
    <x v="20"/>
    <x v="3"/>
    <s v="Poor"/>
  </r>
  <r>
    <n v="674"/>
    <x v="673"/>
    <x v="4"/>
    <x v="5"/>
    <x v="6"/>
    <x v="18"/>
    <x v="39"/>
    <x v="120"/>
    <x v="61"/>
    <x v="48"/>
    <x v="5"/>
    <x v="23"/>
    <x v="0"/>
    <s v="Poor"/>
  </r>
  <r>
    <n v="675"/>
    <x v="674"/>
    <x v="6"/>
    <x v="9"/>
    <x v="8"/>
    <x v="7"/>
    <x v="16"/>
    <x v="95"/>
    <x v="97"/>
    <x v="59"/>
    <x v="38"/>
    <x v="17"/>
    <x v="2"/>
    <s v="Excellent"/>
  </r>
  <r>
    <n v="676"/>
    <x v="675"/>
    <x v="2"/>
    <x v="2"/>
    <x v="7"/>
    <x v="12"/>
    <x v="27"/>
    <x v="173"/>
    <x v="97"/>
    <x v="41"/>
    <x v="19"/>
    <x v="17"/>
    <x v="2"/>
    <s v="Poor"/>
  </r>
  <r>
    <n v="677"/>
    <x v="676"/>
    <x v="2"/>
    <x v="8"/>
    <x v="0"/>
    <x v="2"/>
    <x v="28"/>
    <x v="217"/>
    <x v="28"/>
    <x v="77"/>
    <x v="36"/>
    <x v="5"/>
    <x v="0"/>
    <s v="Excellent"/>
  </r>
  <r>
    <n v="678"/>
    <x v="677"/>
    <x v="1"/>
    <x v="2"/>
    <x v="8"/>
    <x v="6"/>
    <x v="11"/>
    <x v="32"/>
    <x v="65"/>
    <x v="0"/>
    <x v="27"/>
    <x v="5"/>
    <x v="0"/>
    <s v="Average"/>
  </r>
  <r>
    <n v="679"/>
    <x v="678"/>
    <x v="2"/>
    <x v="1"/>
    <x v="1"/>
    <x v="30"/>
    <x v="30"/>
    <x v="27"/>
    <x v="24"/>
    <x v="21"/>
    <x v="3"/>
    <x v="17"/>
    <x v="2"/>
    <s v="Average"/>
  </r>
  <r>
    <n v="680"/>
    <x v="679"/>
    <x v="1"/>
    <x v="5"/>
    <x v="6"/>
    <x v="11"/>
    <x v="15"/>
    <x v="61"/>
    <x v="38"/>
    <x v="2"/>
    <x v="17"/>
    <x v="36"/>
    <x v="2"/>
    <s v="Average"/>
  </r>
  <r>
    <n v="681"/>
    <x v="680"/>
    <x v="6"/>
    <x v="5"/>
    <x v="5"/>
    <x v="7"/>
    <x v="30"/>
    <x v="2"/>
    <x v="2"/>
    <x v="19"/>
    <x v="17"/>
    <x v="7"/>
    <x v="2"/>
    <s v="Average"/>
  </r>
  <r>
    <n v="682"/>
    <x v="681"/>
    <x v="5"/>
    <x v="7"/>
    <x v="9"/>
    <x v="10"/>
    <x v="21"/>
    <x v="170"/>
    <x v="119"/>
    <x v="67"/>
    <x v="39"/>
    <x v="18"/>
    <x v="0"/>
    <s v="Poor"/>
  </r>
  <r>
    <n v="683"/>
    <x v="682"/>
    <x v="5"/>
    <x v="0"/>
    <x v="4"/>
    <x v="26"/>
    <x v="18"/>
    <x v="22"/>
    <x v="43"/>
    <x v="19"/>
    <x v="2"/>
    <x v="29"/>
    <x v="2"/>
    <s v="Poor"/>
  </r>
  <r>
    <n v="684"/>
    <x v="683"/>
    <x v="2"/>
    <x v="7"/>
    <x v="2"/>
    <x v="3"/>
    <x v="1"/>
    <x v="165"/>
    <x v="98"/>
    <x v="65"/>
    <x v="10"/>
    <x v="36"/>
    <x v="0"/>
    <s v="Excellent"/>
  </r>
  <r>
    <n v="685"/>
    <x v="684"/>
    <x v="0"/>
    <x v="2"/>
    <x v="5"/>
    <x v="19"/>
    <x v="18"/>
    <x v="181"/>
    <x v="87"/>
    <x v="37"/>
    <x v="7"/>
    <x v="30"/>
    <x v="0"/>
    <s v="Poor"/>
  </r>
  <r>
    <n v="686"/>
    <x v="685"/>
    <x v="0"/>
    <x v="7"/>
    <x v="9"/>
    <x v="9"/>
    <x v="36"/>
    <x v="46"/>
    <x v="47"/>
    <x v="28"/>
    <x v="16"/>
    <x v="17"/>
    <x v="2"/>
    <s v="Average"/>
  </r>
  <r>
    <n v="687"/>
    <x v="686"/>
    <x v="2"/>
    <x v="3"/>
    <x v="7"/>
    <x v="13"/>
    <x v="3"/>
    <x v="119"/>
    <x v="36"/>
    <x v="9"/>
    <x v="5"/>
    <x v="3"/>
    <x v="2"/>
    <s v="Excellent"/>
  </r>
  <r>
    <n v="688"/>
    <x v="687"/>
    <x v="5"/>
    <x v="8"/>
    <x v="8"/>
    <x v="25"/>
    <x v="25"/>
    <x v="66"/>
    <x v="43"/>
    <x v="2"/>
    <x v="16"/>
    <x v="17"/>
    <x v="2"/>
    <s v="Average"/>
  </r>
  <r>
    <n v="689"/>
    <x v="688"/>
    <x v="4"/>
    <x v="7"/>
    <x v="9"/>
    <x v="23"/>
    <x v="9"/>
    <x v="36"/>
    <x v="36"/>
    <x v="35"/>
    <x v="16"/>
    <x v="2"/>
    <x v="2"/>
    <s v="Excellent"/>
  </r>
  <r>
    <n v="690"/>
    <x v="689"/>
    <x v="3"/>
    <x v="5"/>
    <x v="6"/>
    <x v="10"/>
    <x v="43"/>
    <x v="46"/>
    <x v="38"/>
    <x v="28"/>
    <x v="16"/>
    <x v="29"/>
    <x v="2"/>
    <s v="Poor"/>
  </r>
  <r>
    <n v="691"/>
    <x v="690"/>
    <x v="3"/>
    <x v="3"/>
    <x v="1"/>
    <x v="28"/>
    <x v="18"/>
    <x v="36"/>
    <x v="50"/>
    <x v="18"/>
    <x v="15"/>
    <x v="2"/>
    <x v="2"/>
    <s v="Poor"/>
  </r>
  <r>
    <n v="692"/>
    <x v="691"/>
    <x v="6"/>
    <x v="0"/>
    <x v="1"/>
    <x v="5"/>
    <x v="37"/>
    <x v="50"/>
    <x v="41"/>
    <x v="18"/>
    <x v="3"/>
    <x v="35"/>
    <x v="2"/>
    <s v="Average"/>
  </r>
  <r>
    <n v="693"/>
    <x v="692"/>
    <x v="6"/>
    <x v="2"/>
    <x v="1"/>
    <x v="7"/>
    <x v="28"/>
    <x v="50"/>
    <x v="72"/>
    <x v="29"/>
    <x v="17"/>
    <x v="7"/>
    <x v="2"/>
    <s v="Excellent"/>
  </r>
  <r>
    <n v="694"/>
    <x v="693"/>
    <x v="6"/>
    <x v="3"/>
    <x v="8"/>
    <x v="5"/>
    <x v="18"/>
    <x v="46"/>
    <x v="47"/>
    <x v="21"/>
    <x v="19"/>
    <x v="17"/>
    <x v="2"/>
    <s v="Poor"/>
  </r>
  <r>
    <n v="695"/>
    <x v="694"/>
    <x v="1"/>
    <x v="0"/>
    <x v="9"/>
    <x v="5"/>
    <x v="5"/>
    <x v="5"/>
    <x v="69"/>
    <x v="33"/>
    <x v="2"/>
    <x v="23"/>
    <x v="0"/>
    <s v="Good"/>
  </r>
  <r>
    <n v="696"/>
    <x v="695"/>
    <x v="3"/>
    <x v="8"/>
    <x v="9"/>
    <x v="14"/>
    <x v="23"/>
    <x v="218"/>
    <x v="136"/>
    <x v="97"/>
    <x v="57"/>
    <x v="69"/>
    <x v="1"/>
    <s v="Poor"/>
  </r>
  <r>
    <n v="697"/>
    <x v="696"/>
    <x v="4"/>
    <x v="1"/>
    <x v="0"/>
    <x v="9"/>
    <x v="41"/>
    <x v="2"/>
    <x v="22"/>
    <x v="43"/>
    <x v="17"/>
    <x v="17"/>
    <x v="2"/>
    <s v="Poor"/>
  </r>
  <r>
    <n v="698"/>
    <x v="697"/>
    <x v="0"/>
    <x v="9"/>
    <x v="1"/>
    <x v="9"/>
    <x v="19"/>
    <x v="100"/>
    <x v="4"/>
    <x v="9"/>
    <x v="15"/>
    <x v="23"/>
    <x v="0"/>
    <s v="Poor"/>
  </r>
  <r>
    <n v="699"/>
    <x v="698"/>
    <x v="3"/>
    <x v="1"/>
    <x v="4"/>
    <x v="14"/>
    <x v="34"/>
    <x v="139"/>
    <x v="98"/>
    <x v="42"/>
    <x v="15"/>
    <x v="20"/>
    <x v="0"/>
    <s v="Poor"/>
  </r>
  <r>
    <n v="700"/>
    <x v="699"/>
    <x v="2"/>
    <x v="1"/>
    <x v="2"/>
    <x v="13"/>
    <x v="10"/>
    <x v="77"/>
    <x v="22"/>
    <x v="19"/>
    <x v="3"/>
    <x v="5"/>
    <x v="2"/>
    <s v="Good"/>
  </r>
  <r>
    <n v="701"/>
    <x v="700"/>
    <x v="3"/>
    <x v="2"/>
    <x v="3"/>
    <x v="24"/>
    <x v="4"/>
    <x v="57"/>
    <x v="56"/>
    <x v="22"/>
    <x v="2"/>
    <x v="19"/>
    <x v="0"/>
    <s v="Good"/>
  </r>
  <r>
    <n v="702"/>
    <x v="701"/>
    <x v="5"/>
    <x v="0"/>
    <x v="8"/>
    <x v="21"/>
    <x v="19"/>
    <x v="96"/>
    <x v="14"/>
    <x v="5"/>
    <x v="35"/>
    <x v="29"/>
    <x v="0"/>
    <s v="Poor"/>
  </r>
  <r>
    <n v="703"/>
    <x v="702"/>
    <x v="3"/>
    <x v="9"/>
    <x v="7"/>
    <x v="20"/>
    <x v="24"/>
    <x v="219"/>
    <x v="73"/>
    <x v="44"/>
    <x v="33"/>
    <x v="22"/>
    <x v="0"/>
    <s v="Poor"/>
  </r>
  <r>
    <n v="704"/>
    <x v="703"/>
    <x v="6"/>
    <x v="7"/>
    <x v="8"/>
    <x v="23"/>
    <x v="27"/>
    <x v="95"/>
    <x v="97"/>
    <x v="59"/>
    <x v="19"/>
    <x v="29"/>
    <x v="2"/>
    <s v="Poor"/>
  </r>
  <r>
    <n v="705"/>
    <x v="704"/>
    <x v="6"/>
    <x v="7"/>
    <x v="3"/>
    <x v="1"/>
    <x v="19"/>
    <x v="95"/>
    <x v="97"/>
    <x v="59"/>
    <x v="19"/>
    <x v="29"/>
    <x v="2"/>
    <s v="Poor"/>
  </r>
  <r>
    <n v="706"/>
    <x v="705"/>
    <x v="5"/>
    <x v="3"/>
    <x v="9"/>
    <x v="21"/>
    <x v="24"/>
    <x v="132"/>
    <x v="18"/>
    <x v="19"/>
    <x v="2"/>
    <x v="5"/>
    <x v="2"/>
    <s v="Poor"/>
  </r>
  <r>
    <n v="707"/>
    <x v="706"/>
    <x v="6"/>
    <x v="8"/>
    <x v="4"/>
    <x v="6"/>
    <x v="26"/>
    <x v="105"/>
    <x v="43"/>
    <x v="18"/>
    <x v="8"/>
    <x v="36"/>
    <x v="2"/>
    <s v="Poor"/>
  </r>
  <r>
    <n v="708"/>
    <x v="707"/>
    <x v="2"/>
    <x v="9"/>
    <x v="9"/>
    <x v="27"/>
    <x v="31"/>
    <x v="162"/>
    <x v="50"/>
    <x v="24"/>
    <x v="16"/>
    <x v="5"/>
    <x v="2"/>
    <s v="Average"/>
  </r>
  <r>
    <n v="709"/>
    <x v="708"/>
    <x v="2"/>
    <x v="6"/>
    <x v="5"/>
    <x v="30"/>
    <x v="38"/>
    <x v="41"/>
    <x v="23"/>
    <x v="10"/>
    <x v="15"/>
    <x v="23"/>
    <x v="0"/>
    <s v="Excellent"/>
  </r>
  <r>
    <n v="710"/>
    <x v="709"/>
    <x v="5"/>
    <x v="6"/>
    <x v="6"/>
    <x v="26"/>
    <x v="0"/>
    <x v="20"/>
    <x v="36"/>
    <x v="19"/>
    <x v="17"/>
    <x v="35"/>
    <x v="2"/>
    <s v="Excellent"/>
  </r>
  <r>
    <n v="711"/>
    <x v="710"/>
    <x v="1"/>
    <x v="3"/>
    <x v="5"/>
    <x v="8"/>
    <x v="40"/>
    <x v="60"/>
    <x v="40"/>
    <x v="60"/>
    <x v="2"/>
    <x v="19"/>
    <x v="0"/>
    <s v="Good"/>
  </r>
  <r>
    <n v="712"/>
    <x v="711"/>
    <x v="3"/>
    <x v="4"/>
    <x v="0"/>
    <x v="24"/>
    <x v="9"/>
    <x v="220"/>
    <x v="137"/>
    <x v="56"/>
    <x v="30"/>
    <x v="54"/>
    <x v="3"/>
    <s v="Excellent"/>
  </r>
  <r>
    <n v="713"/>
    <x v="712"/>
    <x v="5"/>
    <x v="7"/>
    <x v="5"/>
    <x v="25"/>
    <x v="36"/>
    <x v="10"/>
    <x v="45"/>
    <x v="0"/>
    <x v="9"/>
    <x v="22"/>
    <x v="0"/>
    <s v="Average"/>
  </r>
  <r>
    <n v="714"/>
    <x v="713"/>
    <x v="4"/>
    <x v="6"/>
    <x v="0"/>
    <x v="20"/>
    <x v="12"/>
    <x v="130"/>
    <x v="104"/>
    <x v="8"/>
    <x v="52"/>
    <x v="42"/>
    <x v="0"/>
    <s v="Good"/>
  </r>
  <r>
    <n v="715"/>
    <x v="714"/>
    <x v="4"/>
    <x v="7"/>
    <x v="2"/>
    <x v="22"/>
    <x v="20"/>
    <x v="95"/>
    <x v="97"/>
    <x v="41"/>
    <x v="38"/>
    <x v="29"/>
    <x v="2"/>
    <s v="Poor"/>
  </r>
  <r>
    <n v="716"/>
    <x v="715"/>
    <x v="4"/>
    <x v="6"/>
    <x v="5"/>
    <x v="9"/>
    <x v="40"/>
    <x v="55"/>
    <x v="43"/>
    <x v="24"/>
    <x v="3"/>
    <x v="10"/>
    <x v="2"/>
    <s v="Good"/>
  </r>
  <r>
    <n v="717"/>
    <x v="716"/>
    <x v="5"/>
    <x v="7"/>
    <x v="2"/>
    <x v="10"/>
    <x v="19"/>
    <x v="19"/>
    <x v="25"/>
    <x v="18"/>
    <x v="3"/>
    <x v="7"/>
    <x v="2"/>
    <s v="Poor"/>
  </r>
  <r>
    <n v="718"/>
    <x v="717"/>
    <x v="4"/>
    <x v="7"/>
    <x v="0"/>
    <x v="23"/>
    <x v="16"/>
    <x v="101"/>
    <x v="10"/>
    <x v="39"/>
    <x v="35"/>
    <x v="14"/>
    <x v="0"/>
    <s v="Excellent"/>
  </r>
  <r>
    <n v="719"/>
    <x v="718"/>
    <x v="3"/>
    <x v="0"/>
    <x v="9"/>
    <x v="15"/>
    <x v="37"/>
    <x v="42"/>
    <x v="20"/>
    <x v="20"/>
    <x v="16"/>
    <x v="22"/>
    <x v="2"/>
    <s v="Average"/>
  </r>
  <r>
    <n v="720"/>
    <x v="719"/>
    <x v="3"/>
    <x v="0"/>
    <x v="8"/>
    <x v="15"/>
    <x v="21"/>
    <x v="221"/>
    <x v="118"/>
    <x v="40"/>
    <x v="34"/>
    <x v="12"/>
    <x v="0"/>
    <s v="Poor"/>
  </r>
  <r>
    <n v="721"/>
    <x v="720"/>
    <x v="5"/>
    <x v="0"/>
    <x v="1"/>
    <x v="16"/>
    <x v="36"/>
    <x v="2"/>
    <x v="2"/>
    <x v="24"/>
    <x v="15"/>
    <x v="10"/>
    <x v="2"/>
    <s v="Average"/>
  </r>
  <r>
    <n v="722"/>
    <x v="721"/>
    <x v="0"/>
    <x v="2"/>
    <x v="6"/>
    <x v="19"/>
    <x v="42"/>
    <x v="42"/>
    <x v="47"/>
    <x v="20"/>
    <x v="16"/>
    <x v="17"/>
    <x v="2"/>
    <s v="Poor"/>
  </r>
  <r>
    <n v="723"/>
    <x v="722"/>
    <x v="2"/>
    <x v="8"/>
    <x v="2"/>
    <x v="12"/>
    <x v="27"/>
    <x v="63"/>
    <x v="35"/>
    <x v="43"/>
    <x v="17"/>
    <x v="5"/>
    <x v="2"/>
    <s v="Poor"/>
  </r>
  <r>
    <n v="724"/>
    <x v="723"/>
    <x v="1"/>
    <x v="7"/>
    <x v="6"/>
    <x v="5"/>
    <x v="28"/>
    <x v="11"/>
    <x v="98"/>
    <x v="60"/>
    <x v="27"/>
    <x v="19"/>
    <x v="0"/>
    <s v="Excellent"/>
  </r>
  <r>
    <n v="725"/>
    <x v="724"/>
    <x v="1"/>
    <x v="8"/>
    <x v="9"/>
    <x v="11"/>
    <x v="20"/>
    <x v="222"/>
    <x v="128"/>
    <x v="53"/>
    <x v="14"/>
    <x v="33"/>
    <x v="3"/>
    <s v="Poor"/>
  </r>
  <r>
    <n v="726"/>
    <x v="725"/>
    <x v="4"/>
    <x v="7"/>
    <x v="5"/>
    <x v="19"/>
    <x v="3"/>
    <x v="204"/>
    <x v="54"/>
    <x v="96"/>
    <x v="39"/>
    <x v="9"/>
    <x v="0"/>
    <s v="Excellent"/>
  </r>
  <r>
    <n v="727"/>
    <x v="726"/>
    <x v="4"/>
    <x v="5"/>
    <x v="1"/>
    <x v="4"/>
    <x v="15"/>
    <x v="66"/>
    <x v="29"/>
    <x v="21"/>
    <x v="16"/>
    <x v="7"/>
    <x v="2"/>
    <s v="Average"/>
  </r>
  <r>
    <n v="728"/>
    <x v="727"/>
    <x v="1"/>
    <x v="5"/>
    <x v="7"/>
    <x v="6"/>
    <x v="28"/>
    <x v="223"/>
    <x v="138"/>
    <x v="98"/>
    <x v="58"/>
    <x v="70"/>
    <x v="1"/>
    <s v="Excellent"/>
  </r>
  <r>
    <n v="729"/>
    <x v="728"/>
    <x v="4"/>
    <x v="8"/>
    <x v="2"/>
    <x v="4"/>
    <x v="27"/>
    <x v="12"/>
    <x v="55"/>
    <x v="39"/>
    <x v="24"/>
    <x v="11"/>
    <x v="0"/>
    <s v="Poor"/>
  </r>
  <r>
    <n v="730"/>
    <x v="729"/>
    <x v="4"/>
    <x v="5"/>
    <x v="9"/>
    <x v="17"/>
    <x v="33"/>
    <x v="116"/>
    <x v="20"/>
    <x v="28"/>
    <x v="3"/>
    <x v="29"/>
    <x v="2"/>
    <s v="Average"/>
  </r>
  <r>
    <n v="731"/>
    <x v="730"/>
    <x v="5"/>
    <x v="3"/>
    <x v="6"/>
    <x v="10"/>
    <x v="41"/>
    <x v="224"/>
    <x v="77"/>
    <x v="10"/>
    <x v="15"/>
    <x v="12"/>
    <x v="0"/>
    <s v="Poor"/>
  </r>
  <r>
    <n v="732"/>
    <x v="731"/>
    <x v="4"/>
    <x v="6"/>
    <x v="7"/>
    <x v="23"/>
    <x v="10"/>
    <x v="24"/>
    <x v="21"/>
    <x v="2"/>
    <x v="17"/>
    <x v="22"/>
    <x v="2"/>
    <s v="Good"/>
  </r>
  <r>
    <n v="733"/>
    <x v="732"/>
    <x v="0"/>
    <x v="2"/>
    <x v="3"/>
    <x v="0"/>
    <x v="42"/>
    <x v="52"/>
    <x v="72"/>
    <x v="38"/>
    <x v="17"/>
    <x v="3"/>
    <x v="0"/>
    <s v="Poor"/>
  </r>
  <r>
    <n v="734"/>
    <x v="733"/>
    <x v="6"/>
    <x v="0"/>
    <x v="2"/>
    <x v="1"/>
    <x v="15"/>
    <x v="162"/>
    <x v="18"/>
    <x v="24"/>
    <x v="17"/>
    <x v="10"/>
    <x v="2"/>
    <s v="Average"/>
  </r>
  <r>
    <n v="735"/>
    <x v="734"/>
    <x v="1"/>
    <x v="4"/>
    <x v="8"/>
    <x v="6"/>
    <x v="18"/>
    <x v="105"/>
    <x v="25"/>
    <x v="18"/>
    <x v="16"/>
    <x v="7"/>
    <x v="2"/>
    <s v="Poor"/>
  </r>
  <r>
    <n v="736"/>
    <x v="735"/>
    <x v="6"/>
    <x v="1"/>
    <x v="0"/>
    <x v="8"/>
    <x v="12"/>
    <x v="156"/>
    <x v="40"/>
    <x v="8"/>
    <x v="25"/>
    <x v="33"/>
    <x v="0"/>
    <s v="Good"/>
  </r>
  <r>
    <n v="737"/>
    <x v="736"/>
    <x v="1"/>
    <x v="2"/>
    <x v="2"/>
    <x v="0"/>
    <x v="19"/>
    <x v="225"/>
    <x v="139"/>
    <x v="99"/>
    <x v="59"/>
    <x v="38"/>
    <x v="3"/>
    <s v="Poor"/>
  </r>
  <r>
    <n v="738"/>
    <x v="737"/>
    <x v="0"/>
    <x v="4"/>
    <x v="2"/>
    <x v="14"/>
    <x v="6"/>
    <x v="206"/>
    <x v="66"/>
    <x v="54"/>
    <x v="35"/>
    <x v="23"/>
    <x v="0"/>
    <s v="Good"/>
  </r>
  <r>
    <n v="739"/>
    <x v="738"/>
    <x v="1"/>
    <x v="6"/>
    <x v="6"/>
    <x v="7"/>
    <x v="0"/>
    <x v="144"/>
    <x v="140"/>
    <x v="100"/>
    <x v="60"/>
    <x v="52"/>
    <x v="3"/>
    <s v="Excellent"/>
  </r>
  <r>
    <n v="740"/>
    <x v="739"/>
    <x v="5"/>
    <x v="5"/>
    <x v="2"/>
    <x v="16"/>
    <x v="22"/>
    <x v="75"/>
    <x v="45"/>
    <x v="22"/>
    <x v="35"/>
    <x v="10"/>
    <x v="0"/>
    <s v="Average"/>
  </r>
  <r>
    <n v="741"/>
    <x v="740"/>
    <x v="4"/>
    <x v="2"/>
    <x v="5"/>
    <x v="22"/>
    <x v="14"/>
    <x v="2"/>
    <x v="22"/>
    <x v="19"/>
    <x v="16"/>
    <x v="19"/>
    <x v="2"/>
    <s v="Poor"/>
  </r>
  <r>
    <n v="742"/>
    <x v="741"/>
    <x v="3"/>
    <x v="7"/>
    <x v="1"/>
    <x v="14"/>
    <x v="40"/>
    <x v="0"/>
    <x v="76"/>
    <x v="0"/>
    <x v="5"/>
    <x v="35"/>
    <x v="0"/>
    <s v="Good"/>
  </r>
  <r>
    <n v="743"/>
    <x v="742"/>
    <x v="4"/>
    <x v="5"/>
    <x v="0"/>
    <x v="14"/>
    <x v="35"/>
    <x v="82"/>
    <x v="43"/>
    <x v="2"/>
    <x v="16"/>
    <x v="33"/>
    <x v="2"/>
    <s v="Poor"/>
  </r>
  <r>
    <n v="744"/>
    <x v="743"/>
    <x v="6"/>
    <x v="6"/>
    <x v="2"/>
    <x v="11"/>
    <x v="20"/>
    <x v="96"/>
    <x v="80"/>
    <x v="38"/>
    <x v="2"/>
    <x v="11"/>
    <x v="0"/>
    <s v="Poor"/>
  </r>
  <r>
    <n v="745"/>
    <x v="744"/>
    <x v="0"/>
    <x v="9"/>
    <x v="6"/>
    <x v="14"/>
    <x v="38"/>
    <x v="164"/>
    <x v="132"/>
    <x v="15"/>
    <x v="40"/>
    <x v="53"/>
    <x v="0"/>
    <s v="Excellent"/>
  </r>
  <r>
    <n v="746"/>
    <x v="745"/>
    <x v="1"/>
    <x v="6"/>
    <x v="0"/>
    <x v="12"/>
    <x v="3"/>
    <x v="120"/>
    <x v="56"/>
    <x v="22"/>
    <x v="0"/>
    <x v="18"/>
    <x v="0"/>
    <s v="Excellent"/>
  </r>
  <r>
    <n v="747"/>
    <x v="746"/>
    <x v="0"/>
    <x v="4"/>
    <x v="9"/>
    <x v="9"/>
    <x v="30"/>
    <x v="118"/>
    <x v="102"/>
    <x v="74"/>
    <x v="5"/>
    <x v="11"/>
    <x v="0"/>
    <s v="Average"/>
  </r>
  <r>
    <n v="748"/>
    <x v="747"/>
    <x v="5"/>
    <x v="6"/>
    <x v="6"/>
    <x v="16"/>
    <x v="1"/>
    <x v="226"/>
    <x v="141"/>
    <x v="101"/>
    <x v="39"/>
    <x v="71"/>
    <x v="3"/>
    <s v="Excellent"/>
  </r>
  <r>
    <n v="749"/>
    <x v="748"/>
    <x v="4"/>
    <x v="0"/>
    <x v="3"/>
    <x v="19"/>
    <x v="38"/>
    <x v="70"/>
    <x v="50"/>
    <x v="18"/>
    <x v="16"/>
    <x v="5"/>
    <x v="2"/>
    <s v="Excellent"/>
  </r>
  <r>
    <n v="750"/>
    <x v="749"/>
    <x v="1"/>
    <x v="2"/>
    <x v="2"/>
    <x v="3"/>
    <x v="19"/>
    <x v="227"/>
    <x v="142"/>
    <x v="102"/>
    <x v="61"/>
    <x v="18"/>
    <x v="1"/>
    <s v="Poor"/>
  </r>
  <r>
    <n v="751"/>
    <x v="750"/>
    <x v="5"/>
    <x v="7"/>
    <x v="5"/>
    <x v="25"/>
    <x v="29"/>
    <x v="27"/>
    <x v="24"/>
    <x v="21"/>
    <x v="19"/>
    <x v="22"/>
    <x v="2"/>
    <s v="Good"/>
  </r>
  <r>
    <n v="752"/>
    <x v="751"/>
    <x v="3"/>
    <x v="2"/>
    <x v="5"/>
    <x v="15"/>
    <x v="42"/>
    <x v="17"/>
    <x v="118"/>
    <x v="7"/>
    <x v="36"/>
    <x v="20"/>
    <x v="0"/>
    <s v="Poor"/>
  </r>
  <r>
    <n v="753"/>
    <x v="752"/>
    <x v="4"/>
    <x v="2"/>
    <x v="7"/>
    <x v="23"/>
    <x v="23"/>
    <x v="224"/>
    <x v="34"/>
    <x v="42"/>
    <x v="7"/>
    <x v="35"/>
    <x v="0"/>
    <s v="Poor"/>
  </r>
  <r>
    <n v="754"/>
    <x v="753"/>
    <x v="5"/>
    <x v="1"/>
    <x v="2"/>
    <x v="10"/>
    <x v="10"/>
    <x v="78"/>
    <x v="61"/>
    <x v="33"/>
    <x v="2"/>
    <x v="37"/>
    <x v="0"/>
    <s v="Good"/>
  </r>
  <r>
    <n v="755"/>
    <x v="754"/>
    <x v="4"/>
    <x v="5"/>
    <x v="5"/>
    <x v="0"/>
    <x v="34"/>
    <x v="97"/>
    <x v="24"/>
    <x v="28"/>
    <x v="19"/>
    <x v="18"/>
    <x v="2"/>
    <s v="Poor"/>
  </r>
  <r>
    <n v="756"/>
    <x v="755"/>
    <x v="0"/>
    <x v="8"/>
    <x v="9"/>
    <x v="18"/>
    <x v="20"/>
    <x v="107"/>
    <x v="8"/>
    <x v="19"/>
    <x v="5"/>
    <x v="10"/>
    <x v="2"/>
    <s v="Poor"/>
  </r>
  <r>
    <n v="757"/>
    <x v="756"/>
    <x v="6"/>
    <x v="7"/>
    <x v="0"/>
    <x v="11"/>
    <x v="37"/>
    <x v="58"/>
    <x v="48"/>
    <x v="41"/>
    <x v="19"/>
    <x v="18"/>
    <x v="2"/>
    <s v="Average"/>
  </r>
  <r>
    <n v="758"/>
    <x v="757"/>
    <x v="0"/>
    <x v="6"/>
    <x v="9"/>
    <x v="17"/>
    <x v="13"/>
    <x v="113"/>
    <x v="20"/>
    <x v="20"/>
    <x v="19"/>
    <x v="18"/>
    <x v="2"/>
    <s v="Good"/>
  </r>
  <r>
    <n v="759"/>
    <x v="758"/>
    <x v="4"/>
    <x v="3"/>
    <x v="0"/>
    <x v="4"/>
    <x v="0"/>
    <x v="42"/>
    <x v="24"/>
    <x v="28"/>
    <x v="19"/>
    <x v="36"/>
    <x v="2"/>
    <s v="Excellent"/>
  </r>
  <r>
    <n v="760"/>
    <x v="759"/>
    <x v="1"/>
    <x v="2"/>
    <x v="8"/>
    <x v="8"/>
    <x v="19"/>
    <x v="31"/>
    <x v="89"/>
    <x v="26"/>
    <x v="41"/>
    <x v="63"/>
    <x v="0"/>
    <s v="Poor"/>
  </r>
  <r>
    <n v="761"/>
    <x v="760"/>
    <x v="6"/>
    <x v="6"/>
    <x v="0"/>
    <x v="23"/>
    <x v="34"/>
    <x v="24"/>
    <x v="25"/>
    <x v="12"/>
    <x v="17"/>
    <x v="17"/>
    <x v="2"/>
    <s v="Poor"/>
  </r>
  <r>
    <n v="762"/>
    <x v="761"/>
    <x v="3"/>
    <x v="0"/>
    <x v="3"/>
    <x v="20"/>
    <x v="38"/>
    <x v="71"/>
    <x v="39"/>
    <x v="22"/>
    <x v="10"/>
    <x v="42"/>
    <x v="0"/>
    <s v="Excellent"/>
  </r>
  <r>
    <n v="763"/>
    <x v="762"/>
    <x v="5"/>
    <x v="8"/>
    <x v="3"/>
    <x v="31"/>
    <x v="14"/>
    <x v="5"/>
    <x v="19"/>
    <x v="35"/>
    <x v="8"/>
    <x v="12"/>
    <x v="0"/>
    <s v="Poor"/>
  </r>
  <r>
    <n v="764"/>
    <x v="763"/>
    <x v="4"/>
    <x v="3"/>
    <x v="2"/>
    <x v="0"/>
    <x v="28"/>
    <x v="55"/>
    <x v="25"/>
    <x v="12"/>
    <x v="16"/>
    <x v="2"/>
    <x v="2"/>
    <s v="Excellent"/>
  </r>
  <r>
    <n v="765"/>
    <x v="764"/>
    <x v="5"/>
    <x v="8"/>
    <x v="6"/>
    <x v="26"/>
    <x v="9"/>
    <x v="228"/>
    <x v="86"/>
    <x v="40"/>
    <x v="44"/>
    <x v="44"/>
    <x v="0"/>
    <s v="Excellent"/>
  </r>
  <r>
    <n v="766"/>
    <x v="765"/>
    <x v="1"/>
    <x v="4"/>
    <x v="4"/>
    <x v="3"/>
    <x v="20"/>
    <x v="82"/>
    <x v="18"/>
    <x v="19"/>
    <x v="17"/>
    <x v="17"/>
    <x v="2"/>
    <s v="Poor"/>
  </r>
  <r>
    <n v="767"/>
    <x v="766"/>
    <x v="4"/>
    <x v="4"/>
    <x v="8"/>
    <x v="4"/>
    <x v="13"/>
    <x v="197"/>
    <x v="49"/>
    <x v="3"/>
    <x v="2"/>
    <x v="5"/>
    <x v="0"/>
    <s v="Good"/>
  </r>
  <r>
    <n v="768"/>
    <x v="767"/>
    <x v="4"/>
    <x v="3"/>
    <x v="9"/>
    <x v="20"/>
    <x v="16"/>
    <x v="20"/>
    <x v="22"/>
    <x v="29"/>
    <x v="15"/>
    <x v="3"/>
    <x v="2"/>
    <s v="Excellent"/>
  </r>
  <r>
    <n v="769"/>
    <x v="768"/>
    <x v="5"/>
    <x v="6"/>
    <x v="1"/>
    <x v="16"/>
    <x v="4"/>
    <x v="5"/>
    <x v="19"/>
    <x v="58"/>
    <x v="35"/>
    <x v="7"/>
    <x v="0"/>
    <s v="Good"/>
  </r>
  <r>
    <n v="770"/>
    <x v="769"/>
    <x v="0"/>
    <x v="3"/>
    <x v="9"/>
    <x v="0"/>
    <x v="17"/>
    <x v="16"/>
    <x v="74"/>
    <x v="63"/>
    <x v="2"/>
    <x v="35"/>
    <x v="0"/>
    <s v="Good"/>
  </r>
  <r>
    <n v="771"/>
    <x v="770"/>
    <x v="5"/>
    <x v="3"/>
    <x v="4"/>
    <x v="25"/>
    <x v="3"/>
    <x v="50"/>
    <x v="19"/>
    <x v="38"/>
    <x v="15"/>
    <x v="2"/>
    <x v="2"/>
    <s v="Excellent"/>
  </r>
  <r>
    <n v="772"/>
    <x v="771"/>
    <x v="2"/>
    <x v="6"/>
    <x v="2"/>
    <x v="2"/>
    <x v="29"/>
    <x v="2"/>
    <x v="25"/>
    <x v="19"/>
    <x v="17"/>
    <x v="19"/>
    <x v="2"/>
    <s v="Good"/>
  </r>
  <r>
    <n v="773"/>
    <x v="772"/>
    <x v="5"/>
    <x v="6"/>
    <x v="6"/>
    <x v="10"/>
    <x v="0"/>
    <x v="127"/>
    <x v="9"/>
    <x v="3"/>
    <x v="15"/>
    <x v="23"/>
    <x v="0"/>
    <s v="Excellent"/>
  </r>
  <r>
    <n v="774"/>
    <x v="773"/>
    <x v="6"/>
    <x v="4"/>
    <x v="1"/>
    <x v="6"/>
    <x v="18"/>
    <x v="42"/>
    <x v="47"/>
    <x v="28"/>
    <x v="19"/>
    <x v="17"/>
    <x v="2"/>
    <s v="Poor"/>
  </r>
  <r>
    <n v="775"/>
    <x v="774"/>
    <x v="5"/>
    <x v="1"/>
    <x v="4"/>
    <x v="21"/>
    <x v="32"/>
    <x v="23"/>
    <x v="47"/>
    <x v="20"/>
    <x v="19"/>
    <x v="29"/>
    <x v="2"/>
    <s v="Average"/>
  </r>
  <r>
    <n v="776"/>
    <x v="775"/>
    <x v="5"/>
    <x v="8"/>
    <x v="4"/>
    <x v="25"/>
    <x v="20"/>
    <x v="9"/>
    <x v="9"/>
    <x v="35"/>
    <x v="8"/>
    <x v="17"/>
    <x v="2"/>
    <s v="Poor"/>
  </r>
  <r>
    <n v="777"/>
    <x v="776"/>
    <x v="5"/>
    <x v="1"/>
    <x v="2"/>
    <x v="25"/>
    <x v="38"/>
    <x v="229"/>
    <x v="17"/>
    <x v="14"/>
    <x v="33"/>
    <x v="12"/>
    <x v="0"/>
    <s v="Excellent"/>
  </r>
  <r>
    <n v="778"/>
    <x v="777"/>
    <x v="3"/>
    <x v="0"/>
    <x v="8"/>
    <x v="24"/>
    <x v="14"/>
    <x v="105"/>
    <x v="43"/>
    <x v="43"/>
    <x v="15"/>
    <x v="19"/>
    <x v="2"/>
    <s v="Poor"/>
  </r>
  <r>
    <n v="779"/>
    <x v="778"/>
    <x v="4"/>
    <x v="9"/>
    <x v="2"/>
    <x v="17"/>
    <x v="7"/>
    <x v="123"/>
    <x v="4"/>
    <x v="33"/>
    <x v="9"/>
    <x v="17"/>
    <x v="2"/>
    <s v="Good"/>
  </r>
  <r>
    <n v="780"/>
    <x v="779"/>
    <x v="6"/>
    <x v="6"/>
    <x v="5"/>
    <x v="11"/>
    <x v="33"/>
    <x v="110"/>
    <x v="104"/>
    <x v="39"/>
    <x v="5"/>
    <x v="51"/>
    <x v="0"/>
    <s v="Average"/>
  </r>
  <r>
    <n v="781"/>
    <x v="780"/>
    <x v="2"/>
    <x v="2"/>
    <x v="4"/>
    <x v="3"/>
    <x v="24"/>
    <x v="230"/>
    <x v="67"/>
    <x v="103"/>
    <x v="30"/>
    <x v="21"/>
    <x v="3"/>
    <s v="Poor"/>
  </r>
  <r>
    <n v="782"/>
    <x v="781"/>
    <x v="2"/>
    <x v="8"/>
    <x v="5"/>
    <x v="27"/>
    <x v="1"/>
    <x v="91"/>
    <x v="29"/>
    <x v="21"/>
    <x v="17"/>
    <x v="17"/>
    <x v="2"/>
    <s v="Excellent"/>
  </r>
  <r>
    <n v="783"/>
    <x v="782"/>
    <x v="4"/>
    <x v="9"/>
    <x v="1"/>
    <x v="9"/>
    <x v="42"/>
    <x v="231"/>
    <x v="143"/>
    <x v="101"/>
    <x v="43"/>
    <x v="72"/>
    <x v="3"/>
    <s v="Poor"/>
  </r>
  <r>
    <n v="784"/>
    <x v="783"/>
    <x v="6"/>
    <x v="8"/>
    <x v="3"/>
    <x v="0"/>
    <x v="13"/>
    <x v="61"/>
    <x v="38"/>
    <x v="2"/>
    <x v="16"/>
    <x v="19"/>
    <x v="2"/>
    <s v="Good"/>
  </r>
  <r>
    <n v="785"/>
    <x v="784"/>
    <x v="2"/>
    <x v="2"/>
    <x v="4"/>
    <x v="29"/>
    <x v="37"/>
    <x v="206"/>
    <x v="11"/>
    <x v="67"/>
    <x v="24"/>
    <x v="18"/>
    <x v="0"/>
    <s v="Average"/>
  </r>
  <r>
    <n v="786"/>
    <x v="785"/>
    <x v="2"/>
    <x v="0"/>
    <x v="0"/>
    <x v="29"/>
    <x v="21"/>
    <x v="36"/>
    <x v="18"/>
    <x v="43"/>
    <x v="16"/>
    <x v="35"/>
    <x v="2"/>
    <s v="Poor"/>
  </r>
  <r>
    <n v="787"/>
    <x v="786"/>
    <x v="4"/>
    <x v="4"/>
    <x v="3"/>
    <x v="14"/>
    <x v="10"/>
    <x v="9"/>
    <x v="4"/>
    <x v="43"/>
    <x v="3"/>
    <x v="23"/>
    <x v="2"/>
    <s v="Good"/>
  </r>
  <r>
    <n v="788"/>
    <x v="787"/>
    <x v="1"/>
    <x v="3"/>
    <x v="4"/>
    <x v="0"/>
    <x v="12"/>
    <x v="51"/>
    <x v="49"/>
    <x v="0"/>
    <x v="2"/>
    <x v="10"/>
    <x v="0"/>
    <s v="Good"/>
  </r>
  <r>
    <n v="789"/>
    <x v="788"/>
    <x v="1"/>
    <x v="3"/>
    <x v="7"/>
    <x v="3"/>
    <x v="24"/>
    <x v="46"/>
    <x v="24"/>
    <x v="20"/>
    <x v="19"/>
    <x v="19"/>
    <x v="2"/>
    <s v="Poor"/>
  </r>
  <r>
    <n v="790"/>
    <x v="789"/>
    <x v="1"/>
    <x v="1"/>
    <x v="1"/>
    <x v="8"/>
    <x v="6"/>
    <x v="40"/>
    <x v="43"/>
    <x v="24"/>
    <x v="16"/>
    <x v="22"/>
    <x v="2"/>
    <s v="Good"/>
  </r>
  <r>
    <n v="791"/>
    <x v="790"/>
    <x v="6"/>
    <x v="8"/>
    <x v="2"/>
    <x v="6"/>
    <x v="20"/>
    <x v="50"/>
    <x v="4"/>
    <x v="43"/>
    <x v="8"/>
    <x v="33"/>
    <x v="2"/>
    <s v="Poor"/>
  </r>
  <r>
    <n v="792"/>
    <x v="791"/>
    <x v="5"/>
    <x v="1"/>
    <x v="2"/>
    <x v="10"/>
    <x v="10"/>
    <x v="43"/>
    <x v="35"/>
    <x v="43"/>
    <x v="15"/>
    <x v="5"/>
    <x v="2"/>
    <s v="Good"/>
  </r>
  <r>
    <n v="793"/>
    <x v="792"/>
    <x v="4"/>
    <x v="3"/>
    <x v="6"/>
    <x v="9"/>
    <x v="22"/>
    <x v="155"/>
    <x v="30"/>
    <x v="34"/>
    <x v="34"/>
    <x v="17"/>
    <x v="0"/>
    <s v="Average"/>
  </r>
  <r>
    <n v="794"/>
    <x v="793"/>
    <x v="2"/>
    <x v="3"/>
    <x v="6"/>
    <x v="13"/>
    <x v="27"/>
    <x v="13"/>
    <x v="2"/>
    <x v="12"/>
    <x v="16"/>
    <x v="5"/>
    <x v="2"/>
    <s v="Poor"/>
  </r>
  <r>
    <n v="795"/>
    <x v="794"/>
    <x v="5"/>
    <x v="5"/>
    <x v="5"/>
    <x v="16"/>
    <x v="40"/>
    <x v="88"/>
    <x v="9"/>
    <x v="18"/>
    <x v="2"/>
    <x v="19"/>
    <x v="2"/>
    <s v="Good"/>
  </r>
  <r>
    <n v="796"/>
    <x v="795"/>
    <x v="5"/>
    <x v="4"/>
    <x v="1"/>
    <x v="16"/>
    <x v="32"/>
    <x v="10"/>
    <x v="45"/>
    <x v="9"/>
    <x v="3"/>
    <x v="23"/>
    <x v="0"/>
    <s v="Average"/>
  </r>
  <r>
    <n v="797"/>
    <x v="796"/>
    <x v="4"/>
    <x v="5"/>
    <x v="4"/>
    <x v="19"/>
    <x v="3"/>
    <x v="61"/>
    <x v="43"/>
    <x v="12"/>
    <x v="16"/>
    <x v="17"/>
    <x v="2"/>
    <s v="Excellent"/>
  </r>
  <r>
    <n v="798"/>
    <x v="797"/>
    <x v="5"/>
    <x v="0"/>
    <x v="8"/>
    <x v="10"/>
    <x v="11"/>
    <x v="75"/>
    <x v="76"/>
    <x v="55"/>
    <x v="5"/>
    <x v="2"/>
    <x v="0"/>
    <s v="Average"/>
  </r>
  <r>
    <n v="799"/>
    <x v="798"/>
    <x v="4"/>
    <x v="5"/>
    <x v="9"/>
    <x v="18"/>
    <x v="20"/>
    <x v="23"/>
    <x v="24"/>
    <x v="28"/>
    <x v="19"/>
    <x v="29"/>
    <x v="2"/>
    <s v="Poor"/>
  </r>
  <r>
    <n v="800"/>
    <x v="799"/>
    <x v="4"/>
    <x v="2"/>
    <x v="5"/>
    <x v="23"/>
    <x v="30"/>
    <x v="22"/>
    <x v="35"/>
    <x v="24"/>
    <x v="16"/>
    <x v="36"/>
    <x v="2"/>
    <s v="Average"/>
  </r>
  <r>
    <n v="801"/>
    <x v="800"/>
    <x v="3"/>
    <x v="4"/>
    <x v="8"/>
    <x v="15"/>
    <x v="25"/>
    <x v="232"/>
    <x v="144"/>
    <x v="66"/>
    <x v="0"/>
    <x v="40"/>
    <x v="0"/>
    <s v="Average"/>
  </r>
  <r>
    <n v="802"/>
    <x v="801"/>
    <x v="1"/>
    <x v="8"/>
    <x v="1"/>
    <x v="12"/>
    <x v="32"/>
    <x v="139"/>
    <x v="65"/>
    <x v="54"/>
    <x v="39"/>
    <x v="40"/>
    <x v="0"/>
    <s v="Average"/>
  </r>
  <r>
    <n v="803"/>
    <x v="802"/>
    <x v="4"/>
    <x v="4"/>
    <x v="0"/>
    <x v="17"/>
    <x v="18"/>
    <x v="58"/>
    <x v="48"/>
    <x v="41"/>
    <x v="19"/>
    <x v="18"/>
    <x v="2"/>
    <s v="Poor"/>
  </r>
  <r>
    <n v="804"/>
    <x v="803"/>
    <x v="0"/>
    <x v="3"/>
    <x v="1"/>
    <x v="19"/>
    <x v="43"/>
    <x v="151"/>
    <x v="56"/>
    <x v="58"/>
    <x v="9"/>
    <x v="22"/>
    <x v="0"/>
    <s v="Poor"/>
  </r>
  <r>
    <n v="805"/>
    <x v="804"/>
    <x v="4"/>
    <x v="6"/>
    <x v="4"/>
    <x v="9"/>
    <x v="32"/>
    <x v="177"/>
    <x v="8"/>
    <x v="29"/>
    <x v="3"/>
    <x v="52"/>
    <x v="0"/>
    <s v="Average"/>
  </r>
  <r>
    <n v="806"/>
    <x v="805"/>
    <x v="3"/>
    <x v="3"/>
    <x v="4"/>
    <x v="24"/>
    <x v="43"/>
    <x v="57"/>
    <x v="14"/>
    <x v="55"/>
    <x v="8"/>
    <x v="11"/>
    <x v="0"/>
    <s v="Poor"/>
  </r>
  <r>
    <n v="807"/>
    <x v="806"/>
    <x v="5"/>
    <x v="8"/>
    <x v="4"/>
    <x v="10"/>
    <x v="1"/>
    <x v="34"/>
    <x v="47"/>
    <x v="28"/>
    <x v="19"/>
    <x v="10"/>
    <x v="2"/>
    <s v="Excellent"/>
  </r>
  <r>
    <n v="808"/>
    <x v="807"/>
    <x v="4"/>
    <x v="2"/>
    <x v="2"/>
    <x v="0"/>
    <x v="16"/>
    <x v="83"/>
    <x v="29"/>
    <x v="21"/>
    <x v="3"/>
    <x v="22"/>
    <x v="2"/>
    <s v="Excellent"/>
  </r>
  <r>
    <n v="809"/>
    <x v="808"/>
    <x v="6"/>
    <x v="3"/>
    <x v="0"/>
    <x v="6"/>
    <x v="11"/>
    <x v="21"/>
    <x v="57"/>
    <x v="20"/>
    <x v="16"/>
    <x v="29"/>
    <x v="2"/>
    <s v="Average"/>
  </r>
  <r>
    <n v="810"/>
    <x v="809"/>
    <x v="3"/>
    <x v="9"/>
    <x v="0"/>
    <x v="15"/>
    <x v="26"/>
    <x v="95"/>
    <x v="48"/>
    <x v="41"/>
    <x v="38"/>
    <x v="18"/>
    <x v="2"/>
    <s v="Poor"/>
  </r>
  <r>
    <n v="811"/>
    <x v="810"/>
    <x v="3"/>
    <x v="4"/>
    <x v="6"/>
    <x v="10"/>
    <x v="20"/>
    <x v="11"/>
    <x v="73"/>
    <x v="55"/>
    <x v="15"/>
    <x v="14"/>
    <x v="0"/>
    <s v="Poor"/>
  </r>
  <r>
    <n v="812"/>
    <x v="811"/>
    <x v="1"/>
    <x v="2"/>
    <x v="1"/>
    <x v="0"/>
    <x v="36"/>
    <x v="221"/>
    <x v="87"/>
    <x v="82"/>
    <x v="44"/>
    <x v="29"/>
    <x v="0"/>
    <s v="Average"/>
  </r>
  <r>
    <n v="813"/>
    <x v="812"/>
    <x v="5"/>
    <x v="8"/>
    <x v="3"/>
    <x v="31"/>
    <x v="34"/>
    <x v="70"/>
    <x v="18"/>
    <x v="19"/>
    <x v="17"/>
    <x v="2"/>
    <x v="2"/>
    <s v="Poor"/>
  </r>
  <r>
    <n v="814"/>
    <x v="813"/>
    <x v="3"/>
    <x v="0"/>
    <x v="8"/>
    <x v="15"/>
    <x v="35"/>
    <x v="120"/>
    <x v="34"/>
    <x v="58"/>
    <x v="17"/>
    <x v="33"/>
    <x v="0"/>
    <s v="Poor"/>
  </r>
  <r>
    <n v="815"/>
    <x v="814"/>
    <x v="3"/>
    <x v="5"/>
    <x v="2"/>
    <x v="10"/>
    <x v="25"/>
    <x v="145"/>
    <x v="101"/>
    <x v="48"/>
    <x v="27"/>
    <x v="22"/>
    <x v="0"/>
    <s v="Average"/>
  </r>
  <r>
    <n v="816"/>
    <x v="815"/>
    <x v="6"/>
    <x v="7"/>
    <x v="7"/>
    <x v="9"/>
    <x v="20"/>
    <x v="160"/>
    <x v="14"/>
    <x v="55"/>
    <x v="5"/>
    <x v="40"/>
    <x v="0"/>
    <s v="Poor"/>
  </r>
  <r>
    <n v="817"/>
    <x v="816"/>
    <x v="5"/>
    <x v="9"/>
    <x v="7"/>
    <x v="31"/>
    <x v="17"/>
    <x v="64"/>
    <x v="25"/>
    <x v="43"/>
    <x v="2"/>
    <x v="17"/>
    <x v="2"/>
    <s v="Good"/>
  </r>
  <r>
    <n v="818"/>
    <x v="817"/>
    <x v="2"/>
    <x v="6"/>
    <x v="3"/>
    <x v="29"/>
    <x v="13"/>
    <x v="233"/>
    <x v="62"/>
    <x v="46"/>
    <x v="62"/>
    <x v="73"/>
    <x v="3"/>
    <s v="Good"/>
  </r>
  <r>
    <n v="819"/>
    <x v="818"/>
    <x v="3"/>
    <x v="3"/>
    <x v="3"/>
    <x v="14"/>
    <x v="7"/>
    <x v="234"/>
    <x v="145"/>
    <x v="100"/>
    <x v="23"/>
    <x v="66"/>
    <x v="3"/>
    <s v="Good"/>
  </r>
  <r>
    <n v="820"/>
    <x v="819"/>
    <x v="4"/>
    <x v="3"/>
    <x v="5"/>
    <x v="18"/>
    <x v="41"/>
    <x v="153"/>
    <x v="65"/>
    <x v="63"/>
    <x v="7"/>
    <x v="7"/>
    <x v="0"/>
    <s v="Poor"/>
  </r>
  <r>
    <n v="821"/>
    <x v="820"/>
    <x v="2"/>
    <x v="1"/>
    <x v="7"/>
    <x v="29"/>
    <x v="40"/>
    <x v="54"/>
    <x v="23"/>
    <x v="22"/>
    <x v="8"/>
    <x v="9"/>
    <x v="0"/>
    <s v="Good"/>
  </r>
  <r>
    <n v="822"/>
    <x v="821"/>
    <x v="5"/>
    <x v="4"/>
    <x v="8"/>
    <x v="16"/>
    <x v="23"/>
    <x v="235"/>
    <x v="146"/>
    <x v="80"/>
    <x v="11"/>
    <x v="24"/>
    <x v="3"/>
    <s v="Poor"/>
  </r>
  <r>
    <n v="823"/>
    <x v="822"/>
    <x v="6"/>
    <x v="6"/>
    <x v="0"/>
    <x v="0"/>
    <x v="40"/>
    <x v="95"/>
    <x v="97"/>
    <x v="59"/>
    <x v="19"/>
    <x v="29"/>
    <x v="2"/>
    <s v="Good"/>
  </r>
  <r>
    <n v="824"/>
    <x v="823"/>
    <x v="4"/>
    <x v="4"/>
    <x v="1"/>
    <x v="14"/>
    <x v="21"/>
    <x v="130"/>
    <x v="30"/>
    <x v="77"/>
    <x v="52"/>
    <x v="0"/>
    <x v="0"/>
    <s v="Poor"/>
  </r>
  <r>
    <n v="825"/>
    <x v="824"/>
    <x v="5"/>
    <x v="1"/>
    <x v="7"/>
    <x v="25"/>
    <x v="18"/>
    <x v="66"/>
    <x v="21"/>
    <x v="21"/>
    <x v="3"/>
    <x v="19"/>
    <x v="2"/>
    <s v="Poor"/>
  </r>
  <r>
    <n v="826"/>
    <x v="825"/>
    <x v="0"/>
    <x v="4"/>
    <x v="3"/>
    <x v="0"/>
    <x v="37"/>
    <x v="137"/>
    <x v="74"/>
    <x v="48"/>
    <x v="10"/>
    <x v="21"/>
    <x v="0"/>
    <s v="Average"/>
  </r>
  <r>
    <n v="827"/>
    <x v="826"/>
    <x v="1"/>
    <x v="8"/>
    <x v="4"/>
    <x v="3"/>
    <x v="15"/>
    <x v="81"/>
    <x v="66"/>
    <x v="13"/>
    <x v="7"/>
    <x v="25"/>
    <x v="0"/>
    <s v="Average"/>
  </r>
  <r>
    <n v="828"/>
    <x v="827"/>
    <x v="3"/>
    <x v="5"/>
    <x v="2"/>
    <x v="20"/>
    <x v="27"/>
    <x v="40"/>
    <x v="35"/>
    <x v="24"/>
    <x v="16"/>
    <x v="17"/>
    <x v="2"/>
    <s v="Poor"/>
  </r>
  <r>
    <n v="829"/>
    <x v="828"/>
    <x v="4"/>
    <x v="7"/>
    <x v="3"/>
    <x v="23"/>
    <x v="42"/>
    <x v="27"/>
    <x v="47"/>
    <x v="28"/>
    <x v="19"/>
    <x v="22"/>
    <x v="2"/>
    <s v="Poor"/>
  </r>
  <r>
    <n v="830"/>
    <x v="829"/>
    <x v="0"/>
    <x v="0"/>
    <x v="6"/>
    <x v="23"/>
    <x v="5"/>
    <x v="22"/>
    <x v="21"/>
    <x v="19"/>
    <x v="16"/>
    <x v="10"/>
    <x v="2"/>
    <s v="Good"/>
  </r>
  <r>
    <n v="831"/>
    <x v="830"/>
    <x v="3"/>
    <x v="0"/>
    <x v="6"/>
    <x v="20"/>
    <x v="9"/>
    <x v="32"/>
    <x v="40"/>
    <x v="0"/>
    <x v="5"/>
    <x v="12"/>
    <x v="0"/>
    <s v="Excellent"/>
  </r>
  <r>
    <n v="832"/>
    <x v="831"/>
    <x v="0"/>
    <x v="1"/>
    <x v="4"/>
    <x v="14"/>
    <x v="19"/>
    <x v="63"/>
    <x v="50"/>
    <x v="24"/>
    <x v="15"/>
    <x v="7"/>
    <x v="2"/>
    <s v="Poor"/>
  </r>
  <r>
    <n v="833"/>
    <x v="832"/>
    <x v="0"/>
    <x v="8"/>
    <x v="5"/>
    <x v="9"/>
    <x v="26"/>
    <x v="75"/>
    <x v="39"/>
    <x v="22"/>
    <x v="8"/>
    <x v="2"/>
    <x v="0"/>
    <s v="Poor"/>
  </r>
  <r>
    <n v="834"/>
    <x v="833"/>
    <x v="3"/>
    <x v="7"/>
    <x v="5"/>
    <x v="20"/>
    <x v="43"/>
    <x v="236"/>
    <x v="147"/>
    <x v="104"/>
    <x v="22"/>
    <x v="26"/>
    <x v="3"/>
    <s v="Poor"/>
  </r>
  <r>
    <n v="835"/>
    <x v="834"/>
    <x v="2"/>
    <x v="9"/>
    <x v="8"/>
    <x v="27"/>
    <x v="34"/>
    <x v="119"/>
    <x v="72"/>
    <x v="35"/>
    <x v="9"/>
    <x v="17"/>
    <x v="2"/>
    <s v="Poor"/>
  </r>
  <r>
    <n v="836"/>
    <x v="835"/>
    <x v="6"/>
    <x v="5"/>
    <x v="6"/>
    <x v="6"/>
    <x v="18"/>
    <x v="237"/>
    <x v="96"/>
    <x v="37"/>
    <x v="5"/>
    <x v="41"/>
    <x v="0"/>
    <s v="Poor"/>
  </r>
  <r>
    <n v="837"/>
    <x v="836"/>
    <x v="6"/>
    <x v="8"/>
    <x v="5"/>
    <x v="7"/>
    <x v="29"/>
    <x v="42"/>
    <x v="24"/>
    <x v="20"/>
    <x v="19"/>
    <x v="22"/>
    <x v="2"/>
    <s v="Good"/>
  </r>
  <r>
    <n v="838"/>
    <x v="837"/>
    <x v="6"/>
    <x v="6"/>
    <x v="0"/>
    <x v="1"/>
    <x v="28"/>
    <x v="124"/>
    <x v="98"/>
    <x v="39"/>
    <x v="34"/>
    <x v="37"/>
    <x v="0"/>
    <s v="Excellent"/>
  </r>
  <r>
    <n v="839"/>
    <x v="838"/>
    <x v="2"/>
    <x v="3"/>
    <x v="0"/>
    <x v="27"/>
    <x v="1"/>
    <x v="238"/>
    <x v="148"/>
    <x v="14"/>
    <x v="24"/>
    <x v="6"/>
    <x v="3"/>
    <s v="Excellent"/>
  </r>
  <r>
    <n v="840"/>
    <x v="839"/>
    <x v="4"/>
    <x v="9"/>
    <x v="1"/>
    <x v="4"/>
    <x v="24"/>
    <x v="40"/>
    <x v="2"/>
    <x v="2"/>
    <x v="2"/>
    <x v="36"/>
    <x v="2"/>
    <s v="Poor"/>
  </r>
  <r>
    <n v="841"/>
    <x v="840"/>
    <x v="3"/>
    <x v="7"/>
    <x v="5"/>
    <x v="28"/>
    <x v="29"/>
    <x v="239"/>
    <x v="149"/>
    <x v="105"/>
    <x v="63"/>
    <x v="74"/>
    <x v="1"/>
    <s v="Good"/>
  </r>
  <r>
    <n v="842"/>
    <x v="841"/>
    <x v="1"/>
    <x v="5"/>
    <x v="2"/>
    <x v="8"/>
    <x v="33"/>
    <x v="62"/>
    <x v="18"/>
    <x v="9"/>
    <x v="3"/>
    <x v="3"/>
    <x v="2"/>
    <s v="Average"/>
  </r>
  <r>
    <n v="843"/>
    <x v="842"/>
    <x v="1"/>
    <x v="8"/>
    <x v="7"/>
    <x v="0"/>
    <x v="2"/>
    <x v="55"/>
    <x v="50"/>
    <x v="19"/>
    <x v="16"/>
    <x v="17"/>
    <x v="2"/>
    <s v="Excellent"/>
  </r>
  <r>
    <n v="844"/>
    <x v="843"/>
    <x v="6"/>
    <x v="4"/>
    <x v="0"/>
    <x v="5"/>
    <x v="43"/>
    <x v="20"/>
    <x v="4"/>
    <x v="19"/>
    <x v="3"/>
    <x v="3"/>
    <x v="2"/>
    <s v="Poor"/>
  </r>
  <r>
    <n v="845"/>
    <x v="844"/>
    <x v="1"/>
    <x v="6"/>
    <x v="0"/>
    <x v="11"/>
    <x v="43"/>
    <x v="139"/>
    <x v="89"/>
    <x v="63"/>
    <x v="14"/>
    <x v="3"/>
    <x v="0"/>
    <s v="Poor"/>
  </r>
  <r>
    <n v="846"/>
    <x v="845"/>
    <x v="0"/>
    <x v="3"/>
    <x v="6"/>
    <x v="22"/>
    <x v="6"/>
    <x v="158"/>
    <x v="19"/>
    <x v="33"/>
    <x v="2"/>
    <x v="33"/>
    <x v="0"/>
    <s v="Good"/>
  </r>
  <r>
    <n v="847"/>
    <x v="846"/>
    <x v="4"/>
    <x v="4"/>
    <x v="1"/>
    <x v="0"/>
    <x v="19"/>
    <x v="127"/>
    <x v="39"/>
    <x v="3"/>
    <x v="35"/>
    <x v="18"/>
    <x v="0"/>
    <s v="Poor"/>
  </r>
  <r>
    <n v="848"/>
    <x v="847"/>
    <x v="4"/>
    <x v="0"/>
    <x v="7"/>
    <x v="19"/>
    <x v="13"/>
    <x v="18"/>
    <x v="78"/>
    <x v="54"/>
    <x v="39"/>
    <x v="56"/>
    <x v="0"/>
    <s v="Good"/>
  </r>
  <r>
    <n v="849"/>
    <x v="848"/>
    <x v="6"/>
    <x v="7"/>
    <x v="9"/>
    <x v="0"/>
    <x v="43"/>
    <x v="9"/>
    <x v="41"/>
    <x v="38"/>
    <x v="8"/>
    <x v="17"/>
    <x v="2"/>
    <s v="Poor"/>
  </r>
  <r>
    <n v="850"/>
    <x v="849"/>
    <x v="3"/>
    <x v="5"/>
    <x v="6"/>
    <x v="24"/>
    <x v="11"/>
    <x v="211"/>
    <x v="105"/>
    <x v="95"/>
    <x v="40"/>
    <x v="10"/>
    <x v="3"/>
    <s v="Average"/>
  </r>
  <r>
    <n v="851"/>
    <x v="850"/>
    <x v="1"/>
    <x v="4"/>
    <x v="3"/>
    <x v="8"/>
    <x v="10"/>
    <x v="156"/>
    <x v="93"/>
    <x v="3"/>
    <x v="10"/>
    <x v="44"/>
    <x v="0"/>
    <s v="Good"/>
  </r>
  <r>
    <n v="852"/>
    <x v="851"/>
    <x v="3"/>
    <x v="9"/>
    <x v="7"/>
    <x v="4"/>
    <x v="31"/>
    <x v="24"/>
    <x v="43"/>
    <x v="2"/>
    <x v="17"/>
    <x v="17"/>
    <x v="2"/>
    <s v="Average"/>
  </r>
  <r>
    <n v="853"/>
    <x v="852"/>
    <x v="6"/>
    <x v="2"/>
    <x v="5"/>
    <x v="9"/>
    <x v="1"/>
    <x v="16"/>
    <x v="34"/>
    <x v="22"/>
    <x v="35"/>
    <x v="3"/>
    <x v="0"/>
    <s v="Excellent"/>
  </r>
  <r>
    <n v="854"/>
    <x v="853"/>
    <x v="6"/>
    <x v="6"/>
    <x v="2"/>
    <x v="23"/>
    <x v="29"/>
    <x v="82"/>
    <x v="18"/>
    <x v="18"/>
    <x v="3"/>
    <x v="29"/>
    <x v="2"/>
    <s v="Good"/>
  </r>
  <r>
    <n v="855"/>
    <x v="854"/>
    <x v="6"/>
    <x v="4"/>
    <x v="2"/>
    <x v="1"/>
    <x v="27"/>
    <x v="64"/>
    <x v="35"/>
    <x v="2"/>
    <x v="15"/>
    <x v="36"/>
    <x v="2"/>
    <s v="Poor"/>
  </r>
  <r>
    <n v="856"/>
    <x v="855"/>
    <x v="1"/>
    <x v="0"/>
    <x v="2"/>
    <x v="5"/>
    <x v="26"/>
    <x v="19"/>
    <x v="18"/>
    <x v="18"/>
    <x v="2"/>
    <x v="29"/>
    <x v="2"/>
    <s v="Poor"/>
  </r>
  <r>
    <n v="857"/>
    <x v="856"/>
    <x v="0"/>
    <x v="9"/>
    <x v="2"/>
    <x v="18"/>
    <x v="12"/>
    <x v="27"/>
    <x v="38"/>
    <x v="21"/>
    <x v="16"/>
    <x v="29"/>
    <x v="2"/>
    <s v="Good"/>
  </r>
  <r>
    <n v="858"/>
    <x v="857"/>
    <x v="3"/>
    <x v="4"/>
    <x v="7"/>
    <x v="20"/>
    <x v="17"/>
    <x v="105"/>
    <x v="50"/>
    <x v="2"/>
    <x v="16"/>
    <x v="2"/>
    <x v="2"/>
    <s v="Good"/>
  </r>
  <r>
    <n v="859"/>
    <x v="858"/>
    <x v="2"/>
    <x v="4"/>
    <x v="4"/>
    <x v="29"/>
    <x v="33"/>
    <x v="62"/>
    <x v="8"/>
    <x v="35"/>
    <x v="15"/>
    <x v="10"/>
    <x v="2"/>
    <s v="Average"/>
  </r>
  <r>
    <n v="860"/>
    <x v="859"/>
    <x v="5"/>
    <x v="8"/>
    <x v="5"/>
    <x v="16"/>
    <x v="26"/>
    <x v="142"/>
    <x v="42"/>
    <x v="5"/>
    <x v="15"/>
    <x v="33"/>
    <x v="0"/>
    <s v="Poor"/>
  </r>
  <r>
    <n v="861"/>
    <x v="860"/>
    <x v="3"/>
    <x v="5"/>
    <x v="4"/>
    <x v="20"/>
    <x v="36"/>
    <x v="149"/>
    <x v="150"/>
    <x v="81"/>
    <x v="33"/>
    <x v="75"/>
    <x v="3"/>
    <s v="Average"/>
  </r>
  <r>
    <n v="862"/>
    <x v="861"/>
    <x v="5"/>
    <x v="0"/>
    <x v="9"/>
    <x v="25"/>
    <x v="29"/>
    <x v="47"/>
    <x v="47"/>
    <x v="28"/>
    <x v="3"/>
    <x v="19"/>
    <x v="2"/>
    <s v="Good"/>
  </r>
  <r>
    <n v="863"/>
    <x v="862"/>
    <x v="6"/>
    <x v="4"/>
    <x v="5"/>
    <x v="11"/>
    <x v="40"/>
    <x v="61"/>
    <x v="43"/>
    <x v="2"/>
    <x v="16"/>
    <x v="29"/>
    <x v="2"/>
    <s v="Good"/>
  </r>
  <r>
    <n v="864"/>
    <x v="863"/>
    <x v="5"/>
    <x v="9"/>
    <x v="9"/>
    <x v="25"/>
    <x v="30"/>
    <x v="51"/>
    <x v="41"/>
    <x v="58"/>
    <x v="10"/>
    <x v="7"/>
    <x v="0"/>
    <s v="Average"/>
  </r>
  <r>
    <n v="865"/>
    <x v="864"/>
    <x v="3"/>
    <x v="0"/>
    <x v="8"/>
    <x v="4"/>
    <x v="4"/>
    <x v="25"/>
    <x v="101"/>
    <x v="40"/>
    <x v="15"/>
    <x v="25"/>
    <x v="0"/>
    <s v="Good"/>
  </r>
  <r>
    <n v="866"/>
    <x v="865"/>
    <x v="3"/>
    <x v="2"/>
    <x v="7"/>
    <x v="15"/>
    <x v="6"/>
    <x v="132"/>
    <x v="19"/>
    <x v="29"/>
    <x v="2"/>
    <x v="36"/>
    <x v="2"/>
    <s v="Good"/>
  </r>
  <r>
    <n v="867"/>
    <x v="866"/>
    <x v="6"/>
    <x v="4"/>
    <x v="8"/>
    <x v="1"/>
    <x v="22"/>
    <x v="58"/>
    <x v="48"/>
    <x v="59"/>
    <x v="19"/>
    <x v="29"/>
    <x v="2"/>
    <s v="Average"/>
  </r>
  <r>
    <n v="868"/>
    <x v="867"/>
    <x v="2"/>
    <x v="9"/>
    <x v="4"/>
    <x v="29"/>
    <x v="13"/>
    <x v="154"/>
    <x v="14"/>
    <x v="38"/>
    <x v="15"/>
    <x v="33"/>
    <x v="0"/>
    <s v="Good"/>
  </r>
  <r>
    <n v="869"/>
    <x v="868"/>
    <x v="5"/>
    <x v="4"/>
    <x v="2"/>
    <x v="16"/>
    <x v="25"/>
    <x v="48"/>
    <x v="29"/>
    <x v="21"/>
    <x v="19"/>
    <x v="5"/>
    <x v="2"/>
    <s v="Average"/>
  </r>
  <r>
    <n v="870"/>
    <x v="869"/>
    <x v="2"/>
    <x v="9"/>
    <x v="2"/>
    <x v="2"/>
    <x v="28"/>
    <x v="240"/>
    <x v="135"/>
    <x v="92"/>
    <x v="64"/>
    <x v="31"/>
    <x v="3"/>
    <s v="Excellent"/>
  </r>
  <r>
    <n v="871"/>
    <x v="870"/>
    <x v="1"/>
    <x v="1"/>
    <x v="6"/>
    <x v="7"/>
    <x v="0"/>
    <x v="3"/>
    <x v="72"/>
    <x v="35"/>
    <x v="35"/>
    <x v="0"/>
    <x v="0"/>
    <s v="Excellent"/>
  </r>
  <r>
    <n v="872"/>
    <x v="871"/>
    <x v="4"/>
    <x v="5"/>
    <x v="0"/>
    <x v="19"/>
    <x v="27"/>
    <x v="5"/>
    <x v="72"/>
    <x v="33"/>
    <x v="17"/>
    <x v="3"/>
    <x v="0"/>
    <s v="Poor"/>
  </r>
  <r>
    <n v="873"/>
    <x v="872"/>
    <x v="0"/>
    <x v="9"/>
    <x v="2"/>
    <x v="17"/>
    <x v="33"/>
    <x v="96"/>
    <x v="41"/>
    <x v="35"/>
    <x v="8"/>
    <x v="0"/>
    <x v="0"/>
    <s v="Average"/>
  </r>
  <r>
    <n v="874"/>
    <x v="873"/>
    <x v="2"/>
    <x v="9"/>
    <x v="2"/>
    <x v="2"/>
    <x v="26"/>
    <x v="64"/>
    <x v="22"/>
    <x v="43"/>
    <x v="2"/>
    <x v="18"/>
    <x v="2"/>
    <s v="Poor"/>
  </r>
  <r>
    <n v="875"/>
    <x v="874"/>
    <x v="0"/>
    <x v="4"/>
    <x v="1"/>
    <x v="18"/>
    <x v="39"/>
    <x v="30"/>
    <x v="8"/>
    <x v="18"/>
    <x v="17"/>
    <x v="33"/>
    <x v="2"/>
    <s v="Poor"/>
  </r>
  <r>
    <n v="876"/>
    <x v="875"/>
    <x v="0"/>
    <x v="2"/>
    <x v="8"/>
    <x v="9"/>
    <x v="1"/>
    <x v="61"/>
    <x v="43"/>
    <x v="12"/>
    <x v="3"/>
    <x v="29"/>
    <x v="2"/>
    <s v="Excellent"/>
  </r>
  <r>
    <n v="877"/>
    <x v="876"/>
    <x v="5"/>
    <x v="9"/>
    <x v="5"/>
    <x v="21"/>
    <x v="21"/>
    <x v="150"/>
    <x v="74"/>
    <x v="22"/>
    <x v="0"/>
    <x v="18"/>
    <x v="0"/>
    <s v="Poor"/>
  </r>
  <r>
    <n v="878"/>
    <x v="877"/>
    <x v="3"/>
    <x v="2"/>
    <x v="6"/>
    <x v="15"/>
    <x v="24"/>
    <x v="23"/>
    <x v="57"/>
    <x v="28"/>
    <x v="19"/>
    <x v="36"/>
    <x v="2"/>
    <s v="Poor"/>
  </r>
  <r>
    <n v="879"/>
    <x v="878"/>
    <x v="0"/>
    <x v="6"/>
    <x v="7"/>
    <x v="9"/>
    <x v="29"/>
    <x v="24"/>
    <x v="29"/>
    <x v="2"/>
    <x v="17"/>
    <x v="19"/>
    <x v="2"/>
    <s v="Good"/>
  </r>
  <r>
    <n v="880"/>
    <x v="879"/>
    <x v="1"/>
    <x v="2"/>
    <x v="8"/>
    <x v="3"/>
    <x v="9"/>
    <x v="150"/>
    <x v="75"/>
    <x v="22"/>
    <x v="9"/>
    <x v="35"/>
    <x v="0"/>
    <s v="Excellent"/>
  </r>
  <r>
    <n v="881"/>
    <x v="880"/>
    <x v="5"/>
    <x v="6"/>
    <x v="5"/>
    <x v="21"/>
    <x v="36"/>
    <x v="137"/>
    <x v="74"/>
    <x v="10"/>
    <x v="24"/>
    <x v="25"/>
    <x v="0"/>
    <s v="Average"/>
  </r>
  <r>
    <n v="882"/>
    <x v="881"/>
    <x v="5"/>
    <x v="0"/>
    <x v="6"/>
    <x v="25"/>
    <x v="19"/>
    <x v="43"/>
    <x v="19"/>
    <x v="29"/>
    <x v="2"/>
    <x v="17"/>
    <x v="2"/>
    <s v="Poor"/>
  </r>
  <r>
    <n v="883"/>
    <x v="882"/>
    <x v="0"/>
    <x v="7"/>
    <x v="7"/>
    <x v="22"/>
    <x v="34"/>
    <x v="64"/>
    <x v="50"/>
    <x v="43"/>
    <x v="17"/>
    <x v="18"/>
    <x v="2"/>
    <s v="Poor"/>
  </r>
  <r>
    <n v="884"/>
    <x v="883"/>
    <x v="6"/>
    <x v="5"/>
    <x v="5"/>
    <x v="6"/>
    <x v="42"/>
    <x v="19"/>
    <x v="22"/>
    <x v="2"/>
    <x v="16"/>
    <x v="3"/>
    <x v="2"/>
    <s v="Poor"/>
  </r>
  <r>
    <n v="885"/>
    <x v="884"/>
    <x v="5"/>
    <x v="3"/>
    <x v="4"/>
    <x v="26"/>
    <x v="0"/>
    <x v="62"/>
    <x v="50"/>
    <x v="29"/>
    <x v="2"/>
    <x v="33"/>
    <x v="2"/>
    <s v="Excellent"/>
  </r>
  <r>
    <n v="886"/>
    <x v="885"/>
    <x v="3"/>
    <x v="4"/>
    <x v="8"/>
    <x v="15"/>
    <x v="30"/>
    <x v="40"/>
    <x v="21"/>
    <x v="24"/>
    <x v="17"/>
    <x v="22"/>
    <x v="2"/>
    <s v="Average"/>
  </r>
  <r>
    <n v="887"/>
    <x v="886"/>
    <x v="1"/>
    <x v="6"/>
    <x v="6"/>
    <x v="5"/>
    <x v="3"/>
    <x v="19"/>
    <x v="22"/>
    <x v="2"/>
    <x v="16"/>
    <x v="3"/>
    <x v="2"/>
    <s v="Excellent"/>
  </r>
  <r>
    <n v="888"/>
    <x v="887"/>
    <x v="3"/>
    <x v="5"/>
    <x v="5"/>
    <x v="10"/>
    <x v="9"/>
    <x v="30"/>
    <x v="18"/>
    <x v="18"/>
    <x v="15"/>
    <x v="33"/>
    <x v="2"/>
    <s v="Excellent"/>
  </r>
  <r>
    <n v="889"/>
    <x v="888"/>
    <x v="4"/>
    <x v="4"/>
    <x v="2"/>
    <x v="22"/>
    <x v="32"/>
    <x v="9"/>
    <x v="36"/>
    <x v="9"/>
    <x v="8"/>
    <x v="2"/>
    <x v="2"/>
    <s v="Average"/>
  </r>
  <r>
    <n v="890"/>
    <x v="889"/>
    <x v="0"/>
    <x v="2"/>
    <x v="7"/>
    <x v="14"/>
    <x v="6"/>
    <x v="194"/>
    <x v="65"/>
    <x v="58"/>
    <x v="5"/>
    <x v="12"/>
    <x v="0"/>
    <s v="Good"/>
  </r>
  <r>
    <n v="891"/>
    <x v="890"/>
    <x v="1"/>
    <x v="0"/>
    <x v="0"/>
    <x v="7"/>
    <x v="26"/>
    <x v="36"/>
    <x v="22"/>
    <x v="29"/>
    <x v="8"/>
    <x v="7"/>
    <x v="2"/>
    <s v="Poor"/>
  </r>
  <r>
    <n v="892"/>
    <x v="891"/>
    <x v="2"/>
    <x v="7"/>
    <x v="9"/>
    <x v="2"/>
    <x v="36"/>
    <x v="57"/>
    <x v="9"/>
    <x v="3"/>
    <x v="8"/>
    <x v="9"/>
    <x v="0"/>
    <s v="Average"/>
  </r>
  <r>
    <n v="893"/>
    <x v="892"/>
    <x v="3"/>
    <x v="8"/>
    <x v="7"/>
    <x v="4"/>
    <x v="20"/>
    <x v="83"/>
    <x v="29"/>
    <x v="2"/>
    <x v="17"/>
    <x v="29"/>
    <x v="2"/>
    <s v="Poor"/>
  </r>
  <r>
    <n v="894"/>
    <x v="893"/>
    <x v="0"/>
    <x v="6"/>
    <x v="3"/>
    <x v="0"/>
    <x v="25"/>
    <x v="63"/>
    <x v="18"/>
    <x v="18"/>
    <x v="8"/>
    <x v="17"/>
    <x v="2"/>
    <s v="Average"/>
  </r>
  <r>
    <n v="895"/>
    <x v="894"/>
    <x v="6"/>
    <x v="2"/>
    <x v="4"/>
    <x v="1"/>
    <x v="14"/>
    <x v="43"/>
    <x v="36"/>
    <x v="19"/>
    <x v="15"/>
    <x v="10"/>
    <x v="2"/>
    <s v="Poor"/>
  </r>
  <r>
    <n v="896"/>
    <x v="895"/>
    <x v="1"/>
    <x v="5"/>
    <x v="5"/>
    <x v="1"/>
    <x v="2"/>
    <x v="162"/>
    <x v="18"/>
    <x v="43"/>
    <x v="8"/>
    <x v="29"/>
    <x v="2"/>
    <s v="Excellent"/>
  </r>
  <r>
    <n v="897"/>
    <x v="896"/>
    <x v="2"/>
    <x v="6"/>
    <x v="3"/>
    <x v="12"/>
    <x v="8"/>
    <x v="100"/>
    <x v="9"/>
    <x v="9"/>
    <x v="5"/>
    <x v="7"/>
    <x v="0"/>
    <s v="Excellent"/>
  </r>
  <r>
    <n v="898"/>
    <x v="897"/>
    <x v="1"/>
    <x v="9"/>
    <x v="3"/>
    <x v="3"/>
    <x v="24"/>
    <x v="168"/>
    <x v="56"/>
    <x v="5"/>
    <x v="27"/>
    <x v="33"/>
    <x v="0"/>
    <s v="Poor"/>
  </r>
  <r>
    <n v="899"/>
    <x v="898"/>
    <x v="2"/>
    <x v="3"/>
    <x v="4"/>
    <x v="13"/>
    <x v="18"/>
    <x v="22"/>
    <x v="25"/>
    <x v="12"/>
    <x v="3"/>
    <x v="19"/>
    <x v="2"/>
    <s v="Poor"/>
  </r>
  <r>
    <n v="900"/>
    <x v="899"/>
    <x v="1"/>
    <x v="0"/>
    <x v="1"/>
    <x v="1"/>
    <x v="25"/>
    <x v="54"/>
    <x v="74"/>
    <x v="39"/>
    <x v="34"/>
    <x v="36"/>
    <x v="0"/>
    <s v="Average"/>
  </r>
  <r>
    <n v="901"/>
    <x v="900"/>
    <x v="3"/>
    <x v="5"/>
    <x v="2"/>
    <x v="20"/>
    <x v="37"/>
    <x v="55"/>
    <x v="43"/>
    <x v="19"/>
    <x v="17"/>
    <x v="22"/>
    <x v="2"/>
    <s v="Average"/>
  </r>
  <r>
    <n v="902"/>
    <x v="901"/>
    <x v="1"/>
    <x v="2"/>
    <x v="4"/>
    <x v="8"/>
    <x v="15"/>
    <x v="105"/>
    <x v="18"/>
    <x v="18"/>
    <x v="16"/>
    <x v="36"/>
    <x v="2"/>
    <s v="Average"/>
  </r>
  <r>
    <n v="903"/>
    <x v="902"/>
    <x v="6"/>
    <x v="6"/>
    <x v="7"/>
    <x v="11"/>
    <x v="19"/>
    <x v="83"/>
    <x v="21"/>
    <x v="12"/>
    <x v="3"/>
    <x v="17"/>
    <x v="2"/>
    <s v="Poor"/>
  </r>
  <r>
    <n v="904"/>
    <x v="903"/>
    <x v="1"/>
    <x v="2"/>
    <x v="7"/>
    <x v="8"/>
    <x v="33"/>
    <x v="32"/>
    <x v="93"/>
    <x v="3"/>
    <x v="35"/>
    <x v="9"/>
    <x v="0"/>
    <s v="Average"/>
  </r>
  <r>
    <n v="905"/>
    <x v="904"/>
    <x v="1"/>
    <x v="0"/>
    <x v="8"/>
    <x v="3"/>
    <x v="23"/>
    <x v="241"/>
    <x v="151"/>
    <x v="27"/>
    <x v="43"/>
    <x v="46"/>
    <x v="3"/>
    <s v="Poor"/>
  </r>
  <r>
    <n v="906"/>
    <x v="905"/>
    <x v="3"/>
    <x v="8"/>
    <x v="9"/>
    <x v="4"/>
    <x v="12"/>
    <x v="23"/>
    <x v="20"/>
    <x v="28"/>
    <x v="16"/>
    <x v="29"/>
    <x v="2"/>
    <s v="Good"/>
  </r>
  <r>
    <n v="907"/>
    <x v="906"/>
    <x v="6"/>
    <x v="2"/>
    <x v="1"/>
    <x v="23"/>
    <x v="30"/>
    <x v="197"/>
    <x v="75"/>
    <x v="55"/>
    <x v="0"/>
    <x v="22"/>
    <x v="0"/>
    <s v="Average"/>
  </r>
  <r>
    <n v="908"/>
    <x v="907"/>
    <x v="5"/>
    <x v="9"/>
    <x v="8"/>
    <x v="10"/>
    <x v="17"/>
    <x v="132"/>
    <x v="8"/>
    <x v="35"/>
    <x v="17"/>
    <x v="22"/>
    <x v="2"/>
    <s v="Good"/>
  </r>
  <r>
    <n v="909"/>
    <x v="908"/>
    <x v="0"/>
    <x v="7"/>
    <x v="9"/>
    <x v="14"/>
    <x v="18"/>
    <x v="24"/>
    <x v="25"/>
    <x v="2"/>
    <x v="19"/>
    <x v="22"/>
    <x v="2"/>
    <s v="Poor"/>
  </r>
  <r>
    <n v="910"/>
    <x v="909"/>
    <x v="5"/>
    <x v="4"/>
    <x v="0"/>
    <x v="21"/>
    <x v="5"/>
    <x v="27"/>
    <x v="47"/>
    <x v="21"/>
    <x v="19"/>
    <x v="36"/>
    <x v="2"/>
    <s v="Good"/>
  </r>
  <r>
    <n v="911"/>
    <x v="910"/>
    <x v="3"/>
    <x v="0"/>
    <x v="7"/>
    <x v="20"/>
    <x v="42"/>
    <x v="57"/>
    <x v="42"/>
    <x v="58"/>
    <x v="8"/>
    <x v="9"/>
    <x v="0"/>
    <s v="Poor"/>
  </r>
  <r>
    <n v="912"/>
    <x v="911"/>
    <x v="5"/>
    <x v="7"/>
    <x v="3"/>
    <x v="16"/>
    <x v="31"/>
    <x v="157"/>
    <x v="9"/>
    <x v="38"/>
    <x v="3"/>
    <x v="11"/>
    <x v="0"/>
    <s v="Average"/>
  </r>
  <r>
    <n v="913"/>
    <x v="912"/>
    <x v="1"/>
    <x v="9"/>
    <x v="2"/>
    <x v="11"/>
    <x v="15"/>
    <x v="140"/>
    <x v="64"/>
    <x v="37"/>
    <x v="9"/>
    <x v="30"/>
    <x v="0"/>
    <s v="Average"/>
  </r>
  <r>
    <n v="914"/>
    <x v="913"/>
    <x v="4"/>
    <x v="6"/>
    <x v="1"/>
    <x v="23"/>
    <x v="4"/>
    <x v="181"/>
    <x v="68"/>
    <x v="84"/>
    <x v="27"/>
    <x v="42"/>
    <x v="0"/>
    <s v="Good"/>
  </r>
  <r>
    <n v="915"/>
    <x v="914"/>
    <x v="5"/>
    <x v="3"/>
    <x v="3"/>
    <x v="25"/>
    <x v="29"/>
    <x v="93"/>
    <x v="114"/>
    <x v="61"/>
    <x v="7"/>
    <x v="13"/>
    <x v="0"/>
    <s v="Good"/>
  </r>
  <r>
    <n v="916"/>
    <x v="915"/>
    <x v="1"/>
    <x v="7"/>
    <x v="2"/>
    <x v="11"/>
    <x v="0"/>
    <x v="46"/>
    <x v="47"/>
    <x v="28"/>
    <x v="19"/>
    <x v="36"/>
    <x v="2"/>
    <s v="Excellent"/>
  </r>
  <r>
    <n v="917"/>
    <x v="916"/>
    <x v="4"/>
    <x v="9"/>
    <x v="9"/>
    <x v="19"/>
    <x v="1"/>
    <x v="42"/>
    <x v="24"/>
    <x v="28"/>
    <x v="19"/>
    <x v="36"/>
    <x v="2"/>
    <s v="Excellent"/>
  </r>
  <r>
    <n v="918"/>
    <x v="917"/>
    <x v="3"/>
    <x v="5"/>
    <x v="5"/>
    <x v="14"/>
    <x v="40"/>
    <x v="242"/>
    <x v="63"/>
    <x v="77"/>
    <x v="8"/>
    <x v="20"/>
    <x v="0"/>
    <s v="Good"/>
  </r>
  <r>
    <n v="919"/>
    <x v="918"/>
    <x v="3"/>
    <x v="2"/>
    <x v="0"/>
    <x v="24"/>
    <x v="2"/>
    <x v="150"/>
    <x v="0"/>
    <x v="55"/>
    <x v="8"/>
    <x v="52"/>
    <x v="0"/>
    <s v="Excellent"/>
  </r>
  <r>
    <n v="920"/>
    <x v="919"/>
    <x v="3"/>
    <x v="3"/>
    <x v="2"/>
    <x v="20"/>
    <x v="23"/>
    <x v="71"/>
    <x v="7"/>
    <x v="3"/>
    <x v="27"/>
    <x v="33"/>
    <x v="0"/>
    <s v="Poor"/>
  </r>
  <r>
    <n v="921"/>
    <x v="920"/>
    <x v="5"/>
    <x v="4"/>
    <x v="9"/>
    <x v="21"/>
    <x v="30"/>
    <x v="173"/>
    <x v="57"/>
    <x v="41"/>
    <x v="19"/>
    <x v="18"/>
    <x v="2"/>
    <s v="Average"/>
  </r>
  <r>
    <n v="922"/>
    <x v="921"/>
    <x v="6"/>
    <x v="9"/>
    <x v="0"/>
    <x v="11"/>
    <x v="25"/>
    <x v="30"/>
    <x v="18"/>
    <x v="19"/>
    <x v="2"/>
    <x v="11"/>
    <x v="2"/>
    <s v="Average"/>
  </r>
  <r>
    <n v="923"/>
    <x v="922"/>
    <x v="1"/>
    <x v="9"/>
    <x v="5"/>
    <x v="11"/>
    <x v="15"/>
    <x v="48"/>
    <x v="29"/>
    <x v="2"/>
    <x v="19"/>
    <x v="7"/>
    <x v="2"/>
    <s v="Average"/>
  </r>
  <r>
    <n v="924"/>
    <x v="923"/>
    <x v="6"/>
    <x v="6"/>
    <x v="2"/>
    <x v="7"/>
    <x v="42"/>
    <x v="127"/>
    <x v="93"/>
    <x v="5"/>
    <x v="8"/>
    <x v="19"/>
    <x v="0"/>
    <s v="Poor"/>
  </r>
  <r>
    <n v="925"/>
    <x v="924"/>
    <x v="5"/>
    <x v="2"/>
    <x v="9"/>
    <x v="16"/>
    <x v="28"/>
    <x v="42"/>
    <x v="24"/>
    <x v="28"/>
    <x v="16"/>
    <x v="17"/>
    <x v="2"/>
    <s v="Excellent"/>
  </r>
  <r>
    <n v="926"/>
    <x v="925"/>
    <x v="3"/>
    <x v="8"/>
    <x v="3"/>
    <x v="15"/>
    <x v="13"/>
    <x v="243"/>
    <x v="56"/>
    <x v="8"/>
    <x v="39"/>
    <x v="0"/>
    <x v="0"/>
    <s v="Good"/>
  </r>
  <r>
    <n v="927"/>
    <x v="926"/>
    <x v="0"/>
    <x v="2"/>
    <x v="1"/>
    <x v="14"/>
    <x v="27"/>
    <x v="155"/>
    <x v="76"/>
    <x v="34"/>
    <x v="26"/>
    <x v="10"/>
    <x v="0"/>
    <s v="Poor"/>
  </r>
  <r>
    <n v="928"/>
    <x v="927"/>
    <x v="5"/>
    <x v="0"/>
    <x v="6"/>
    <x v="31"/>
    <x v="31"/>
    <x v="193"/>
    <x v="66"/>
    <x v="63"/>
    <x v="39"/>
    <x v="26"/>
    <x v="0"/>
    <s v="Average"/>
  </r>
  <r>
    <n v="929"/>
    <x v="928"/>
    <x v="4"/>
    <x v="4"/>
    <x v="2"/>
    <x v="14"/>
    <x v="35"/>
    <x v="47"/>
    <x v="21"/>
    <x v="21"/>
    <x v="16"/>
    <x v="17"/>
    <x v="2"/>
    <s v="Poor"/>
  </r>
  <r>
    <n v="930"/>
    <x v="929"/>
    <x v="1"/>
    <x v="5"/>
    <x v="6"/>
    <x v="0"/>
    <x v="24"/>
    <x v="46"/>
    <x v="38"/>
    <x v="21"/>
    <x v="16"/>
    <x v="18"/>
    <x v="2"/>
    <s v="Poor"/>
  </r>
  <r>
    <n v="931"/>
    <x v="930"/>
    <x v="6"/>
    <x v="5"/>
    <x v="1"/>
    <x v="23"/>
    <x v="34"/>
    <x v="40"/>
    <x v="2"/>
    <x v="24"/>
    <x v="2"/>
    <x v="17"/>
    <x v="2"/>
    <s v="Poor"/>
  </r>
  <r>
    <n v="932"/>
    <x v="931"/>
    <x v="0"/>
    <x v="9"/>
    <x v="2"/>
    <x v="18"/>
    <x v="0"/>
    <x v="24"/>
    <x v="2"/>
    <x v="2"/>
    <x v="17"/>
    <x v="36"/>
    <x v="2"/>
    <s v="Excellent"/>
  </r>
  <r>
    <n v="933"/>
    <x v="932"/>
    <x v="0"/>
    <x v="7"/>
    <x v="4"/>
    <x v="19"/>
    <x v="37"/>
    <x v="140"/>
    <x v="64"/>
    <x v="65"/>
    <x v="27"/>
    <x v="35"/>
    <x v="0"/>
    <s v="Average"/>
  </r>
  <r>
    <n v="934"/>
    <x v="933"/>
    <x v="5"/>
    <x v="1"/>
    <x v="2"/>
    <x v="31"/>
    <x v="32"/>
    <x v="124"/>
    <x v="73"/>
    <x v="67"/>
    <x v="5"/>
    <x v="21"/>
    <x v="0"/>
    <s v="Average"/>
  </r>
  <r>
    <n v="935"/>
    <x v="934"/>
    <x v="4"/>
    <x v="0"/>
    <x v="6"/>
    <x v="14"/>
    <x v="35"/>
    <x v="91"/>
    <x v="38"/>
    <x v="2"/>
    <x v="19"/>
    <x v="22"/>
    <x v="2"/>
    <s v="Poor"/>
  </r>
  <r>
    <n v="936"/>
    <x v="935"/>
    <x v="6"/>
    <x v="7"/>
    <x v="1"/>
    <x v="6"/>
    <x v="7"/>
    <x v="116"/>
    <x v="20"/>
    <x v="20"/>
    <x v="16"/>
    <x v="36"/>
    <x v="2"/>
    <s v="Good"/>
  </r>
  <r>
    <n v="937"/>
    <x v="936"/>
    <x v="0"/>
    <x v="9"/>
    <x v="3"/>
    <x v="14"/>
    <x v="43"/>
    <x v="200"/>
    <x v="63"/>
    <x v="34"/>
    <x v="0"/>
    <x v="33"/>
    <x v="0"/>
    <s v="Poor"/>
  </r>
  <r>
    <n v="938"/>
    <x v="937"/>
    <x v="4"/>
    <x v="2"/>
    <x v="8"/>
    <x v="4"/>
    <x v="5"/>
    <x v="107"/>
    <x v="8"/>
    <x v="29"/>
    <x v="3"/>
    <x v="2"/>
    <x v="2"/>
    <s v="Good"/>
  </r>
  <r>
    <n v="939"/>
    <x v="938"/>
    <x v="1"/>
    <x v="5"/>
    <x v="7"/>
    <x v="3"/>
    <x v="38"/>
    <x v="162"/>
    <x v="22"/>
    <x v="19"/>
    <x v="2"/>
    <x v="10"/>
    <x v="2"/>
    <s v="Excellent"/>
  </r>
  <r>
    <n v="940"/>
    <x v="939"/>
    <x v="0"/>
    <x v="6"/>
    <x v="9"/>
    <x v="22"/>
    <x v="15"/>
    <x v="169"/>
    <x v="61"/>
    <x v="33"/>
    <x v="5"/>
    <x v="9"/>
    <x v="0"/>
    <s v="Average"/>
  </r>
  <r>
    <n v="941"/>
    <x v="940"/>
    <x v="1"/>
    <x v="7"/>
    <x v="1"/>
    <x v="0"/>
    <x v="2"/>
    <x v="65"/>
    <x v="27"/>
    <x v="62"/>
    <x v="21"/>
    <x v="15"/>
    <x v="0"/>
    <s v="Excellent"/>
  </r>
  <r>
    <n v="942"/>
    <x v="941"/>
    <x v="2"/>
    <x v="1"/>
    <x v="5"/>
    <x v="13"/>
    <x v="22"/>
    <x v="7"/>
    <x v="152"/>
    <x v="8"/>
    <x v="39"/>
    <x v="0"/>
    <x v="0"/>
    <s v="Average"/>
  </r>
  <r>
    <n v="943"/>
    <x v="942"/>
    <x v="3"/>
    <x v="9"/>
    <x v="1"/>
    <x v="14"/>
    <x v="28"/>
    <x v="244"/>
    <x v="82"/>
    <x v="16"/>
    <x v="21"/>
    <x v="66"/>
    <x v="3"/>
    <s v="Excellent"/>
  </r>
  <r>
    <n v="944"/>
    <x v="943"/>
    <x v="4"/>
    <x v="6"/>
    <x v="1"/>
    <x v="18"/>
    <x v="39"/>
    <x v="154"/>
    <x v="69"/>
    <x v="33"/>
    <x v="5"/>
    <x v="0"/>
    <x v="0"/>
    <s v="Poor"/>
  </r>
  <r>
    <n v="945"/>
    <x v="944"/>
    <x v="3"/>
    <x v="1"/>
    <x v="9"/>
    <x v="15"/>
    <x v="18"/>
    <x v="4"/>
    <x v="153"/>
    <x v="106"/>
    <x v="65"/>
    <x v="76"/>
    <x v="3"/>
    <s v="Poor"/>
  </r>
  <r>
    <n v="946"/>
    <x v="945"/>
    <x v="0"/>
    <x v="1"/>
    <x v="0"/>
    <x v="9"/>
    <x v="26"/>
    <x v="245"/>
    <x v="102"/>
    <x v="7"/>
    <x v="14"/>
    <x v="23"/>
    <x v="0"/>
    <s v="Poor"/>
  </r>
  <r>
    <n v="947"/>
    <x v="946"/>
    <x v="0"/>
    <x v="4"/>
    <x v="9"/>
    <x v="19"/>
    <x v="31"/>
    <x v="246"/>
    <x v="115"/>
    <x v="107"/>
    <x v="46"/>
    <x v="18"/>
    <x v="3"/>
    <s v="Average"/>
  </r>
  <r>
    <n v="948"/>
    <x v="947"/>
    <x v="2"/>
    <x v="9"/>
    <x v="8"/>
    <x v="13"/>
    <x v="35"/>
    <x v="247"/>
    <x v="96"/>
    <x v="14"/>
    <x v="28"/>
    <x v="77"/>
    <x v="3"/>
    <s v="Poor"/>
  </r>
  <r>
    <n v="949"/>
    <x v="948"/>
    <x v="1"/>
    <x v="6"/>
    <x v="6"/>
    <x v="1"/>
    <x v="36"/>
    <x v="61"/>
    <x v="43"/>
    <x v="21"/>
    <x v="16"/>
    <x v="36"/>
    <x v="2"/>
    <s v="Average"/>
  </r>
  <r>
    <n v="950"/>
    <x v="949"/>
    <x v="5"/>
    <x v="5"/>
    <x v="0"/>
    <x v="10"/>
    <x v="23"/>
    <x v="40"/>
    <x v="35"/>
    <x v="24"/>
    <x v="17"/>
    <x v="18"/>
    <x v="2"/>
    <s v="Poor"/>
  </r>
  <r>
    <n v="951"/>
    <x v="950"/>
    <x v="1"/>
    <x v="5"/>
    <x v="9"/>
    <x v="8"/>
    <x v="36"/>
    <x v="131"/>
    <x v="114"/>
    <x v="40"/>
    <x v="21"/>
    <x v="56"/>
    <x v="0"/>
    <s v="Average"/>
  </r>
  <r>
    <n v="952"/>
    <x v="951"/>
    <x v="0"/>
    <x v="1"/>
    <x v="5"/>
    <x v="23"/>
    <x v="40"/>
    <x v="92"/>
    <x v="72"/>
    <x v="55"/>
    <x v="2"/>
    <x v="2"/>
    <x v="0"/>
    <s v="Good"/>
  </r>
  <r>
    <n v="953"/>
    <x v="952"/>
    <x v="3"/>
    <x v="0"/>
    <x v="7"/>
    <x v="28"/>
    <x v="22"/>
    <x v="248"/>
    <x v="130"/>
    <x v="104"/>
    <x v="50"/>
    <x v="67"/>
    <x v="3"/>
    <s v="Average"/>
  </r>
  <r>
    <n v="954"/>
    <x v="953"/>
    <x v="6"/>
    <x v="0"/>
    <x v="7"/>
    <x v="6"/>
    <x v="4"/>
    <x v="89"/>
    <x v="45"/>
    <x v="10"/>
    <x v="0"/>
    <x v="3"/>
    <x v="0"/>
    <s v="Good"/>
  </r>
  <r>
    <n v="955"/>
    <x v="954"/>
    <x v="5"/>
    <x v="1"/>
    <x v="9"/>
    <x v="21"/>
    <x v="20"/>
    <x v="120"/>
    <x v="49"/>
    <x v="58"/>
    <x v="5"/>
    <x v="23"/>
    <x v="0"/>
    <s v="Poor"/>
  </r>
  <r>
    <n v="956"/>
    <x v="955"/>
    <x v="6"/>
    <x v="6"/>
    <x v="0"/>
    <x v="6"/>
    <x v="8"/>
    <x v="63"/>
    <x v="36"/>
    <x v="43"/>
    <x v="17"/>
    <x v="19"/>
    <x v="2"/>
    <s v="Excellent"/>
  </r>
  <r>
    <n v="957"/>
    <x v="956"/>
    <x v="2"/>
    <x v="9"/>
    <x v="4"/>
    <x v="27"/>
    <x v="15"/>
    <x v="75"/>
    <x v="45"/>
    <x v="55"/>
    <x v="9"/>
    <x v="33"/>
    <x v="0"/>
    <s v="Average"/>
  </r>
  <r>
    <n v="958"/>
    <x v="957"/>
    <x v="1"/>
    <x v="1"/>
    <x v="2"/>
    <x v="6"/>
    <x v="14"/>
    <x v="57"/>
    <x v="76"/>
    <x v="0"/>
    <x v="8"/>
    <x v="5"/>
    <x v="0"/>
    <s v="Poor"/>
  </r>
  <r>
    <n v="959"/>
    <x v="958"/>
    <x v="3"/>
    <x v="6"/>
    <x v="4"/>
    <x v="10"/>
    <x v="27"/>
    <x v="65"/>
    <x v="28"/>
    <x v="27"/>
    <x v="42"/>
    <x v="18"/>
    <x v="0"/>
    <s v="Poor"/>
  </r>
  <r>
    <n v="960"/>
    <x v="959"/>
    <x v="3"/>
    <x v="6"/>
    <x v="7"/>
    <x v="20"/>
    <x v="16"/>
    <x v="249"/>
    <x v="154"/>
    <x v="108"/>
    <x v="66"/>
    <x v="4"/>
    <x v="1"/>
    <s v="Excellent"/>
  </r>
  <r>
    <n v="961"/>
    <x v="960"/>
    <x v="2"/>
    <x v="5"/>
    <x v="1"/>
    <x v="13"/>
    <x v="11"/>
    <x v="25"/>
    <x v="73"/>
    <x v="23"/>
    <x v="35"/>
    <x v="0"/>
    <x v="0"/>
    <s v="Average"/>
  </r>
  <r>
    <n v="962"/>
    <x v="961"/>
    <x v="5"/>
    <x v="2"/>
    <x v="0"/>
    <x v="10"/>
    <x v="22"/>
    <x v="42"/>
    <x v="38"/>
    <x v="28"/>
    <x v="16"/>
    <x v="18"/>
    <x v="2"/>
    <s v="Average"/>
  </r>
  <r>
    <n v="963"/>
    <x v="962"/>
    <x v="3"/>
    <x v="2"/>
    <x v="3"/>
    <x v="20"/>
    <x v="30"/>
    <x v="40"/>
    <x v="43"/>
    <x v="24"/>
    <x v="17"/>
    <x v="17"/>
    <x v="2"/>
    <s v="Average"/>
  </r>
  <r>
    <n v="964"/>
    <x v="963"/>
    <x v="0"/>
    <x v="4"/>
    <x v="5"/>
    <x v="14"/>
    <x v="19"/>
    <x v="250"/>
    <x v="153"/>
    <x v="72"/>
    <x v="6"/>
    <x v="6"/>
    <x v="3"/>
    <s v="Poor"/>
  </r>
  <r>
    <n v="965"/>
    <x v="964"/>
    <x v="5"/>
    <x v="3"/>
    <x v="9"/>
    <x v="25"/>
    <x v="38"/>
    <x v="86"/>
    <x v="38"/>
    <x v="28"/>
    <x v="16"/>
    <x v="36"/>
    <x v="2"/>
    <s v="Excellent"/>
  </r>
  <r>
    <n v="966"/>
    <x v="965"/>
    <x v="3"/>
    <x v="2"/>
    <x v="8"/>
    <x v="15"/>
    <x v="10"/>
    <x v="46"/>
    <x v="24"/>
    <x v="20"/>
    <x v="16"/>
    <x v="22"/>
    <x v="2"/>
    <s v="Good"/>
  </r>
  <r>
    <n v="967"/>
    <x v="966"/>
    <x v="0"/>
    <x v="9"/>
    <x v="6"/>
    <x v="9"/>
    <x v="17"/>
    <x v="160"/>
    <x v="49"/>
    <x v="58"/>
    <x v="8"/>
    <x v="25"/>
    <x v="0"/>
    <s v="Good"/>
  </r>
  <r>
    <n v="968"/>
    <x v="967"/>
    <x v="1"/>
    <x v="4"/>
    <x v="9"/>
    <x v="3"/>
    <x v="6"/>
    <x v="5"/>
    <x v="14"/>
    <x v="5"/>
    <x v="9"/>
    <x v="18"/>
    <x v="0"/>
    <s v="Good"/>
  </r>
  <r>
    <n v="969"/>
    <x v="968"/>
    <x v="1"/>
    <x v="1"/>
    <x v="6"/>
    <x v="3"/>
    <x v="41"/>
    <x v="78"/>
    <x v="61"/>
    <x v="48"/>
    <x v="0"/>
    <x v="35"/>
    <x v="0"/>
    <s v="Poor"/>
  </r>
  <r>
    <n v="970"/>
    <x v="969"/>
    <x v="6"/>
    <x v="7"/>
    <x v="9"/>
    <x v="1"/>
    <x v="26"/>
    <x v="46"/>
    <x v="38"/>
    <x v="21"/>
    <x v="19"/>
    <x v="29"/>
    <x v="2"/>
    <s v="Poor"/>
  </r>
  <r>
    <n v="971"/>
    <x v="970"/>
    <x v="6"/>
    <x v="6"/>
    <x v="3"/>
    <x v="5"/>
    <x v="7"/>
    <x v="24"/>
    <x v="29"/>
    <x v="2"/>
    <x v="16"/>
    <x v="7"/>
    <x v="2"/>
    <s v="Good"/>
  </r>
  <r>
    <n v="972"/>
    <x v="971"/>
    <x v="4"/>
    <x v="6"/>
    <x v="0"/>
    <x v="4"/>
    <x v="9"/>
    <x v="131"/>
    <x v="86"/>
    <x v="23"/>
    <x v="40"/>
    <x v="11"/>
    <x v="0"/>
    <s v="Excellent"/>
  </r>
  <r>
    <n v="973"/>
    <x v="972"/>
    <x v="2"/>
    <x v="3"/>
    <x v="9"/>
    <x v="2"/>
    <x v="26"/>
    <x v="128"/>
    <x v="119"/>
    <x v="82"/>
    <x v="24"/>
    <x v="17"/>
    <x v="0"/>
    <s v="Poor"/>
  </r>
  <r>
    <n v="974"/>
    <x v="973"/>
    <x v="2"/>
    <x v="0"/>
    <x v="8"/>
    <x v="3"/>
    <x v="5"/>
    <x v="107"/>
    <x v="8"/>
    <x v="9"/>
    <x v="17"/>
    <x v="19"/>
    <x v="2"/>
    <s v="Good"/>
  </r>
  <r>
    <n v="975"/>
    <x v="974"/>
    <x v="6"/>
    <x v="1"/>
    <x v="3"/>
    <x v="0"/>
    <x v="16"/>
    <x v="61"/>
    <x v="38"/>
    <x v="21"/>
    <x v="16"/>
    <x v="7"/>
    <x v="2"/>
    <s v="Excellent"/>
  </r>
  <r>
    <n v="976"/>
    <x v="975"/>
    <x v="6"/>
    <x v="0"/>
    <x v="4"/>
    <x v="11"/>
    <x v="28"/>
    <x v="116"/>
    <x v="47"/>
    <x v="28"/>
    <x v="19"/>
    <x v="29"/>
    <x v="2"/>
    <s v="Excellent"/>
  </r>
  <r>
    <n v="977"/>
    <x v="976"/>
    <x v="2"/>
    <x v="4"/>
    <x v="1"/>
    <x v="27"/>
    <x v="3"/>
    <x v="167"/>
    <x v="101"/>
    <x v="39"/>
    <x v="21"/>
    <x v="18"/>
    <x v="0"/>
    <s v="Excellent"/>
  </r>
  <r>
    <n v="978"/>
    <x v="977"/>
    <x v="1"/>
    <x v="0"/>
    <x v="4"/>
    <x v="12"/>
    <x v="19"/>
    <x v="243"/>
    <x v="55"/>
    <x v="48"/>
    <x v="10"/>
    <x v="25"/>
    <x v="0"/>
    <s v="Poor"/>
  </r>
  <r>
    <n v="979"/>
    <x v="978"/>
    <x v="0"/>
    <x v="6"/>
    <x v="8"/>
    <x v="0"/>
    <x v="31"/>
    <x v="116"/>
    <x v="24"/>
    <x v="20"/>
    <x v="16"/>
    <x v="17"/>
    <x v="2"/>
    <s v="Average"/>
  </r>
  <r>
    <n v="980"/>
    <x v="979"/>
    <x v="5"/>
    <x v="5"/>
    <x v="9"/>
    <x v="26"/>
    <x v="27"/>
    <x v="162"/>
    <x v="25"/>
    <x v="19"/>
    <x v="3"/>
    <x v="3"/>
    <x v="2"/>
    <s v="Poor"/>
  </r>
  <r>
    <n v="981"/>
    <x v="980"/>
    <x v="4"/>
    <x v="2"/>
    <x v="8"/>
    <x v="20"/>
    <x v="13"/>
    <x v="5"/>
    <x v="80"/>
    <x v="5"/>
    <x v="8"/>
    <x v="7"/>
    <x v="0"/>
    <s v="Good"/>
  </r>
  <r>
    <n v="982"/>
    <x v="981"/>
    <x v="6"/>
    <x v="0"/>
    <x v="0"/>
    <x v="11"/>
    <x v="15"/>
    <x v="251"/>
    <x v="144"/>
    <x v="109"/>
    <x v="29"/>
    <x v="77"/>
    <x v="3"/>
    <s v="Average"/>
  </r>
  <r>
    <n v="983"/>
    <x v="982"/>
    <x v="6"/>
    <x v="6"/>
    <x v="6"/>
    <x v="23"/>
    <x v="5"/>
    <x v="55"/>
    <x v="43"/>
    <x v="24"/>
    <x v="17"/>
    <x v="19"/>
    <x v="2"/>
    <s v="Good"/>
  </r>
  <r>
    <n v="984"/>
    <x v="983"/>
    <x v="2"/>
    <x v="2"/>
    <x v="5"/>
    <x v="29"/>
    <x v="31"/>
    <x v="150"/>
    <x v="0"/>
    <x v="63"/>
    <x v="2"/>
    <x v="12"/>
    <x v="0"/>
    <s v="Average"/>
  </r>
  <r>
    <n v="985"/>
    <x v="984"/>
    <x v="1"/>
    <x v="3"/>
    <x v="8"/>
    <x v="3"/>
    <x v="16"/>
    <x v="104"/>
    <x v="42"/>
    <x v="63"/>
    <x v="10"/>
    <x v="2"/>
    <x v="0"/>
    <s v="Excellent"/>
  </r>
  <r>
    <n v="986"/>
    <x v="985"/>
    <x v="4"/>
    <x v="8"/>
    <x v="3"/>
    <x v="18"/>
    <x v="9"/>
    <x v="10"/>
    <x v="14"/>
    <x v="38"/>
    <x v="9"/>
    <x v="3"/>
    <x v="0"/>
    <s v="Excellent"/>
  </r>
  <r>
    <n v="987"/>
    <x v="986"/>
    <x v="4"/>
    <x v="8"/>
    <x v="9"/>
    <x v="19"/>
    <x v="29"/>
    <x v="40"/>
    <x v="43"/>
    <x v="19"/>
    <x v="2"/>
    <x v="18"/>
    <x v="2"/>
    <s v="Good"/>
  </r>
  <r>
    <n v="988"/>
    <x v="987"/>
    <x v="3"/>
    <x v="7"/>
    <x v="1"/>
    <x v="4"/>
    <x v="41"/>
    <x v="252"/>
    <x v="110"/>
    <x v="104"/>
    <x v="42"/>
    <x v="6"/>
    <x v="0"/>
    <s v="Poor"/>
  </r>
  <r>
    <n v="989"/>
    <x v="988"/>
    <x v="0"/>
    <x v="0"/>
    <x v="9"/>
    <x v="17"/>
    <x v="42"/>
    <x v="181"/>
    <x v="77"/>
    <x v="54"/>
    <x v="25"/>
    <x v="53"/>
    <x v="0"/>
    <s v="Poor"/>
  </r>
  <r>
    <n v="990"/>
    <x v="989"/>
    <x v="6"/>
    <x v="9"/>
    <x v="4"/>
    <x v="6"/>
    <x v="12"/>
    <x v="80"/>
    <x v="99"/>
    <x v="65"/>
    <x v="39"/>
    <x v="25"/>
    <x v="0"/>
    <s v="Good"/>
  </r>
  <r>
    <n v="991"/>
    <x v="990"/>
    <x v="5"/>
    <x v="5"/>
    <x v="4"/>
    <x v="10"/>
    <x v="9"/>
    <x v="120"/>
    <x v="0"/>
    <x v="48"/>
    <x v="35"/>
    <x v="5"/>
    <x v="0"/>
    <s v="Excellent"/>
  </r>
  <r>
    <n v="992"/>
    <x v="991"/>
    <x v="0"/>
    <x v="5"/>
    <x v="7"/>
    <x v="0"/>
    <x v="43"/>
    <x v="2"/>
    <x v="50"/>
    <x v="24"/>
    <x v="15"/>
    <x v="29"/>
    <x v="2"/>
    <s v="Poor"/>
  </r>
  <r>
    <n v="993"/>
    <x v="992"/>
    <x v="5"/>
    <x v="8"/>
    <x v="0"/>
    <x v="25"/>
    <x v="33"/>
    <x v="97"/>
    <x v="57"/>
    <x v="20"/>
    <x v="16"/>
    <x v="17"/>
    <x v="2"/>
    <s v="Average"/>
  </r>
  <r>
    <n v="994"/>
    <x v="993"/>
    <x v="4"/>
    <x v="1"/>
    <x v="4"/>
    <x v="23"/>
    <x v="17"/>
    <x v="113"/>
    <x v="57"/>
    <x v="41"/>
    <x v="19"/>
    <x v="17"/>
    <x v="2"/>
    <s v="Good"/>
  </r>
  <r>
    <n v="995"/>
    <x v="994"/>
    <x v="0"/>
    <x v="4"/>
    <x v="8"/>
    <x v="18"/>
    <x v="22"/>
    <x v="8"/>
    <x v="10"/>
    <x v="34"/>
    <x v="15"/>
    <x v="21"/>
    <x v="0"/>
    <s v="Average"/>
  </r>
  <r>
    <n v="996"/>
    <x v="995"/>
    <x v="0"/>
    <x v="1"/>
    <x v="2"/>
    <x v="0"/>
    <x v="16"/>
    <x v="22"/>
    <x v="35"/>
    <x v="19"/>
    <x v="16"/>
    <x v="17"/>
    <x v="2"/>
    <s v="Excellent"/>
  </r>
  <r>
    <n v="997"/>
    <x v="996"/>
    <x v="0"/>
    <x v="0"/>
    <x v="9"/>
    <x v="19"/>
    <x v="20"/>
    <x v="92"/>
    <x v="80"/>
    <x v="5"/>
    <x v="9"/>
    <x v="2"/>
    <x v="0"/>
    <s v="Poor"/>
  </r>
  <r>
    <n v="998"/>
    <x v="997"/>
    <x v="1"/>
    <x v="6"/>
    <x v="4"/>
    <x v="0"/>
    <x v="26"/>
    <x v="41"/>
    <x v="65"/>
    <x v="63"/>
    <x v="34"/>
    <x v="18"/>
    <x v="0"/>
    <s v="Poor"/>
  </r>
  <r>
    <n v="999"/>
    <x v="998"/>
    <x v="5"/>
    <x v="0"/>
    <x v="9"/>
    <x v="21"/>
    <x v="34"/>
    <x v="42"/>
    <x v="47"/>
    <x v="20"/>
    <x v="3"/>
    <x v="29"/>
    <x v="2"/>
    <s v="Poor"/>
  </r>
  <r>
    <n v="1000"/>
    <x v="999"/>
    <x v="0"/>
    <x v="9"/>
    <x v="1"/>
    <x v="19"/>
    <x v="42"/>
    <x v="253"/>
    <x v="155"/>
    <x v="75"/>
    <x v="22"/>
    <x v="18"/>
    <x v="3"/>
    <s v="Poo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445815-5EE2-49DD-8113-3805DBA9D18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7:L1038" firstHeaderRow="1" firstDataRow="1" firstDataCol="1"/>
  <pivotFields count="14">
    <pivotField showAll="0"/>
    <pivotField axis="axisRow" showAll="0" sortType="descending">
      <items count="1001">
        <item x="18"/>
        <item x="12"/>
        <item x="17"/>
        <item x="164"/>
        <item x="199"/>
        <item x="321"/>
        <item x="415"/>
        <item x="537"/>
        <item x="679"/>
        <item x="776"/>
        <item x="797"/>
        <item x="913"/>
        <item x="177"/>
        <item x="232"/>
        <item x="23"/>
        <item x="331"/>
        <item x="387"/>
        <item x="391"/>
        <item x="437"/>
        <item x="469"/>
        <item x="517"/>
        <item x="81"/>
        <item x="175"/>
        <item x="259"/>
        <item x="419"/>
        <item x="440"/>
        <item x="461"/>
        <item x="491"/>
        <item x="591"/>
        <item x="767"/>
        <item x="58"/>
        <item x="625"/>
        <item x="774"/>
        <item x="789"/>
        <item x="867"/>
        <item x="909"/>
        <item x="910"/>
        <item x="95"/>
        <item x="980"/>
        <item x="153"/>
        <item x="39"/>
        <item x="554"/>
        <item x="670"/>
        <item x="692"/>
        <item x="703"/>
        <item x="739"/>
        <item x="771"/>
        <item x="806"/>
        <item x="816"/>
        <item x="818"/>
        <item x="917"/>
        <item x="191"/>
        <item x="345"/>
        <item x="416"/>
        <item x="449"/>
        <item x="49"/>
        <item x="559"/>
        <item x="560"/>
        <item x="640"/>
        <item x="710"/>
        <item x="742"/>
        <item x="822"/>
        <item x="922"/>
        <item x="950"/>
        <item x="962"/>
        <item x="186"/>
        <item x="627"/>
        <item x="777"/>
        <item x="955"/>
        <item x="998"/>
        <item x="334"/>
        <item x="474"/>
        <item x="478"/>
        <item x="485"/>
        <item x="508"/>
        <item x="708"/>
        <item x="730"/>
        <item x="790"/>
        <item x="86"/>
        <item x="892"/>
        <item x="113"/>
        <item x="117"/>
        <item x="237"/>
        <item x="274"/>
        <item x="276"/>
        <item x="420"/>
        <item x="466"/>
        <item x="518"/>
        <item x="654"/>
        <item x="711"/>
        <item x="714"/>
        <item x="756"/>
        <item x="760"/>
        <item x="801"/>
        <item x="803"/>
        <item x="878"/>
        <item x="119"/>
        <item x="161"/>
        <item x="171"/>
        <item x="705"/>
        <item x="724"/>
        <item x="809"/>
        <item x="990"/>
        <item x="41"/>
        <item x="427"/>
        <item x="525"/>
        <item x="558"/>
        <item x="617"/>
        <item x="996"/>
        <item x="133"/>
        <item x="135"/>
        <item x="149"/>
        <item x="156"/>
        <item x="269"/>
        <item x="458"/>
        <item x="556"/>
        <item x="784"/>
        <item x="837"/>
        <item x="93"/>
        <item x="977"/>
        <item x="986"/>
        <item x="132"/>
        <item x="139"/>
        <item x="300"/>
        <item x="36"/>
        <item x="728"/>
        <item x="905"/>
        <item x="115"/>
        <item x="214"/>
        <item x="287"/>
        <item x="381"/>
        <item x="402"/>
        <item x="428"/>
        <item x="390"/>
        <item x="408"/>
        <item x="411"/>
        <item x="472"/>
        <item x="535"/>
        <item x="56"/>
        <item x="668"/>
        <item x="779"/>
        <item x="883"/>
        <item x="911"/>
        <item x="97"/>
        <item x="981"/>
        <item x="172"/>
        <item x="423"/>
        <item x="522"/>
        <item x="750"/>
        <item x="800"/>
        <item x="813"/>
        <item x="241"/>
        <item x="34"/>
        <item x="405"/>
        <item x="497"/>
        <item x="552"/>
        <item x="829"/>
        <item x="899"/>
        <item x="280"/>
        <item x="360"/>
        <item x="434"/>
        <item x="504"/>
        <item x="510"/>
        <item x="615"/>
        <item x="661"/>
        <item x="792"/>
        <item x="795"/>
        <item x="830"/>
        <item x="897"/>
        <item x="906"/>
        <item x="166"/>
        <item x="169"/>
        <item x="418"/>
        <item x="60"/>
        <item x="675"/>
        <item x="749"/>
        <item x="807"/>
        <item x="83"/>
        <item x="869"/>
        <item x="901"/>
        <item x="936"/>
        <item x="945"/>
        <item x="262"/>
        <item x="284"/>
        <item x="295"/>
        <item x="499"/>
        <item x="584"/>
        <item x="759"/>
        <item x="865"/>
        <item x="130"/>
        <item x="143"/>
        <item x="217"/>
        <item x="248"/>
        <item x="27"/>
        <item x="335"/>
        <item x="414"/>
        <item x="417"/>
        <item x="455"/>
        <item x="519"/>
        <item x="551"/>
        <item x="580"/>
        <item x="823"/>
        <item x="857"/>
        <item x="872"/>
        <item x="890"/>
        <item x="949"/>
        <item x="96"/>
        <item x="532"/>
        <item x="576"/>
        <item x="61"/>
        <item x="72"/>
        <item x="961"/>
        <item x="992"/>
        <item x="294"/>
        <item x="305"/>
        <item x="432"/>
        <item x="43"/>
        <item x="450"/>
        <item x="523"/>
        <item x="642"/>
        <item x="751"/>
        <item x="781"/>
        <item x="79"/>
        <item x="196"/>
        <item x="208"/>
        <item x="424"/>
        <item x="605"/>
        <item x="678"/>
        <item x="720"/>
        <item x="727"/>
        <item x="866"/>
        <item x="964"/>
        <item x="969"/>
        <item x="971"/>
        <item x="974"/>
        <item x="152"/>
        <item x="178"/>
        <item x="204"/>
        <item x="225"/>
        <item x="353"/>
        <item x="732"/>
        <item x="735"/>
        <item x="828"/>
        <item x="935"/>
        <item x="970"/>
        <item x="134"/>
        <item x="207"/>
        <item x="265"/>
        <item x="291"/>
        <item x="37"/>
        <item x="384"/>
        <item x="404"/>
        <item x="541"/>
        <item x="586"/>
        <item x="646"/>
        <item x="729"/>
        <item x="753"/>
        <item x="831"/>
        <item x="844"/>
        <item x="885"/>
        <item x="902"/>
        <item x="947"/>
        <item x="202"/>
        <item x="213"/>
        <item x="229"/>
        <item x="534"/>
        <item x="577"/>
        <item x="650"/>
        <item x="814"/>
        <item x="886"/>
        <item x="918"/>
        <item x="106"/>
        <item x="221"/>
        <item x="242"/>
        <item x="247"/>
        <item x="292"/>
        <item x="350"/>
        <item x="401"/>
        <item x="620"/>
        <item x="664"/>
        <item x="722"/>
        <item x="733"/>
        <item x="798"/>
        <item x="968"/>
        <item x="983"/>
        <item x="278"/>
        <item x="296"/>
        <item x="369"/>
        <item x="507"/>
        <item x="542"/>
        <item x="607"/>
        <item x="626"/>
        <item x="712"/>
        <item x="343"/>
        <item x="406"/>
        <item x="511"/>
        <item x="589"/>
        <item x="596"/>
        <item x="597"/>
        <item x="758"/>
        <item x="937"/>
        <item x="155"/>
        <item x="358"/>
        <item x="44"/>
        <item x="46"/>
        <item x="470"/>
        <item x="660"/>
        <item x="740"/>
        <item x="754"/>
        <item x="871"/>
        <item x="914"/>
        <item x="985"/>
        <item x="120"/>
        <item x="131"/>
        <item x="201"/>
        <item x="285"/>
        <item x="323"/>
        <item x="385"/>
        <item x="587"/>
        <item x="734"/>
        <item x="775"/>
        <item x="782"/>
        <item x="785"/>
        <item x="933"/>
        <item x="100"/>
        <item x="147"/>
        <item x="32"/>
        <item x="344"/>
        <item x="464"/>
        <item x="487"/>
        <item x="496"/>
        <item x="498"/>
        <item x="53"/>
        <item x="582"/>
        <item x="616"/>
        <item x="647"/>
        <item x="71"/>
        <item x="791"/>
        <item x="827"/>
        <item x="849"/>
        <item x="181"/>
        <item x="21"/>
        <item x="347"/>
        <item x="351"/>
        <item x="48"/>
        <item x="694"/>
        <item x="73"/>
        <item x="755"/>
        <item x="773"/>
        <item x="821"/>
        <item x="227"/>
        <item x="431"/>
        <item x="682"/>
        <item x="693"/>
        <item x="707"/>
        <item x="762"/>
        <item x="84"/>
        <item x="859"/>
        <item x="136"/>
        <item x="163"/>
        <item x="183"/>
        <item x="373"/>
        <item x="380"/>
        <item x="400"/>
        <item x="477"/>
        <item x="530"/>
        <item x="55"/>
        <item x="599"/>
        <item x="62"/>
        <item x="826"/>
        <item x="82"/>
        <item x="144"/>
        <item x="235"/>
        <item x="250"/>
        <item x="254"/>
        <item x="365"/>
        <item x="438"/>
        <item x="543"/>
        <item x="568"/>
        <item x="619"/>
        <item x="736"/>
        <item x="765"/>
        <item x="793"/>
        <item x="98"/>
        <item x="176"/>
        <item x="263"/>
        <item x="372"/>
        <item x="726"/>
        <item x="761"/>
        <item x="900"/>
        <item x="246"/>
        <item x="303"/>
        <item x="397"/>
        <item x="433"/>
        <item x="462"/>
        <item x="630"/>
        <item x="738"/>
        <item x="835"/>
        <item x="954"/>
        <item x="111"/>
        <item x="392"/>
        <item x="398"/>
        <item x="488"/>
        <item x="570"/>
        <item x="623"/>
        <item x="64"/>
        <item x="74"/>
        <item x="948"/>
        <item x="16"/>
        <item x="272"/>
        <item x="293"/>
        <item x="348"/>
        <item x="426"/>
        <item x="513"/>
        <item x="547"/>
        <item x="583"/>
        <item x="921"/>
        <item x="963"/>
        <item x="993"/>
        <item x="162"/>
        <item x="30"/>
        <item x="318"/>
        <item x="361"/>
        <item x="439"/>
        <item x="51"/>
        <item x="609"/>
        <item x="696"/>
        <item x="752"/>
        <item x="780"/>
        <item x="903"/>
        <item x="982"/>
        <item x="129"/>
        <item x="205"/>
        <item x="257"/>
        <item x="389"/>
        <item x="453"/>
        <item x="500"/>
        <item x="503"/>
        <item x="631"/>
        <item x="87"/>
        <item x="894"/>
        <item x="972"/>
        <item x="13"/>
        <item x="168"/>
        <item x="195"/>
        <item x="260"/>
        <item x="467"/>
        <item x="490"/>
        <item x="588"/>
        <item x="879"/>
        <item x="919"/>
        <item x="978"/>
        <item x="127"/>
        <item x="184"/>
        <item x="188"/>
        <item x="376"/>
        <item x="394"/>
        <item x="457"/>
        <item x="550"/>
        <item x="70"/>
        <item x="851"/>
        <item x="116"/>
        <item x="150"/>
        <item x="349"/>
        <item x="447"/>
        <item x="539"/>
        <item x="645"/>
        <item x="766"/>
        <item x="802"/>
        <item x="874"/>
        <item x="146"/>
        <item x="226"/>
        <item x="297"/>
        <item x="355"/>
        <item x="454"/>
        <item x="484"/>
        <item x="832"/>
        <item x="858"/>
        <item x="928"/>
        <item x="236"/>
        <item x="28"/>
        <item x="362"/>
        <item x="442"/>
        <item x="452"/>
        <item x="526"/>
        <item x="658"/>
        <item x="698"/>
        <item x="882"/>
        <item x="920"/>
        <item x="277"/>
        <item x="325"/>
        <item x="342"/>
        <item x="383"/>
        <item x="435"/>
        <item x="47"/>
        <item x="557"/>
        <item x="561"/>
        <item x="608"/>
        <item x="637"/>
        <item x="643"/>
        <item x="799"/>
        <item x="846"/>
        <item x="889"/>
        <item x="927"/>
        <item x="306"/>
        <item x="444"/>
        <item x="515"/>
        <item x="546"/>
        <item x="702"/>
        <item x="11"/>
        <item x="1"/>
        <item x="2"/>
        <item x="6"/>
        <item x="5"/>
        <item x="0"/>
        <item x="10"/>
        <item x="125"/>
        <item x="22"/>
        <item x="337"/>
        <item x="581"/>
        <item x="653"/>
        <item x="704"/>
        <item x="121"/>
        <item x="266"/>
        <item x="281"/>
        <item x="317"/>
        <item x="574"/>
        <item x="598"/>
        <item x="763"/>
        <item x="102"/>
        <item x="185"/>
        <item x="268"/>
        <item x="312"/>
        <item x="422"/>
        <item x="441"/>
        <item x="848"/>
        <item x="852"/>
        <item x="930"/>
        <item x="167"/>
        <item x="279"/>
        <item x="516"/>
        <item x="527"/>
        <item x="563"/>
        <item x="652"/>
        <item x="812"/>
        <item x="815"/>
        <item x="824"/>
        <item x="833"/>
        <item x="870"/>
        <item x="888"/>
        <item x="956"/>
        <item x="959"/>
        <item x="173"/>
        <item x="315"/>
        <item x="324"/>
        <item x="463"/>
        <item x="483"/>
        <item x="540"/>
        <item x="951"/>
        <item x="952"/>
        <item x="975"/>
        <item x="118"/>
        <item x="244"/>
        <item x="316"/>
        <item x="319"/>
        <item x="495"/>
        <item x="659"/>
        <item x="105"/>
        <item x="112"/>
        <item x="187"/>
        <item x="228"/>
        <item x="245"/>
        <item x="310"/>
        <item x="320"/>
        <item x="35"/>
        <item x="448"/>
        <item x="59"/>
        <item x="613"/>
        <item x="718"/>
        <item x="721"/>
        <item x="953"/>
        <item x="108"/>
        <item x="220"/>
        <item x="282"/>
        <item x="399"/>
        <item x="456"/>
        <item x="681"/>
        <item x="717"/>
        <item x="741"/>
        <item x="768"/>
        <item x="861"/>
        <item x="126"/>
        <item x="212"/>
        <item x="267"/>
        <item x="352"/>
        <item x="486"/>
        <item x="553"/>
        <item x="565"/>
        <item x="636"/>
        <item x="89"/>
        <item x="929"/>
        <item x="20"/>
        <item x="210"/>
        <item x="357"/>
        <item x="382"/>
        <item x="628"/>
        <item x="700"/>
        <item x="723"/>
        <item x="817"/>
        <item x="999"/>
        <item x="366"/>
        <item x="393"/>
        <item x="436"/>
        <item x="443"/>
        <item x="468"/>
        <item x="593"/>
        <item x="145"/>
        <item x="170"/>
        <item x="215"/>
        <item x="223"/>
        <item x="230"/>
        <item x="238"/>
        <item x="24"/>
        <item x="261"/>
        <item x="302"/>
        <item x="371"/>
        <item x="451"/>
        <item x="50"/>
        <item x="601"/>
        <item x="611"/>
        <item x="747"/>
        <item x="834"/>
        <item x="840"/>
        <item x="875"/>
        <item x="940"/>
        <item x="966"/>
        <item x="128"/>
        <item x="206"/>
        <item x="314"/>
        <item x="38"/>
        <item x="536"/>
        <item x="690"/>
        <item x="725"/>
        <item x="159"/>
        <item x="256"/>
        <item x="313"/>
        <item x="476"/>
        <item x="572"/>
        <item x="669"/>
        <item x="114"/>
        <item x="203"/>
        <item x="253"/>
        <item x="309"/>
        <item x="386"/>
        <item x="531"/>
        <item x="671"/>
        <item x="716"/>
        <item x="77"/>
        <item x="788"/>
        <item x="845"/>
        <item x="896"/>
        <item x="944"/>
        <item x="987"/>
        <item x="140"/>
        <item x="151"/>
        <item x="311"/>
        <item x="377"/>
        <item x="520"/>
        <item x="649"/>
        <item x="657"/>
        <item x="838"/>
        <item x="850"/>
        <item x="877"/>
        <item x="880"/>
        <item x="932"/>
        <item x="943"/>
        <item x="94"/>
        <item x="967"/>
        <item x="216"/>
        <item x="273"/>
        <item x="505"/>
        <item x="566"/>
        <item x="571"/>
        <item x="602"/>
        <item x="638"/>
        <item x="662"/>
        <item x="819"/>
        <item x="957"/>
        <item x="110"/>
        <item x="138"/>
        <item x="194"/>
        <item x="234"/>
        <item x="489"/>
        <item x="569"/>
        <item x="841"/>
        <item x="923"/>
        <item x="271"/>
        <item x="374"/>
        <item x="688"/>
        <item x="706"/>
        <item x="772"/>
        <item x="916"/>
        <item x="989"/>
        <item x="122"/>
        <item x="148"/>
        <item x="211"/>
        <item x="327"/>
        <item x="346"/>
        <item x="465"/>
        <item x="538"/>
        <item x="585"/>
        <item x="713"/>
        <item x="19"/>
        <item x="14"/>
        <item x="8"/>
        <item x="9"/>
        <item x="15"/>
        <item x="3"/>
        <item x="4"/>
        <item x="224"/>
        <item x="471"/>
        <item x="746"/>
        <item x="748"/>
        <item x="854"/>
        <item x="88"/>
        <item x="233"/>
        <item x="301"/>
        <item x="40"/>
        <item x="564"/>
        <item x="884"/>
        <item x="891"/>
        <item x="104"/>
        <item x="200"/>
        <item x="249"/>
        <item x="326"/>
        <item x="555"/>
        <item x="855"/>
        <item x="887"/>
        <item x="124"/>
        <item x="142"/>
        <item x="189"/>
        <item x="25"/>
        <item x="298"/>
        <item x="363"/>
        <item x="460"/>
        <item x="473"/>
        <item x="618"/>
        <item x="672"/>
        <item x="805"/>
        <item x="876"/>
        <item x="907"/>
        <item x="925"/>
        <item x="991"/>
        <item x="290"/>
        <item x="512"/>
        <item x="676"/>
        <item x="687"/>
        <item x="75"/>
        <item x="783"/>
        <item x="794"/>
        <item x="904"/>
        <item x="979"/>
        <item x="289"/>
        <item x="333"/>
        <item x="338"/>
        <item x="354"/>
        <item x="413"/>
        <item x="68"/>
        <item x="864"/>
        <item x="976"/>
        <item x="252"/>
        <item x="368"/>
        <item x="409"/>
        <item x="76"/>
        <item x="811"/>
        <item x="85"/>
        <item x="946"/>
        <item x="240"/>
        <item x="379"/>
        <item x="42"/>
        <item x="479"/>
        <item x="624"/>
        <item x="786"/>
        <item x="863"/>
        <item x="939"/>
        <item x="308"/>
        <item x="375"/>
        <item x="475"/>
        <item x="493"/>
        <item x="549"/>
        <item x="579"/>
        <item x="684"/>
        <item x="764"/>
        <item x="912"/>
        <item x="92"/>
        <item x="997"/>
        <item x="109"/>
        <item x="341"/>
        <item x="529"/>
        <item x="938"/>
        <item x="7"/>
        <item x="123"/>
        <item x="157"/>
        <item x="198"/>
        <item x="299"/>
        <item x="307"/>
        <item x="332"/>
        <item x="410"/>
        <item x="606"/>
        <item x="648"/>
        <item x="701"/>
        <item x="973"/>
        <item x="179"/>
        <item x="329"/>
        <item x="639"/>
        <item x="715"/>
        <item x="719"/>
        <item x="787"/>
        <item x="251"/>
        <item x="843"/>
        <item x="965"/>
        <item x="101"/>
        <item x="182"/>
        <item x="336"/>
        <item x="481"/>
        <item x="663"/>
        <item x="691"/>
        <item x="697"/>
        <item x="731"/>
        <item x="737"/>
        <item x="853"/>
        <item x="239"/>
        <item x="367"/>
        <item x="45"/>
        <item x="502"/>
        <item x="52"/>
        <item x="65"/>
        <item x="808"/>
        <item x="820"/>
        <item x="895"/>
        <item x="91"/>
        <item x="154"/>
        <item x="270"/>
        <item x="288"/>
        <item x="339"/>
        <item x="340"/>
        <item x="480"/>
        <item x="622"/>
        <item x="635"/>
        <item x="839"/>
        <item x="856"/>
        <item x="860"/>
        <item x="304"/>
        <item x="446"/>
        <item x="770"/>
        <item x="421"/>
        <item x="430"/>
        <item x="533"/>
        <item x="592"/>
        <item x="908"/>
        <item x="942"/>
        <item x="160"/>
        <item x="445"/>
        <item x="501"/>
        <item x="614"/>
        <item x="667"/>
        <item x="868"/>
        <item x="873"/>
        <item x="995"/>
        <item x="174"/>
        <item x="193"/>
        <item x="258"/>
        <item x="388"/>
        <item x="407"/>
        <item x="506"/>
        <item x="567"/>
        <item x="575"/>
        <item x="600"/>
        <item x="603"/>
        <item x="634"/>
        <item x="644"/>
        <item x="709"/>
        <item x="804"/>
        <item x="103"/>
        <item x="197"/>
        <item x="255"/>
        <item x="328"/>
        <item x="33"/>
        <item x="396"/>
        <item x="429"/>
        <item x="494"/>
        <item x="548"/>
        <item x="562"/>
        <item x="595"/>
        <item x="673"/>
        <item x="745"/>
        <item x="769"/>
        <item x="359"/>
        <item x="403"/>
        <item x="590"/>
        <item x="604"/>
        <item x="656"/>
        <item x="677"/>
        <item x="69"/>
        <item x="699"/>
        <item x="744"/>
        <item x="934"/>
        <item x="958"/>
        <item x="994"/>
        <item x="141"/>
        <item x="192"/>
        <item x="275"/>
        <item x="283"/>
        <item x="364"/>
        <item x="482"/>
        <item x="57"/>
        <item x="666"/>
        <item x="825"/>
        <item x="862"/>
        <item x="893"/>
        <item x="960"/>
        <item x="99"/>
        <item x="158"/>
        <item x="190"/>
        <item x="209"/>
        <item x="29"/>
        <item x="412"/>
        <item x="509"/>
        <item x="524"/>
        <item x="54"/>
        <item x="680"/>
        <item x="695"/>
        <item x="757"/>
        <item x="107"/>
        <item x="231"/>
        <item x="26"/>
        <item x="322"/>
        <item x="425"/>
        <item x="594"/>
        <item x="632"/>
        <item x="651"/>
        <item x="683"/>
        <item x="810"/>
        <item x="881"/>
        <item x="31"/>
        <item x="356"/>
        <item x="459"/>
        <item x="578"/>
        <item x="621"/>
        <item x="926"/>
        <item x="370"/>
        <item x="378"/>
        <item x="528"/>
        <item x="544"/>
        <item x="633"/>
        <item x="641"/>
        <item x="674"/>
        <item x="685"/>
        <item x="778"/>
        <item x="842"/>
        <item x="847"/>
        <item x="941"/>
        <item x="984"/>
        <item x="243"/>
        <item x="330"/>
        <item x="514"/>
        <item x="521"/>
        <item x="665"/>
        <item x="78"/>
        <item x="80"/>
        <item x="836"/>
        <item x="931"/>
        <item x="137"/>
        <item x="165"/>
        <item x="219"/>
        <item x="222"/>
        <item x="492"/>
        <item x="573"/>
        <item x="629"/>
        <item x="63"/>
        <item x="655"/>
        <item x="689"/>
        <item x="743"/>
        <item x="915"/>
        <item x="988"/>
        <item x="180"/>
        <item x="218"/>
        <item x="264"/>
        <item x="286"/>
        <item x="395"/>
        <item x="545"/>
        <item x="610"/>
        <item x="612"/>
        <item x="66"/>
        <item x="67"/>
        <item x="686"/>
        <item x="796"/>
        <item x="898"/>
        <item x="90"/>
        <item x="924"/>
        <item t="default"/>
      </items>
      <autoSortScope>
        <pivotArea dataOnly="0" outline="0" fieldPosition="0">
          <references count="1">
            <reference field="4294967294" count="1" selected="0">
              <x v="0"/>
            </reference>
          </references>
        </pivotArea>
      </autoSortScope>
    </pivotField>
    <pivotField showAll="0">
      <items count="8">
        <item x="6"/>
        <item x="5"/>
        <item x="3"/>
        <item x="0"/>
        <item x="1"/>
        <item x="2"/>
        <item x="4"/>
        <item t="default"/>
      </items>
    </pivotField>
    <pivotField showAll="0">
      <items count="11">
        <item x="0"/>
        <item x="2"/>
        <item x="4"/>
        <item x="9"/>
        <item x="1"/>
        <item x="3"/>
        <item x="6"/>
        <item x="8"/>
        <item x="5"/>
        <item x="7"/>
        <item t="default"/>
      </items>
    </pivotField>
    <pivotField showAll="0">
      <items count="11">
        <item x="6"/>
        <item x="4"/>
        <item x="9"/>
        <item x="3"/>
        <item x="5"/>
        <item x="8"/>
        <item x="1"/>
        <item x="2"/>
        <item x="0"/>
        <item x="7"/>
        <item t="default"/>
      </items>
    </pivotField>
    <pivotField showAll="0"/>
    <pivotField showAll="0"/>
    <pivotField dataField="1" numFmtId="164" showAll="0"/>
    <pivotField numFmtId="164" showAll="0"/>
    <pivotField numFmtId="164" showAll="0"/>
    <pivotField numFmtId="164" showAll="0"/>
    <pivotField numFmtId="164" showAll="0"/>
    <pivotField showAll="0"/>
    <pivotField showAll="0"/>
  </pivotFields>
  <rowFields count="1">
    <field x="1"/>
  </rowFields>
  <rowItems count="1001">
    <i>
      <x v="890"/>
    </i>
    <i>
      <x v="229"/>
    </i>
    <i>
      <x v="921"/>
    </i>
    <i>
      <x v="510"/>
    </i>
    <i>
      <x v="175"/>
    </i>
    <i>
      <x v="146"/>
    </i>
    <i>
      <x v="254"/>
    </i>
    <i>
      <x v="632"/>
    </i>
    <i>
      <x v="870"/>
    </i>
    <i>
      <x v="551"/>
    </i>
    <i>
      <x v="931"/>
    </i>
    <i>
      <x v="374"/>
    </i>
    <i>
      <x v="321"/>
    </i>
    <i>
      <x v="380"/>
    </i>
    <i>
      <x v="496"/>
    </i>
    <i>
      <x v="105"/>
    </i>
    <i>
      <x v="833"/>
    </i>
    <i>
      <x v="851"/>
    </i>
    <i>
      <x v="15"/>
    </i>
    <i>
      <x v="303"/>
    </i>
    <i>
      <x v="871"/>
    </i>
    <i>
      <x v="608"/>
    </i>
    <i>
      <x v="718"/>
    </i>
    <i>
      <x v="661"/>
    </i>
    <i>
      <x v="287"/>
    </i>
    <i>
      <x v="712"/>
    </i>
    <i>
      <x v="512"/>
    </i>
    <i>
      <x v="630"/>
    </i>
    <i>
      <x v="132"/>
    </i>
    <i>
      <x v="19"/>
    </i>
    <i>
      <x v="824"/>
    </i>
    <i>
      <x v="89"/>
    </i>
    <i>
      <x v="452"/>
    </i>
    <i>
      <x v="383"/>
    </i>
    <i>
      <x v="184"/>
    </i>
    <i>
      <x v="349"/>
    </i>
    <i>
      <x v="216"/>
    </i>
    <i>
      <x v="152"/>
    </i>
    <i>
      <x v="49"/>
    </i>
    <i>
      <x v="178"/>
    </i>
    <i>
      <x v="366"/>
    </i>
    <i>
      <x v="13"/>
    </i>
    <i>
      <x v="693"/>
    </i>
    <i>
      <x v="747"/>
    </i>
    <i>
      <x v="271"/>
    </i>
    <i>
      <x v="278"/>
    </i>
    <i>
      <x v="417"/>
    </i>
    <i>
      <x v="144"/>
    </i>
    <i>
      <x v="559"/>
    </i>
    <i>
      <x v="318"/>
    </i>
    <i>
      <x v="379"/>
    </i>
    <i>
      <x v="609"/>
    </i>
    <i>
      <x v="615"/>
    </i>
    <i>
      <x v="408"/>
    </i>
    <i>
      <x v="396"/>
    </i>
    <i>
      <x v="532"/>
    </i>
    <i>
      <x v="547"/>
    </i>
    <i>
      <x v="734"/>
    </i>
    <i>
      <x v="684"/>
    </i>
    <i>
      <x v="753"/>
    </i>
    <i>
      <x v="428"/>
    </i>
    <i>
      <x v="860"/>
    </i>
    <i>
      <x v="461"/>
    </i>
    <i>
      <x v="899"/>
    </i>
    <i>
      <x v="617"/>
    </i>
    <i>
      <x v="950"/>
    </i>
    <i>
      <x v="775"/>
    </i>
    <i>
      <x v="83"/>
    </i>
    <i>
      <x v="648"/>
    </i>
    <i>
      <x v="261"/>
    </i>
    <i>
      <x v="262"/>
    </i>
    <i>
      <x v="669"/>
    </i>
    <i>
      <x v="339"/>
    </i>
    <i>
      <x v="334"/>
    </i>
    <i>
      <x v="760"/>
    </i>
    <i>
      <x v="670"/>
    </i>
    <i>
      <x v="953"/>
    </i>
    <i>
      <x v="821"/>
    </i>
    <i>
      <x v="312"/>
    </i>
    <i>
      <x v="100"/>
    </i>
    <i>
      <x v="356"/>
    </i>
    <i>
      <x v="678"/>
    </i>
    <i>
      <x v="464"/>
    </i>
    <i>
      <x v="474"/>
    </i>
    <i>
      <x v="720"/>
    </i>
    <i>
      <x v="534"/>
    </i>
    <i>
      <x v="776"/>
    </i>
    <i>
      <x v="198"/>
    </i>
    <i>
      <x v="149"/>
    </i>
    <i>
      <x v="213"/>
    </i>
    <i>
      <x v="905"/>
    </i>
    <i>
      <x v="130"/>
    </i>
    <i>
      <x v="621"/>
    </i>
    <i>
      <x v="735"/>
    </i>
    <i>
      <x v="785"/>
    </i>
    <i>
      <x v="192"/>
    </i>
    <i>
      <x v="662"/>
    </i>
    <i>
      <x v="313"/>
    </i>
    <i>
      <x v="310"/>
    </i>
    <i>
      <x v="9"/>
    </i>
    <i>
      <x v="713"/>
    </i>
    <i>
      <x v="893"/>
    </i>
    <i>
      <x v="614"/>
    </i>
    <i>
      <x v="812"/>
    </i>
    <i>
      <x v="629"/>
    </i>
    <i>
      <x v="112"/>
    </i>
    <i>
      <x v="898"/>
    </i>
    <i>
      <x v="42"/>
    </i>
    <i>
      <x v="220"/>
    </i>
    <i>
      <x/>
    </i>
    <i>
      <x v="874"/>
    </i>
    <i>
      <x v="437"/>
    </i>
    <i>
      <x v="507"/>
    </i>
    <i>
      <x v="786"/>
    </i>
    <i>
      <x v="336"/>
    </i>
    <i>
      <x v="159"/>
    </i>
    <i>
      <x v="18"/>
    </i>
    <i>
      <x v="792"/>
    </i>
    <i>
      <x v="411"/>
    </i>
    <i>
      <x v="524"/>
    </i>
    <i>
      <x v="40"/>
    </i>
    <i>
      <x v="823"/>
    </i>
    <i>
      <x v="107"/>
    </i>
    <i>
      <x v="842"/>
    </i>
    <i>
      <x v="762"/>
    </i>
    <i>
      <x v="362"/>
    </i>
    <i>
      <x v="233"/>
    </i>
    <i>
      <x v="63"/>
    </i>
    <i>
      <x v="936"/>
    </i>
    <i>
      <x v="911"/>
    </i>
    <i>
      <x v="595"/>
    </i>
    <i>
      <x v="980"/>
    </i>
    <i>
      <x v="960"/>
    </i>
    <i>
      <x v="772"/>
    </i>
    <i>
      <x v="446"/>
    </i>
    <i>
      <x v="601"/>
    </i>
    <i>
      <x v="966"/>
    </i>
    <i>
      <x v="217"/>
    </i>
    <i>
      <x v="638"/>
    </i>
    <i>
      <x v="187"/>
    </i>
    <i>
      <x v="124"/>
    </i>
    <i>
      <x v="907"/>
    </i>
    <i>
      <x v="634"/>
    </i>
    <i>
      <x v="370"/>
    </i>
    <i>
      <x v="264"/>
    </i>
    <i>
      <x v="755"/>
    </i>
    <i>
      <x v="814"/>
    </i>
    <i>
      <x v="525"/>
    </i>
    <i>
      <x v="340"/>
    </i>
    <i>
      <x v="181"/>
    </i>
    <i>
      <x v="692"/>
    </i>
    <i>
      <x v="721"/>
    </i>
    <i>
      <x v="191"/>
    </i>
    <i>
      <x v="781"/>
    </i>
    <i>
      <x v="642"/>
    </i>
    <i>
      <x v="403"/>
    </i>
    <i>
      <x v="397"/>
    </i>
    <i>
      <x v="432"/>
    </i>
    <i>
      <x v="872"/>
    </i>
    <i>
      <x v="834"/>
    </i>
    <i>
      <x v="681"/>
    </i>
    <i>
      <x v="73"/>
    </i>
    <i>
      <x v="78"/>
    </i>
    <i>
      <x v="853"/>
    </i>
    <i>
      <x v="791"/>
    </i>
    <i>
      <x v="984"/>
    </i>
    <i>
      <x v="11"/>
    </i>
    <i>
      <x v="425"/>
    </i>
    <i>
      <x v="127"/>
    </i>
    <i>
      <x v="816"/>
    </i>
    <i>
      <x v="774"/>
    </i>
    <i>
      <x v="421"/>
    </i>
    <i>
      <x v="369"/>
    </i>
    <i>
      <x v="581"/>
    </i>
    <i>
      <x v="925"/>
    </i>
    <i>
      <x v="523"/>
    </i>
    <i>
      <x v="994"/>
    </i>
    <i>
      <x v="654"/>
    </i>
    <i>
      <x v="573"/>
    </i>
    <i>
      <x v="485"/>
    </i>
    <i>
      <x v="702"/>
    </i>
    <i>
      <x v="933"/>
    </i>
    <i>
      <x v="897"/>
    </i>
    <i>
      <x v="436"/>
    </i>
    <i>
      <x v="788"/>
    </i>
    <i>
      <x v="498"/>
    </i>
    <i>
      <x v="50"/>
    </i>
    <i>
      <x v="683"/>
    </i>
    <i>
      <x v="800"/>
    </i>
    <i>
      <x v="961"/>
    </i>
    <i>
      <x v="954"/>
    </i>
    <i>
      <x v="522"/>
    </i>
    <i>
      <x v="301"/>
    </i>
    <i>
      <x v="153"/>
    </i>
    <i>
      <x v="832"/>
    </i>
    <i>
      <x v="910"/>
    </i>
    <i>
      <x v="637"/>
    </i>
    <i>
      <x v="140"/>
    </i>
    <i>
      <x v="88"/>
    </i>
    <i>
      <x v="674"/>
    </i>
    <i>
      <x v="793"/>
    </i>
    <i>
      <x v="289"/>
    </i>
    <i>
      <x v="214"/>
    </i>
    <i>
      <x v="154"/>
    </i>
    <i>
      <x v="964"/>
    </i>
    <i>
      <x v="441"/>
    </i>
    <i>
      <x v="644"/>
    </i>
    <i>
      <x v="70"/>
    </i>
    <i>
      <x v="390"/>
    </i>
    <i>
      <x v="117"/>
    </i>
    <i>
      <x v="323"/>
    </i>
    <i>
      <x v="711"/>
    </i>
    <i>
      <x v="182"/>
    </i>
    <i>
      <x v="201"/>
    </i>
    <i>
      <x v="508"/>
    </i>
    <i>
      <x v="503"/>
    </i>
    <i>
      <x v="74"/>
    </i>
    <i>
      <x v="665"/>
    </i>
    <i>
      <x v="797"/>
    </i>
    <i>
      <x v="439"/>
    </i>
    <i>
      <x v="173"/>
    </i>
    <i>
      <x v="486"/>
    </i>
    <i>
      <x v="258"/>
    </i>
    <i>
      <x v="123"/>
    </i>
    <i>
      <x v="93"/>
    </i>
    <i>
      <x v="586"/>
    </i>
    <i>
      <x v="131"/>
    </i>
    <i>
      <x v="908"/>
    </i>
    <i>
      <x v="916"/>
    </i>
    <i>
      <x v="714"/>
    </i>
    <i>
      <x v="875"/>
    </i>
    <i>
      <x v="479"/>
    </i>
    <i>
      <x v="542"/>
    </i>
    <i>
      <x v="587"/>
    </i>
    <i>
      <x v="327"/>
    </i>
    <i>
      <x v="97"/>
    </i>
    <i>
      <x v="689"/>
    </i>
    <i>
      <x v="768"/>
    </i>
    <i>
      <x v="920"/>
    </i>
    <i>
      <x v="480"/>
    </i>
    <i>
      <x v="71"/>
    </i>
    <i>
      <x v="829"/>
    </i>
    <i>
      <x v="296"/>
    </i>
    <i>
      <x v="116"/>
    </i>
    <i>
      <x v="27"/>
    </i>
    <i>
      <x v="414"/>
    </i>
    <i>
      <x v="208"/>
    </i>
    <i>
      <x v="180"/>
    </i>
    <i>
      <x v="552"/>
    </i>
    <i>
      <x v="125"/>
    </i>
    <i>
      <x v="1"/>
    </i>
    <i>
      <x v="533"/>
    </i>
    <i>
      <x v="137"/>
    </i>
    <i>
      <x v="928"/>
    </i>
    <i>
      <x v="835"/>
    </i>
    <i>
      <x v="613"/>
    </i>
    <i>
      <x v="673"/>
    </i>
    <i>
      <x v="728"/>
    </i>
    <i>
      <x v="917"/>
    </i>
    <i>
      <x v="401"/>
    </i>
    <i>
      <x v="499"/>
    </i>
    <i>
      <x v="115"/>
    </i>
    <i>
      <x v="248"/>
    </i>
    <i>
      <x v="690"/>
    </i>
    <i>
      <x v="87"/>
    </i>
    <i>
      <x v="991"/>
    </i>
    <i>
      <x v="419"/>
    </i>
    <i>
      <x v="453"/>
    </i>
    <i>
      <x v="251"/>
    </i>
    <i>
      <x v="808"/>
    </i>
    <i>
      <x v="423"/>
    </i>
    <i>
      <x v="942"/>
    </i>
    <i>
      <x v="378"/>
    </i>
    <i>
      <x v="607"/>
    </i>
    <i>
      <x v="457"/>
    </i>
    <i>
      <x v="539"/>
    </i>
    <i>
      <x v="509"/>
    </i>
    <i>
      <x v="28"/>
    </i>
    <i>
      <x v="751"/>
    </i>
    <i>
      <x v="119"/>
    </i>
    <i>
      <x v="941"/>
    </i>
    <i>
      <x v="585"/>
    </i>
    <i>
      <x v="250"/>
    </i>
    <i>
      <x v="306"/>
    </i>
    <i>
      <x v="757"/>
    </i>
    <i>
      <x v="883"/>
    </i>
    <i>
      <x v="247"/>
    </i>
    <i>
      <x v="427"/>
    </i>
    <i>
      <x v="76"/>
    </i>
    <i>
      <x v="976"/>
    </i>
    <i>
      <x v="671"/>
    </i>
    <i>
      <x v="481"/>
    </i>
    <i>
      <x v="402"/>
    </i>
    <i>
      <x v="463"/>
    </i>
    <i>
      <x v="241"/>
    </i>
    <i>
      <x v="20"/>
    </i>
    <i>
      <x v="628"/>
    </i>
    <i>
      <x v="372"/>
    </i>
    <i>
      <x v="450"/>
    </i>
    <i>
      <x v="388"/>
    </i>
    <i>
      <x v="134"/>
    </i>
    <i>
      <x v="118"/>
    </i>
    <i>
      <x v="769"/>
    </i>
    <i>
      <x v="680"/>
    </i>
    <i>
      <x v="133"/>
    </i>
    <i>
      <x v="686"/>
    </i>
    <i>
      <x v="845"/>
    </i>
    <i>
      <x v="495"/>
    </i>
    <i>
      <x v="506"/>
    </i>
    <i>
      <x v="563"/>
    </i>
    <i>
      <x v="297"/>
    </i>
    <i>
      <x v="268"/>
    </i>
    <i>
      <x v="949"/>
    </i>
    <i>
      <x v="342"/>
    </i>
    <i>
      <x v="165"/>
    </i>
    <i>
      <x v="913"/>
    </i>
    <i>
      <x v="804"/>
    </i>
    <i>
      <x v="235"/>
    </i>
    <i>
      <x v="767"/>
    </i>
    <i>
      <x v="838"/>
    </i>
    <i>
      <x v="459"/>
    </i>
    <i>
      <x v="305"/>
    </i>
    <i>
      <x v="157"/>
    </i>
    <i>
      <x v="155"/>
    </i>
    <i>
      <x v="663"/>
    </i>
    <i>
      <x v="726"/>
    </i>
    <i>
      <x v="763"/>
    </i>
    <i>
      <x v="623"/>
    </i>
    <i>
      <x v="80"/>
    </i>
    <i>
      <x v="103"/>
    </i>
    <i>
      <x v="328"/>
    </i>
    <i>
      <x v="502"/>
    </i>
    <i>
      <x v="526"/>
    </i>
    <i>
      <x v="466"/>
    </i>
    <i>
      <x v="295"/>
    </i>
    <i>
      <x v="912"/>
    </i>
    <i>
      <x v="902"/>
    </i>
    <i>
      <x v="462"/>
    </i>
    <i>
      <x v="429"/>
    </i>
    <i>
      <x v="22"/>
    </i>
    <i>
      <x v="249"/>
    </i>
    <i>
      <x v="167"/>
    </i>
    <i>
      <x v="946"/>
    </i>
    <i>
      <x v="896"/>
    </i>
    <i>
      <x v="456"/>
    </i>
    <i>
      <x v="484"/>
    </i>
    <i>
      <x v="536"/>
    </i>
    <i>
      <x v="2"/>
    </i>
    <i>
      <x v="160"/>
    </i>
    <i>
      <x v="400"/>
    </i>
    <i>
      <x v="168"/>
    </i>
    <i>
      <x v="795"/>
    </i>
    <i>
      <x v="445"/>
    </i>
    <i>
      <x v="344"/>
    </i>
    <i>
      <x v="314"/>
    </i>
    <i>
      <x v="75"/>
    </i>
    <i>
      <x v="58"/>
    </i>
    <i>
      <x v="122"/>
    </i>
    <i>
      <x v="206"/>
    </i>
    <i>
      <x v="879"/>
    </i>
    <i>
      <x v="566"/>
    </i>
    <i>
      <x v="545"/>
    </i>
    <i>
      <x v="422"/>
    </i>
    <i>
      <x v="635"/>
    </i>
    <i>
      <x v="265"/>
    </i>
    <i>
      <x v="773"/>
    </i>
    <i>
      <x v="59"/>
    </i>
    <i>
      <x v="825"/>
    </i>
    <i>
      <x v="738"/>
    </i>
    <i>
      <x v="685"/>
    </i>
    <i>
      <x v="580"/>
    </i>
    <i>
      <x v="948"/>
    </i>
    <i>
      <x v="749"/>
    </i>
    <i>
      <x v="806"/>
    </i>
    <i>
      <x v="846"/>
    </i>
    <i>
      <x v="575"/>
    </i>
    <i>
      <x v="449"/>
    </i>
    <i>
      <x v="284"/>
    </i>
    <i>
      <x v="270"/>
    </i>
    <i>
      <x v="731"/>
    </i>
    <i>
      <x v="256"/>
    </i>
    <i>
      <x v="283"/>
    </i>
    <i>
      <x v="716"/>
    </i>
    <i>
      <x v="588"/>
    </i>
    <i>
      <x v="514"/>
    </i>
    <i>
      <x v="541"/>
    </i>
    <i>
      <x v="226"/>
    </i>
    <i>
      <x v="476"/>
    </i>
    <i>
      <x v="550"/>
    </i>
    <i>
      <x v="324"/>
    </i>
    <i>
      <x v="10"/>
    </i>
    <i>
      <x v="45"/>
    </i>
    <i>
      <x v="894"/>
    </i>
    <i>
      <x v="934"/>
    </i>
    <i>
      <x v="895"/>
    </i>
    <i>
      <x v="858"/>
    </i>
    <i>
      <x v="610"/>
    </i>
    <i>
      <x v="398"/>
    </i>
    <i>
      <x v="150"/>
    </i>
    <i>
      <x v="56"/>
    </i>
    <i>
      <x v="102"/>
    </i>
    <i>
      <x v="973"/>
    </i>
    <i>
      <x v="962"/>
    </i>
    <i>
      <x v="992"/>
    </i>
    <i>
      <x v="17"/>
    </i>
    <i>
      <x v="794"/>
    </i>
    <i>
      <x v="856"/>
    </i>
    <i>
      <x v="687"/>
    </i>
    <i>
      <x v="730"/>
    </i>
    <i>
      <x v="709"/>
    </i>
    <i>
      <x v="748"/>
    </i>
    <i>
      <x v="606"/>
    </i>
    <i>
      <x v="66"/>
    </i>
    <i>
      <x v="210"/>
    </i>
    <i>
      <x v="36"/>
    </i>
    <i>
      <x v="784"/>
    </i>
    <i>
      <x v="363"/>
    </i>
    <i>
      <x v="543"/>
    </i>
    <i>
      <x v="252"/>
    </i>
    <i>
      <x v="94"/>
    </i>
    <i>
      <x v="194"/>
    </i>
    <i>
      <x v="967"/>
    </i>
    <i>
      <x v="467"/>
    </i>
    <i>
      <x v="647"/>
    </i>
    <i>
      <x v="169"/>
    </i>
    <i>
      <x v="207"/>
    </i>
    <i>
      <x v="887"/>
    </i>
    <i>
      <x v="777"/>
    </i>
    <i>
      <x v="616"/>
    </i>
    <i>
      <x v="465"/>
    </i>
    <i>
      <x v="361"/>
    </i>
    <i>
      <x v="700"/>
    </i>
    <i>
      <x v="885"/>
    </i>
    <i>
      <x v="708"/>
    </i>
    <i>
      <x v="695"/>
    </i>
    <i>
      <x v="501"/>
    </i>
    <i>
      <x v="540"/>
    </i>
    <i>
      <x v="998"/>
    </i>
    <i>
      <x v="975"/>
    </i>
    <i>
      <x v="717"/>
    </i>
    <i>
      <x v="548"/>
    </i>
    <i>
      <x v="567"/>
    </i>
    <i>
      <x v="104"/>
    </i>
    <i>
      <x v="135"/>
    </i>
    <i>
      <x v="329"/>
    </i>
    <i>
      <x v="857"/>
    </i>
    <i>
      <x v="974"/>
    </i>
    <i>
      <x v="697"/>
    </i>
    <i>
      <x v="415"/>
    </i>
    <i>
      <x v="515"/>
    </i>
    <i>
      <x v="311"/>
    </i>
    <i>
      <x v="331"/>
    </i>
    <i>
      <x v="121"/>
    </i>
    <i>
      <x v="110"/>
    </i>
    <i>
      <x v="292"/>
    </i>
    <i>
      <x v="30"/>
    </i>
    <i>
      <x v="166"/>
    </i>
    <i>
      <x v="505"/>
    </i>
    <i>
      <x v="518"/>
    </i>
    <i>
      <x v="357"/>
    </i>
    <i>
      <x v="475"/>
    </i>
    <i>
      <x v="572"/>
    </i>
    <i>
      <x v="86"/>
    </i>
    <i>
      <x v="675"/>
    </i>
    <i>
      <x v="707"/>
    </i>
    <i>
      <x v="34"/>
    </i>
    <i>
      <x v="196"/>
    </i>
    <i>
      <x v="817"/>
    </i>
    <i>
      <x v="979"/>
    </i>
    <i>
      <x v="710"/>
    </i>
    <i>
      <x v="783"/>
    </i>
    <i>
      <x v="571"/>
    </i>
    <i>
      <x v="114"/>
    </i>
    <i>
      <x v="955"/>
    </i>
    <i>
      <x v="564"/>
    </i>
    <i>
      <x v="582"/>
    </i>
    <i>
      <x v="558"/>
    </i>
    <i>
      <x v="359"/>
    </i>
    <i>
      <x v="333"/>
    </i>
    <i>
      <x v="189"/>
    </i>
    <i>
      <x v="108"/>
    </i>
    <i>
      <x v="810"/>
    </i>
    <i>
      <x v="988"/>
    </i>
    <i>
      <x v="831"/>
    </i>
    <i>
      <x v="765"/>
    </i>
    <i>
      <x v="982"/>
    </i>
    <i>
      <x v="128"/>
    </i>
    <i>
      <x v="190"/>
    </i>
    <i>
      <x v="294"/>
    </i>
    <i>
      <x v="203"/>
    </i>
    <i>
      <x v="23"/>
    </i>
    <i>
      <x v="892"/>
    </i>
    <i>
      <x v="878"/>
    </i>
    <i>
      <x v="952"/>
    </i>
    <i>
      <x v="594"/>
    </i>
    <i>
      <x v="625"/>
    </i>
    <i>
      <x v="142"/>
    </i>
    <i>
      <x v="7"/>
    </i>
    <i>
      <x v="770"/>
    </i>
    <i>
      <x v="677"/>
    </i>
    <i>
      <x v="355"/>
    </i>
    <i>
      <x v="345"/>
    </i>
    <i>
      <x v="482"/>
    </i>
    <i>
      <x v="531"/>
    </i>
    <i>
      <x v="513"/>
    </i>
    <i>
      <x v="589"/>
    </i>
    <i>
      <x v="266"/>
    </i>
    <i>
      <x v="309"/>
    </i>
    <i>
      <x v="38"/>
    </i>
    <i>
      <x v="688"/>
    </i>
    <i>
      <x v="516"/>
    </i>
    <i>
      <x v="405"/>
    </i>
    <i>
      <x v="367"/>
    </i>
    <i>
      <x v="170"/>
    </i>
    <i>
      <x v="26"/>
    </i>
    <i>
      <x v="240"/>
    </i>
    <i>
      <x v="691"/>
    </i>
    <i>
      <x v="745"/>
    </i>
    <i>
      <x v="802"/>
    </i>
    <i>
      <x v="827"/>
    </i>
    <i>
      <x v="940"/>
    </i>
    <i>
      <x v="404"/>
    </i>
    <i>
      <x v="611"/>
    </i>
    <i>
      <x v="392"/>
    </i>
    <i>
      <x v="660"/>
    </i>
    <i>
      <x v="882"/>
    </i>
    <i>
      <x v="640"/>
    </i>
    <i>
      <x v="493"/>
    </i>
    <i>
      <x v="965"/>
    </i>
    <i>
      <x v="945"/>
    </i>
    <i>
      <x v="659"/>
    </i>
    <i>
      <x v="317"/>
    </i>
    <i>
      <x v="277"/>
    </i>
    <i>
      <x v="41"/>
    </i>
    <i>
      <x v="805"/>
    </i>
    <i>
      <x v="412"/>
    </i>
    <i>
      <x v="218"/>
    </i>
    <i>
      <x v="3"/>
    </i>
    <i>
      <x v="330"/>
    </i>
    <i>
      <x v="995"/>
    </i>
    <i>
      <x v="746"/>
    </i>
    <i>
      <x v="619"/>
    </i>
    <i>
      <x v="631"/>
    </i>
    <i>
      <x v="267"/>
    </i>
    <i>
      <x v="279"/>
    </i>
    <i>
      <x v="57"/>
    </i>
    <i>
      <x v="52"/>
    </i>
    <i>
      <x v="724"/>
    </i>
    <i>
      <x v="826"/>
    </i>
    <i>
      <x v="854"/>
    </i>
    <i>
      <x v="947"/>
    </i>
    <i>
      <x v="368"/>
    </i>
    <i>
      <x v="199"/>
    </i>
    <i>
      <x v="245"/>
    </i>
    <i>
      <x v="77"/>
    </i>
    <i>
      <x v="274"/>
    </i>
    <i>
      <x v="43"/>
    </i>
    <i>
      <x v="51"/>
    </i>
    <i>
      <x v="958"/>
    </i>
    <i>
      <x v="938"/>
    </i>
    <i>
      <x v="876"/>
    </i>
    <i>
      <x v="597"/>
    </i>
    <i>
      <x v="562"/>
    </i>
    <i>
      <x v="293"/>
    </i>
    <i>
      <x v="869"/>
    </i>
    <i>
      <x v="782"/>
    </i>
    <i>
      <x v="715"/>
    </i>
    <i>
      <x v="483"/>
    </i>
    <i>
      <x v="535"/>
    </i>
    <i>
      <x v="549"/>
    </i>
    <i>
      <x v="320"/>
    </i>
    <i>
      <x v="326"/>
    </i>
    <i>
      <x v="852"/>
    </i>
    <i>
      <x v="924"/>
    </i>
    <i>
      <x v="759"/>
    </i>
    <i>
      <x v="801"/>
    </i>
    <i>
      <x v="530"/>
    </i>
    <i>
      <x v="384"/>
    </i>
    <i>
      <x v="129"/>
    </i>
    <i>
      <x v="737"/>
    </i>
    <i>
      <x v="914"/>
    </i>
    <i>
      <x v="574"/>
    </i>
    <i>
      <x v="447"/>
    </i>
    <i>
      <x v="416"/>
    </i>
    <i>
      <x v="639"/>
    </i>
    <i>
      <x v="469"/>
    </i>
    <i>
      <x v="304"/>
    </i>
    <i>
      <x v="223"/>
    </i>
    <i>
      <x v="729"/>
    </i>
    <i>
      <x v="694"/>
    </i>
    <i>
      <x v="477"/>
    </i>
    <i>
      <x v="577"/>
    </i>
    <i>
      <x v="618"/>
    </i>
    <i>
      <x v="222"/>
    </i>
    <i>
      <x v="161"/>
    </i>
    <i>
      <x v="719"/>
    </i>
    <i>
      <x v="778"/>
    </i>
    <i>
      <x v="819"/>
    </i>
    <i>
      <x v="929"/>
    </i>
    <i>
      <x v="937"/>
    </i>
    <i>
      <x v="881"/>
    </i>
    <i>
      <x v="504"/>
    </i>
    <i>
      <x v="375"/>
    </i>
    <i>
      <x v="517"/>
    </i>
    <i>
      <x v="225"/>
    </i>
    <i>
      <x v="29"/>
    </i>
    <i>
      <x v="847"/>
    </i>
    <i>
      <x v="811"/>
    </i>
    <i>
      <x v="855"/>
    </i>
    <i>
      <x v="733"/>
    </i>
    <i>
      <x v="873"/>
    </i>
    <i>
      <x v="884"/>
    </i>
    <i>
      <x v="347"/>
    </i>
    <i>
      <x v="653"/>
    </i>
    <i>
      <x v="569"/>
    </i>
    <i>
      <x v="12"/>
    </i>
    <i>
      <x v="300"/>
    </i>
    <i>
      <x v="901"/>
    </i>
    <i>
      <x v="779"/>
    </i>
    <i>
      <x v="764"/>
    </i>
    <i>
      <x v="698"/>
    </i>
    <i>
      <x v="862"/>
    </i>
    <i>
      <x v="604"/>
    </i>
    <i>
      <x v="641"/>
    </i>
    <i>
      <x v="472"/>
    </i>
    <i>
      <x v="322"/>
    </i>
    <i>
      <x v="143"/>
    </i>
    <i>
      <x v="204"/>
    </i>
    <i>
      <x v="316"/>
    </i>
    <i>
      <x v="200"/>
    </i>
    <i>
      <x v="263"/>
    </i>
    <i>
      <x v="696"/>
    </i>
    <i>
      <x v="844"/>
    </i>
    <i>
      <x v="750"/>
    </i>
    <i>
      <x v="626"/>
    </i>
    <i>
      <x v="188"/>
    </i>
    <i>
      <x v="99"/>
    </i>
    <i>
      <x v="943"/>
    </i>
    <i>
      <x v="865"/>
    </i>
    <i>
      <x v="424"/>
    </i>
    <i>
      <x v="440"/>
    </i>
    <i>
      <x v="645"/>
    </i>
    <i>
      <x v="337"/>
    </i>
    <i>
      <x v="458"/>
    </i>
    <i>
      <x v="171"/>
    </i>
    <i>
      <x v="722"/>
    </i>
    <i>
      <x v="438"/>
    </i>
    <i>
      <x v="544"/>
    </i>
    <i>
      <x v="599"/>
    </i>
    <i>
      <x v="72"/>
    </i>
    <i>
      <x v="969"/>
    </i>
    <i>
      <x v="927"/>
    </i>
    <i>
      <x v="989"/>
    </i>
    <i>
      <x v="919"/>
    </i>
    <i>
      <x v="520"/>
    </i>
    <i>
      <x v="377"/>
    </i>
    <i>
      <x v="68"/>
    </i>
    <i>
      <x v="257"/>
    </i>
    <i>
      <x v="280"/>
    </i>
    <i>
      <x v="985"/>
    </i>
    <i>
      <x v="904"/>
    </i>
    <i>
      <x v="529"/>
    </i>
    <i>
      <x v="434"/>
    </i>
    <i>
      <x v="395"/>
    </i>
    <i>
      <x v="497"/>
    </i>
    <i>
      <x v="455"/>
    </i>
    <i>
      <x v="799"/>
    </i>
    <i>
      <x v="839"/>
    </i>
    <i>
      <x v="771"/>
    </i>
    <i>
      <x v="761"/>
    </i>
    <i>
      <x v="354"/>
    </i>
    <i>
      <x v="281"/>
    </i>
    <i>
      <x v="54"/>
    </i>
    <i>
      <x v="877"/>
    </i>
    <i>
      <x v="736"/>
    </i>
    <i>
      <x v="656"/>
    </i>
    <i>
      <x v="371"/>
    </i>
    <i>
      <x v="341"/>
    </i>
    <i>
      <x v="584"/>
    </i>
    <i>
      <x v="556"/>
    </i>
    <i>
      <x v="141"/>
    </i>
    <i>
      <x v="113"/>
    </i>
    <i>
      <x v="85"/>
    </i>
    <i>
      <x v="209"/>
    </i>
    <i>
      <x v="269"/>
    </i>
    <i>
      <x v="699"/>
    </i>
    <i>
      <x v="443"/>
    </i>
    <i>
      <x v="491"/>
    </i>
    <i>
      <x v="246"/>
    </i>
    <i>
      <x v="319"/>
    </i>
    <i>
      <x v="67"/>
    </i>
    <i>
      <x v="202"/>
    </i>
    <i>
      <x v="179"/>
    </i>
    <i>
      <x v="864"/>
    </i>
    <i>
      <x v="744"/>
    </i>
    <i>
      <x v="830"/>
    </i>
    <i>
      <x v="951"/>
    </i>
    <i>
      <x v="863"/>
    </i>
    <i>
      <x v="568"/>
    </i>
    <i>
      <x v="381"/>
    </i>
    <i>
      <x v="454"/>
    </i>
    <i>
      <x v="624"/>
    </i>
    <i>
      <x v="553"/>
    </i>
    <i>
      <x v="60"/>
    </i>
    <i>
      <x v="285"/>
    </i>
    <i>
      <x v="986"/>
    </i>
    <i>
      <x v="993"/>
    </i>
    <i>
      <x v="968"/>
    </i>
    <i>
      <x v="861"/>
    </i>
    <i>
      <x v="752"/>
    </i>
    <i>
      <x v="930"/>
    </i>
    <i>
      <x v="741"/>
    </i>
    <i>
      <x v="655"/>
    </i>
    <i>
      <x v="426"/>
    </i>
    <i>
      <x v="360"/>
    </i>
    <i>
      <x v="511"/>
    </i>
    <i>
      <x v="651"/>
    </i>
    <i>
      <x v="591"/>
    </i>
    <i>
      <x v="215"/>
    </i>
    <i>
      <x v="307"/>
    </i>
    <i>
      <x v="228"/>
    </i>
    <i>
      <x v="46"/>
    </i>
    <i>
      <x v="723"/>
    </i>
    <i>
      <x v="840"/>
    </i>
    <i>
      <x v="889"/>
    </i>
    <i>
      <x v="867"/>
    </i>
    <i>
      <x v="789"/>
    </i>
    <i>
      <x v="739"/>
    </i>
    <i>
      <x v="706"/>
    </i>
    <i>
      <x v="652"/>
    </i>
    <i>
      <x v="487"/>
    </i>
    <i>
      <x v="21"/>
    </i>
    <i>
      <x v="48"/>
    </i>
    <i>
      <x v="815"/>
    </i>
    <i>
      <x v="903"/>
    </i>
    <i>
      <x v="959"/>
    </i>
    <i>
      <x v="796"/>
    </i>
    <i>
      <x v="391"/>
    </i>
    <i>
      <x v="358"/>
    </i>
    <i>
      <x v="528"/>
    </i>
    <i>
      <x v="489"/>
    </i>
    <i>
      <x v="471"/>
    </i>
    <i>
      <x v="643"/>
    </i>
    <i>
      <x v="430"/>
    </i>
    <i>
      <x v="389"/>
    </i>
    <i>
      <x v="136"/>
    </i>
    <i>
      <x v="978"/>
    </i>
    <i>
      <x v="922"/>
    </i>
    <i>
      <x v="620"/>
    </i>
    <i>
      <x v="442"/>
    </i>
    <i>
      <x v="435"/>
    </i>
    <i>
      <x v="382"/>
    </i>
    <i>
      <x v="868"/>
    </i>
    <i>
      <x v="944"/>
    </i>
    <i>
      <x v="997"/>
    </i>
    <i>
      <x v="780"/>
    </i>
    <i>
      <x v="394"/>
    </i>
    <i>
      <x v="413"/>
    </i>
    <i>
      <x v="352"/>
    </i>
    <i>
      <x v="622"/>
    </i>
    <i>
      <x v="448"/>
    </i>
    <i>
      <x v="386"/>
    </i>
    <i>
      <x v="500"/>
    </i>
    <i>
      <x v="164"/>
    </i>
    <i>
      <x v="156"/>
    </i>
    <i>
      <x v="237"/>
    </i>
    <i>
      <x v="766"/>
    </i>
    <i>
      <x v="848"/>
    </i>
    <i>
      <x v="841"/>
    </i>
    <i>
      <x v="849"/>
    </i>
    <i>
      <x v="537"/>
    </i>
    <i>
      <x v="494"/>
    </i>
    <i>
      <x v="583"/>
    </i>
    <i>
      <x v="603"/>
    </i>
    <i>
      <x v="338"/>
    </i>
    <i>
      <x v="605"/>
    </i>
    <i>
      <x v="332"/>
    </i>
    <i>
      <x v="205"/>
    </i>
    <i>
      <x v="120"/>
    </i>
    <i>
      <x v="64"/>
    </i>
    <i>
      <x v="238"/>
    </i>
    <i>
      <x v="33"/>
    </i>
    <i>
      <x v="259"/>
    </i>
    <i>
      <x v="828"/>
    </i>
    <i>
      <x v="971"/>
    </i>
    <i>
      <x v="859"/>
    </i>
    <i>
      <x v="460"/>
    </i>
    <i>
      <x v="538"/>
    </i>
    <i>
      <x v="106"/>
    </i>
    <i>
      <x v="95"/>
    </i>
    <i>
      <x v="84"/>
    </i>
    <i>
      <x v="244"/>
    </i>
    <i>
      <x v="92"/>
    </i>
    <i>
      <x v="193"/>
    </i>
    <i>
      <x v="704"/>
    </i>
    <i>
      <x v="813"/>
    </i>
    <i>
      <x v="790"/>
    </i>
    <i>
      <x v="866"/>
    </i>
    <i>
      <x v="900"/>
    </i>
    <i>
      <x v="576"/>
    </i>
    <i>
      <x v="664"/>
    </i>
    <i>
      <x v="31"/>
    </i>
    <i>
      <x v="62"/>
    </i>
    <i>
      <x v="172"/>
    </i>
    <i>
      <x v="195"/>
    </i>
    <i>
      <x v="886"/>
    </i>
    <i>
      <x v="756"/>
    </i>
    <i>
      <x v="546"/>
    </i>
    <i>
      <x v="387"/>
    </i>
    <i>
      <x v="343"/>
    </i>
    <i>
      <x v="111"/>
    </i>
    <i>
      <x v="98"/>
    </i>
    <i>
      <x v="177"/>
    </i>
    <i>
      <x v="758"/>
    </i>
    <i>
      <x v="918"/>
    </i>
    <i>
      <x v="843"/>
    </i>
    <i>
      <x v="682"/>
    </i>
    <i>
      <x v="996"/>
    </i>
    <i>
      <x v="679"/>
    </i>
    <i>
      <x v="657"/>
    </i>
    <i>
      <x v="393"/>
    </i>
    <i>
      <x v="407"/>
    </i>
    <i>
      <x v="385"/>
    </i>
    <i>
      <x v="633"/>
    </i>
    <i>
      <x v="234"/>
    </i>
    <i>
      <x v="8"/>
    </i>
    <i>
      <x v="37"/>
    </i>
    <i>
      <x v="272"/>
    </i>
    <i>
      <x v="891"/>
    </i>
    <i>
      <x v="649"/>
    </i>
    <i>
      <x v="335"/>
    </i>
    <i>
      <x v="79"/>
    </i>
    <i>
      <x v="288"/>
    </i>
    <i>
      <x v="260"/>
    </i>
    <i>
      <x v="176"/>
    </i>
    <i>
      <x v="705"/>
    </i>
    <i>
      <x v="906"/>
    </i>
    <i>
      <x v="646"/>
    </i>
    <i>
      <x v="612"/>
    </i>
    <i>
      <x v="596"/>
    </i>
    <i>
      <x v="490"/>
    </i>
    <i>
      <x v="431"/>
    </i>
    <i>
      <x v="221"/>
    </i>
    <i>
      <x v="139"/>
    </i>
    <i>
      <x v="65"/>
    </i>
    <i>
      <x v="915"/>
    </i>
    <i>
      <x v="803"/>
    </i>
    <i>
      <x v="798"/>
    </i>
    <i>
      <x v="972"/>
    </i>
    <i>
      <x v="478"/>
    </i>
    <i>
      <x v="590"/>
    </i>
    <i>
      <x v="554"/>
    </i>
    <i>
      <x v="667"/>
    </i>
    <i>
      <x v="350"/>
    </i>
    <i>
      <x v="346"/>
    </i>
    <i>
      <x v="527"/>
    </i>
    <i>
      <x v="158"/>
    </i>
    <i>
      <x v="145"/>
    </i>
    <i>
      <x v="24"/>
    </i>
    <i>
      <x v="236"/>
    </i>
    <i>
      <x v="6"/>
    </i>
    <i>
      <x v="298"/>
    </i>
    <i>
      <x v="273"/>
    </i>
    <i>
      <x v="888"/>
    </i>
    <i>
      <x v="727"/>
    </i>
    <i>
      <x v="742"/>
    </i>
    <i>
      <x v="373"/>
    </i>
    <i>
      <x v="557"/>
    </i>
    <i>
      <x v="315"/>
    </i>
    <i>
      <x v="47"/>
    </i>
    <i>
      <x v="923"/>
    </i>
    <i>
      <x v="703"/>
    </i>
    <i>
      <x v="743"/>
    </i>
    <i>
      <x v="561"/>
    </i>
    <i>
      <x v="555"/>
    </i>
    <i>
      <x v="636"/>
    </i>
    <i>
      <x v="444"/>
    </i>
    <i>
      <x v="364"/>
    </i>
    <i>
      <x v="183"/>
    </i>
    <i>
      <x v="224"/>
    </i>
    <i>
      <x v="231"/>
    </i>
    <i>
      <x v="4"/>
    </i>
    <i>
      <x v="185"/>
    </i>
    <i>
      <x v="880"/>
    </i>
    <i>
      <x v="850"/>
    </i>
    <i>
      <x v="420"/>
    </i>
    <i>
      <x v="227"/>
    </i>
    <i>
      <x v="162"/>
    </i>
    <i>
      <x v="148"/>
    </i>
    <i>
      <x v="96"/>
    </i>
    <i>
      <x v="82"/>
    </i>
    <i>
      <x v="35"/>
    </i>
    <i>
      <x v="242"/>
    </i>
    <i>
      <x v="963"/>
    </i>
    <i>
      <x v="981"/>
    </i>
    <i>
      <x v="822"/>
    </i>
    <i>
      <x v="957"/>
    </i>
    <i>
      <x v="820"/>
    </i>
    <i>
      <x v="983"/>
    </i>
    <i>
      <x v="818"/>
    </i>
    <i>
      <x v="658"/>
    </i>
    <i>
      <x v="600"/>
    </i>
    <i>
      <x v="353"/>
    </i>
    <i>
      <x v="650"/>
    </i>
    <i>
      <x v="109"/>
    </i>
    <i>
      <x v="286"/>
    </i>
    <i>
      <x v="138"/>
    </i>
    <i>
      <x v="39"/>
    </i>
    <i>
      <x v="151"/>
    </i>
    <i>
      <x v="232"/>
    </i>
    <i>
      <x v="81"/>
    </i>
    <i>
      <x v="970"/>
    </i>
    <i>
      <x v="701"/>
    </i>
    <i>
      <x v="725"/>
    </i>
    <i>
      <x v="999"/>
    </i>
    <i>
      <x v="836"/>
    </i>
    <i>
      <x v="348"/>
    </i>
    <i>
      <x v="627"/>
    </i>
    <i>
      <x v="598"/>
    </i>
    <i>
      <x v="578"/>
    </i>
    <i>
      <x v="410"/>
    </i>
    <i>
      <x v="579"/>
    </i>
    <i>
      <x v="376"/>
    </i>
    <i>
      <x v="399"/>
    </i>
    <i>
      <x v="433"/>
    </i>
    <i>
      <x v="211"/>
    </i>
    <i>
      <x v="53"/>
    </i>
    <i>
      <x v="253"/>
    </i>
    <i>
      <x v="186"/>
    </i>
    <i>
      <x v="69"/>
    </i>
    <i>
      <x v="275"/>
    </i>
    <i>
      <x v="299"/>
    </i>
    <i>
      <x v="990"/>
    </i>
    <i>
      <x v="570"/>
    </i>
    <i>
      <x v="602"/>
    </i>
    <i>
      <x v="519"/>
    </i>
    <i>
      <x v="473"/>
    </i>
    <i>
      <x v="560"/>
    </i>
    <i>
      <x v="451"/>
    </i>
    <i>
      <x v="197"/>
    </i>
    <i>
      <x v="255"/>
    </i>
    <i>
      <x v="243"/>
    </i>
    <i>
      <x v="672"/>
    </i>
    <i>
      <x v="935"/>
    </i>
    <i>
      <x v="470"/>
    </i>
    <i>
      <x v="302"/>
    </i>
    <i>
      <x v="55"/>
    </i>
    <i>
      <x v="282"/>
    </i>
    <i>
      <x v="126"/>
    </i>
    <i>
      <x v="32"/>
    </i>
    <i>
      <x v="987"/>
    </i>
    <i>
      <x v="977"/>
    </i>
    <i>
      <x v="592"/>
    </i>
    <i>
      <x v="492"/>
    </i>
    <i>
      <x v="239"/>
    </i>
    <i>
      <x v="212"/>
    </i>
    <i>
      <x v="290"/>
    </i>
    <i>
      <x v="325"/>
    </i>
    <i>
      <x v="308"/>
    </i>
    <i>
      <x v="276"/>
    </i>
    <i>
      <x v="809"/>
    </i>
    <i>
      <x v="837"/>
    </i>
    <i>
      <x v="14"/>
    </i>
    <i>
      <x v="219"/>
    </i>
    <i>
      <x v="25"/>
    </i>
    <i>
      <x v="932"/>
    </i>
    <i>
      <x v="807"/>
    </i>
    <i>
      <x v="668"/>
    </i>
    <i>
      <x v="732"/>
    </i>
    <i>
      <x v="565"/>
    </i>
    <i>
      <x v="593"/>
    </i>
    <i>
      <x v="418"/>
    </i>
    <i>
      <x v="147"/>
    </i>
    <i>
      <x v="676"/>
    </i>
    <i>
      <x v="740"/>
    </i>
    <i>
      <x v="754"/>
    </i>
    <i>
      <x v="5"/>
    </i>
    <i>
      <x v="291"/>
    </i>
    <i>
      <x v="926"/>
    </i>
    <i>
      <x v="787"/>
    </i>
    <i>
      <x v="488"/>
    </i>
    <i>
      <x v="174"/>
    </i>
    <i>
      <x v="939"/>
    </i>
    <i>
      <x v="406"/>
    </i>
    <i>
      <x v="468"/>
    </i>
    <i>
      <x v="230"/>
    </i>
    <i>
      <x v="91"/>
    </i>
    <i>
      <x v="16"/>
    </i>
    <i>
      <x v="956"/>
    </i>
    <i>
      <x v="909"/>
    </i>
    <i>
      <x v="666"/>
    </i>
    <i>
      <x v="365"/>
    </i>
    <i>
      <x v="409"/>
    </i>
    <i>
      <x v="351"/>
    </i>
    <i>
      <x v="521"/>
    </i>
    <i>
      <x v="163"/>
    </i>
    <i>
      <x v="44"/>
    </i>
    <i>
      <x v="61"/>
    </i>
    <i>
      <x v="101"/>
    </i>
    <i>
      <x v="90"/>
    </i>
    <i t="grand">
      <x/>
    </i>
  </rowItems>
  <colItems count="1">
    <i/>
  </colItems>
  <dataFields count="1">
    <dataField name="Sum of Global_Sales_Millions"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824750-EADF-4C37-8FE8-4AD985B2DBF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4:N5" firstHeaderRow="1" firstDataRow="1" firstDataCol="0"/>
  <pivotFields count="14">
    <pivotField showAll="0"/>
    <pivotField dataField="1" showAll="0"/>
    <pivotField showAll="0">
      <items count="8">
        <item x="6"/>
        <item x="5"/>
        <item x="3"/>
        <item x="0"/>
        <item x="1"/>
        <item x="2"/>
        <item x="4"/>
        <item t="default"/>
      </items>
    </pivotField>
    <pivotField showAll="0">
      <items count="11">
        <item x="0"/>
        <item x="2"/>
        <item x="4"/>
        <item x="9"/>
        <item x="1"/>
        <item x="3"/>
        <item x="6"/>
        <item x="8"/>
        <item x="5"/>
        <item x="7"/>
        <item t="default"/>
      </items>
    </pivotField>
    <pivotField showAll="0">
      <items count="11">
        <item x="6"/>
        <item x="4"/>
        <item x="9"/>
        <item x="3"/>
        <item x="5"/>
        <item x="8"/>
        <item x="1"/>
        <item x="2"/>
        <item x="0"/>
        <item x="7"/>
        <item t="default"/>
      </items>
    </pivotField>
    <pivotField showAll="0">
      <items count="33">
        <item x="31"/>
        <item x="25"/>
        <item x="21"/>
        <item x="26"/>
        <item x="16"/>
        <item x="10"/>
        <item x="15"/>
        <item x="24"/>
        <item x="28"/>
        <item x="4"/>
        <item x="20"/>
        <item x="14"/>
        <item x="17"/>
        <item x="18"/>
        <item x="19"/>
        <item x="22"/>
        <item x="23"/>
        <item x="9"/>
        <item x="0"/>
        <item x="11"/>
        <item x="7"/>
        <item x="5"/>
        <item x="6"/>
        <item x="1"/>
        <item x="8"/>
        <item x="3"/>
        <item x="12"/>
        <item x="2"/>
        <item x="30"/>
        <item x="13"/>
        <item x="27"/>
        <item x="29"/>
        <item t="default"/>
      </items>
    </pivotField>
    <pivotField showAll="0"/>
    <pivotField numFmtId="164" showAll="0"/>
    <pivotField numFmtId="164" showAll="0"/>
    <pivotField numFmtId="164" showAll="0"/>
    <pivotField numFmtId="164" showAll="0"/>
    <pivotField numFmtId="164" showAll="0"/>
    <pivotField showAll="0"/>
    <pivotField showAll="0"/>
  </pivotFields>
  <rowItems count="1">
    <i/>
  </rowItems>
  <colItems count="1">
    <i/>
  </colItems>
  <dataFields count="1">
    <dataField name="Count of Game_Tit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66A26F-0117-4594-922D-3FDF9908CB0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9:B120" firstHeaderRow="1" firstDataRow="1" firstDataCol="1"/>
  <pivotFields count="14">
    <pivotField showAll="0"/>
    <pivotField axis="axisRow" showAll="0" measureFilter="1">
      <items count="1001">
        <item x="18"/>
        <item x="12"/>
        <item x="17"/>
        <item x="164"/>
        <item x="199"/>
        <item x="321"/>
        <item x="415"/>
        <item x="537"/>
        <item x="679"/>
        <item x="776"/>
        <item x="797"/>
        <item x="913"/>
        <item x="177"/>
        <item x="232"/>
        <item x="23"/>
        <item x="331"/>
        <item x="387"/>
        <item x="391"/>
        <item x="437"/>
        <item x="469"/>
        <item x="517"/>
        <item x="81"/>
        <item x="175"/>
        <item x="259"/>
        <item x="419"/>
        <item x="440"/>
        <item x="461"/>
        <item x="491"/>
        <item x="591"/>
        <item x="767"/>
        <item x="58"/>
        <item x="625"/>
        <item x="774"/>
        <item x="789"/>
        <item x="867"/>
        <item x="909"/>
        <item x="910"/>
        <item x="95"/>
        <item x="980"/>
        <item x="153"/>
        <item x="39"/>
        <item x="554"/>
        <item x="670"/>
        <item x="692"/>
        <item x="703"/>
        <item x="739"/>
        <item x="771"/>
        <item x="806"/>
        <item x="816"/>
        <item x="818"/>
        <item x="917"/>
        <item x="191"/>
        <item x="345"/>
        <item x="416"/>
        <item x="449"/>
        <item x="49"/>
        <item x="559"/>
        <item x="560"/>
        <item x="640"/>
        <item x="710"/>
        <item x="742"/>
        <item x="822"/>
        <item x="922"/>
        <item x="950"/>
        <item x="962"/>
        <item x="186"/>
        <item x="627"/>
        <item x="777"/>
        <item x="955"/>
        <item x="998"/>
        <item x="334"/>
        <item x="474"/>
        <item x="478"/>
        <item x="485"/>
        <item x="508"/>
        <item x="708"/>
        <item x="730"/>
        <item x="790"/>
        <item x="86"/>
        <item x="892"/>
        <item x="113"/>
        <item x="117"/>
        <item x="237"/>
        <item x="274"/>
        <item x="276"/>
        <item x="420"/>
        <item x="466"/>
        <item x="518"/>
        <item x="654"/>
        <item x="711"/>
        <item x="714"/>
        <item x="756"/>
        <item x="760"/>
        <item x="801"/>
        <item x="803"/>
        <item x="878"/>
        <item x="119"/>
        <item x="161"/>
        <item x="171"/>
        <item x="705"/>
        <item x="724"/>
        <item x="809"/>
        <item x="990"/>
        <item x="41"/>
        <item x="427"/>
        <item x="525"/>
        <item x="558"/>
        <item x="617"/>
        <item x="996"/>
        <item x="133"/>
        <item x="135"/>
        <item x="149"/>
        <item x="156"/>
        <item x="269"/>
        <item x="458"/>
        <item x="556"/>
        <item x="784"/>
        <item x="837"/>
        <item x="93"/>
        <item x="977"/>
        <item x="986"/>
        <item x="132"/>
        <item x="139"/>
        <item x="300"/>
        <item x="36"/>
        <item x="728"/>
        <item x="905"/>
        <item x="115"/>
        <item x="214"/>
        <item x="287"/>
        <item x="381"/>
        <item x="402"/>
        <item x="428"/>
        <item x="390"/>
        <item x="408"/>
        <item x="411"/>
        <item x="472"/>
        <item x="535"/>
        <item x="56"/>
        <item x="668"/>
        <item x="779"/>
        <item x="883"/>
        <item x="911"/>
        <item x="97"/>
        <item x="981"/>
        <item x="172"/>
        <item x="423"/>
        <item x="522"/>
        <item x="750"/>
        <item x="800"/>
        <item x="813"/>
        <item x="241"/>
        <item x="34"/>
        <item x="405"/>
        <item x="497"/>
        <item x="552"/>
        <item x="829"/>
        <item x="899"/>
        <item x="280"/>
        <item x="360"/>
        <item x="434"/>
        <item x="504"/>
        <item x="510"/>
        <item x="615"/>
        <item x="661"/>
        <item x="792"/>
        <item x="795"/>
        <item x="830"/>
        <item x="897"/>
        <item x="906"/>
        <item x="166"/>
        <item x="169"/>
        <item x="418"/>
        <item x="60"/>
        <item x="675"/>
        <item x="749"/>
        <item x="807"/>
        <item x="83"/>
        <item x="869"/>
        <item x="901"/>
        <item x="936"/>
        <item x="945"/>
        <item x="262"/>
        <item x="284"/>
        <item x="295"/>
        <item x="499"/>
        <item x="584"/>
        <item x="759"/>
        <item x="865"/>
        <item x="130"/>
        <item x="143"/>
        <item x="217"/>
        <item x="248"/>
        <item x="27"/>
        <item x="335"/>
        <item x="414"/>
        <item x="417"/>
        <item x="455"/>
        <item x="519"/>
        <item x="551"/>
        <item x="580"/>
        <item x="823"/>
        <item x="857"/>
        <item x="872"/>
        <item x="890"/>
        <item x="949"/>
        <item x="96"/>
        <item x="532"/>
        <item x="576"/>
        <item x="61"/>
        <item x="72"/>
        <item x="961"/>
        <item x="992"/>
        <item x="294"/>
        <item x="305"/>
        <item x="432"/>
        <item x="43"/>
        <item x="450"/>
        <item x="523"/>
        <item x="642"/>
        <item x="751"/>
        <item x="781"/>
        <item x="79"/>
        <item x="196"/>
        <item x="208"/>
        <item x="424"/>
        <item x="605"/>
        <item x="678"/>
        <item x="720"/>
        <item x="727"/>
        <item x="866"/>
        <item x="964"/>
        <item x="969"/>
        <item x="971"/>
        <item x="974"/>
        <item x="152"/>
        <item x="178"/>
        <item x="204"/>
        <item x="225"/>
        <item x="353"/>
        <item x="732"/>
        <item x="735"/>
        <item x="828"/>
        <item x="935"/>
        <item x="970"/>
        <item x="134"/>
        <item x="207"/>
        <item x="265"/>
        <item x="291"/>
        <item x="37"/>
        <item x="384"/>
        <item x="404"/>
        <item x="541"/>
        <item x="586"/>
        <item x="646"/>
        <item x="729"/>
        <item x="753"/>
        <item x="831"/>
        <item x="844"/>
        <item x="885"/>
        <item x="902"/>
        <item x="947"/>
        <item x="202"/>
        <item x="213"/>
        <item x="229"/>
        <item x="534"/>
        <item x="577"/>
        <item x="650"/>
        <item x="814"/>
        <item x="886"/>
        <item x="918"/>
        <item x="106"/>
        <item x="221"/>
        <item x="242"/>
        <item x="247"/>
        <item x="292"/>
        <item x="350"/>
        <item x="401"/>
        <item x="620"/>
        <item x="664"/>
        <item x="722"/>
        <item x="733"/>
        <item x="798"/>
        <item x="968"/>
        <item x="983"/>
        <item x="278"/>
        <item x="296"/>
        <item x="369"/>
        <item x="507"/>
        <item x="542"/>
        <item x="607"/>
        <item x="626"/>
        <item x="712"/>
        <item x="343"/>
        <item x="406"/>
        <item x="511"/>
        <item x="589"/>
        <item x="596"/>
        <item x="597"/>
        <item x="758"/>
        <item x="937"/>
        <item x="155"/>
        <item x="358"/>
        <item x="44"/>
        <item x="46"/>
        <item x="470"/>
        <item x="660"/>
        <item x="740"/>
        <item x="754"/>
        <item x="871"/>
        <item x="914"/>
        <item x="985"/>
        <item x="120"/>
        <item x="131"/>
        <item x="201"/>
        <item x="285"/>
        <item x="323"/>
        <item x="385"/>
        <item x="587"/>
        <item x="734"/>
        <item x="775"/>
        <item x="782"/>
        <item x="785"/>
        <item x="933"/>
        <item x="100"/>
        <item x="147"/>
        <item x="32"/>
        <item x="344"/>
        <item x="464"/>
        <item x="487"/>
        <item x="496"/>
        <item x="498"/>
        <item x="53"/>
        <item x="582"/>
        <item x="616"/>
        <item x="647"/>
        <item x="71"/>
        <item x="791"/>
        <item x="827"/>
        <item x="849"/>
        <item x="181"/>
        <item x="21"/>
        <item x="347"/>
        <item x="351"/>
        <item x="48"/>
        <item x="694"/>
        <item x="73"/>
        <item x="755"/>
        <item x="773"/>
        <item x="821"/>
        <item x="227"/>
        <item x="431"/>
        <item x="682"/>
        <item x="693"/>
        <item x="707"/>
        <item x="762"/>
        <item x="84"/>
        <item x="859"/>
        <item x="136"/>
        <item x="163"/>
        <item x="183"/>
        <item x="373"/>
        <item x="380"/>
        <item x="400"/>
        <item x="477"/>
        <item x="530"/>
        <item x="55"/>
        <item x="599"/>
        <item x="62"/>
        <item x="826"/>
        <item x="82"/>
        <item x="144"/>
        <item x="235"/>
        <item x="250"/>
        <item x="254"/>
        <item x="365"/>
        <item x="438"/>
        <item x="543"/>
        <item x="568"/>
        <item x="619"/>
        <item x="736"/>
        <item x="765"/>
        <item x="793"/>
        <item x="98"/>
        <item x="176"/>
        <item x="263"/>
        <item x="372"/>
        <item x="726"/>
        <item x="761"/>
        <item x="900"/>
        <item x="246"/>
        <item x="303"/>
        <item x="397"/>
        <item x="433"/>
        <item x="462"/>
        <item x="630"/>
        <item x="738"/>
        <item x="835"/>
        <item x="954"/>
        <item x="111"/>
        <item x="392"/>
        <item x="398"/>
        <item x="488"/>
        <item x="570"/>
        <item x="623"/>
        <item x="64"/>
        <item x="74"/>
        <item x="948"/>
        <item x="16"/>
        <item x="272"/>
        <item x="293"/>
        <item x="348"/>
        <item x="426"/>
        <item x="513"/>
        <item x="547"/>
        <item x="583"/>
        <item x="921"/>
        <item x="963"/>
        <item x="993"/>
        <item x="162"/>
        <item x="30"/>
        <item x="318"/>
        <item x="361"/>
        <item x="439"/>
        <item x="51"/>
        <item x="609"/>
        <item x="696"/>
        <item x="752"/>
        <item x="780"/>
        <item x="903"/>
        <item x="982"/>
        <item x="129"/>
        <item x="205"/>
        <item x="257"/>
        <item x="389"/>
        <item x="453"/>
        <item x="500"/>
        <item x="503"/>
        <item x="631"/>
        <item x="87"/>
        <item x="894"/>
        <item x="972"/>
        <item x="13"/>
        <item x="168"/>
        <item x="195"/>
        <item x="260"/>
        <item x="467"/>
        <item x="490"/>
        <item x="588"/>
        <item x="879"/>
        <item x="919"/>
        <item x="978"/>
        <item x="127"/>
        <item x="184"/>
        <item x="188"/>
        <item x="376"/>
        <item x="394"/>
        <item x="457"/>
        <item x="550"/>
        <item x="70"/>
        <item x="851"/>
        <item x="116"/>
        <item x="150"/>
        <item x="349"/>
        <item x="447"/>
        <item x="539"/>
        <item x="645"/>
        <item x="766"/>
        <item x="802"/>
        <item x="874"/>
        <item x="146"/>
        <item x="226"/>
        <item x="297"/>
        <item x="355"/>
        <item x="454"/>
        <item x="484"/>
        <item x="832"/>
        <item x="858"/>
        <item x="928"/>
        <item x="236"/>
        <item x="28"/>
        <item x="362"/>
        <item x="442"/>
        <item x="452"/>
        <item x="526"/>
        <item x="658"/>
        <item x="698"/>
        <item x="882"/>
        <item x="920"/>
        <item x="277"/>
        <item x="325"/>
        <item x="342"/>
        <item x="383"/>
        <item x="435"/>
        <item x="47"/>
        <item x="557"/>
        <item x="561"/>
        <item x="608"/>
        <item x="637"/>
        <item x="643"/>
        <item x="799"/>
        <item x="846"/>
        <item x="889"/>
        <item x="927"/>
        <item x="306"/>
        <item x="444"/>
        <item x="515"/>
        <item x="546"/>
        <item x="702"/>
        <item x="11"/>
        <item x="1"/>
        <item x="2"/>
        <item x="6"/>
        <item x="5"/>
        <item x="0"/>
        <item x="10"/>
        <item x="125"/>
        <item x="22"/>
        <item x="337"/>
        <item x="581"/>
        <item x="653"/>
        <item x="704"/>
        <item x="121"/>
        <item x="266"/>
        <item x="281"/>
        <item x="317"/>
        <item x="574"/>
        <item x="598"/>
        <item x="763"/>
        <item x="102"/>
        <item x="185"/>
        <item x="268"/>
        <item x="312"/>
        <item x="422"/>
        <item x="441"/>
        <item x="848"/>
        <item x="852"/>
        <item x="930"/>
        <item x="167"/>
        <item x="279"/>
        <item x="516"/>
        <item x="527"/>
        <item x="563"/>
        <item x="652"/>
        <item x="812"/>
        <item x="815"/>
        <item x="824"/>
        <item x="833"/>
        <item x="870"/>
        <item x="888"/>
        <item x="956"/>
        <item x="959"/>
        <item x="173"/>
        <item x="315"/>
        <item x="324"/>
        <item x="463"/>
        <item x="483"/>
        <item x="540"/>
        <item x="951"/>
        <item x="952"/>
        <item x="975"/>
        <item x="118"/>
        <item x="244"/>
        <item x="316"/>
        <item x="319"/>
        <item x="495"/>
        <item x="659"/>
        <item x="105"/>
        <item x="112"/>
        <item x="187"/>
        <item x="228"/>
        <item x="245"/>
        <item x="310"/>
        <item x="320"/>
        <item x="35"/>
        <item x="448"/>
        <item x="59"/>
        <item x="613"/>
        <item x="718"/>
        <item x="721"/>
        <item x="953"/>
        <item x="108"/>
        <item x="220"/>
        <item x="282"/>
        <item x="399"/>
        <item x="456"/>
        <item x="681"/>
        <item x="717"/>
        <item x="741"/>
        <item x="768"/>
        <item x="861"/>
        <item x="126"/>
        <item x="212"/>
        <item x="267"/>
        <item x="352"/>
        <item x="486"/>
        <item x="553"/>
        <item x="565"/>
        <item x="636"/>
        <item x="89"/>
        <item x="929"/>
        <item x="20"/>
        <item x="210"/>
        <item x="357"/>
        <item x="382"/>
        <item x="628"/>
        <item x="700"/>
        <item x="723"/>
        <item x="817"/>
        <item x="999"/>
        <item x="366"/>
        <item x="393"/>
        <item x="436"/>
        <item x="443"/>
        <item x="468"/>
        <item x="593"/>
        <item x="145"/>
        <item x="170"/>
        <item x="215"/>
        <item x="223"/>
        <item x="230"/>
        <item x="238"/>
        <item x="24"/>
        <item x="261"/>
        <item x="302"/>
        <item x="371"/>
        <item x="451"/>
        <item x="50"/>
        <item x="601"/>
        <item x="611"/>
        <item x="747"/>
        <item x="834"/>
        <item x="840"/>
        <item x="875"/>
        <item x="940"/>
        <item x="966"/>
        <item x="128"/>
        <item x="206"/>
        <item x="314"/>
        <item x="38"/>
        <item x="536"/>
        <item x="690"/>
        <item x="725"/>
        <item x="159"/>
        <item x="256"/>
        <item x="313"/>
        <item x="476"/>
        <item x="572"/>
        <item x="669"/>
        <item x="114"/>
        <item x="203"/>
        <item x="253"/>
        <item x="309"/>
        <item x="386"/>
        <item x="531"/>
        <item x="671"/>
        <item x="716"/>
        <item x="77"/>
        <item x="788"/>
        <item x="845"/>
        <item x="896"/>
        <item x="944"/>
        <item x="987"/>
        <item x="140"/>
        <item x="151"/>
        <item x="311"/>
        <item x="377"/>
        <item x="520"/>
        <item x="649"/>
        <item x="657"/>
        <item x="838"/>
        <item x="850"/>
        <item x="877"/>
        <item x="880"/>
        <item x="932"/>
        <item x="943"/>
        <item x="94"/>
        <item x="967"/>
        <item x="216"/>
        <item x="273"/>
        <item x="505"/>
        <item x="566"/>
        <item x="571"/>
        <item x="602"/>
        <item x="638"/>
        <item x="662"/>
        <item x="819"/>
        <item x="957"/>
        <item x="110"/>
        <item x="138"/>
        <item x="194"/>
        <item x="234"/>
        <item x="489"/>
        <item x="569"/>
        <item x="841"/>
        <item x="923"/>
        <item x="271"/>
        <item x="374"/>
        <item x="688"/>
        <item x="706"/>
        <item x="772"/>
        <item x="916"/>
        <item x="989"/>
        <item x="122"/>
        <item x="148"/>
        <item x="211"/>
        <item x="327"/>
        <item x="346"/>
        <item x="465"/>
        <item x="538"/>
        <item x="585"/>
        <item x="713"/>
        <item x="19"/>
        <item x="14"/>
        <item x="8"/>
        <item x="9"/>
        <item x="15"/>
        <item x="3"/>
        <item x="4"/>
        <item x="224"/>
        <item x="471"/>
        <item x="746"/>
        <item x="748"/>
        <item x="854"/>
        <item x="88"/>
        <item x="233"/>
        <item x="301"/>
        <item x="40"/>
        <item x="564"/>
        <item x="884"/>
        <item x="891"/>
        <item x="104"/>
        <item x="200"/>
        <item x="249"/>
        <item x="326"/>
        <item x="555"/>
        <item x="855"/>
        <item x="887"/>
        <item x="124"/>
        <item x="142"/>
        <item x="189"/>
        <item x="25"/>
        <item x="298"/>
        <item x="363"/>
        <item x="460"/>
        <item x="473"/>
        <item x="618"/>
        <item x="672"/>
        <item x="805"/>
        <item x="876"/>
        <item x="907"/>
        <item x="925"/>
        <item x="991"/>
        <item x="290"/>
        <item x="512"/>
        <item x="676"/>
        <item x="687"/>
        <item x="75"/>
        <item x="783"/>
        <item x="794"/>
        <item x="904"/>
        <item x="979"/>
        <item x="289"/>
        <item x="333"/>
        <item x="338"/>
        <item x="354"/>
        <item x="413"/>
        <item x="68"/>
        <item x="864"/>
        <item x="976"/>
        <item x="252"/>
        <item x="368"/>
        <item x="409"/>
        <item x="76"/>
        <item x="811"/>
        <item x="85"/>
        <item x="946"/>
        <item x="240"/>
        <item x="379"/>
        <item x="42"/>
        <item x="479"/>
        <item x="624"/>
        <item x="786"/>
        <item x="863"/>
        <item x="939"/>
        <item x="308"/>
        <item x="375"/>
        <item x="475"/>
        <item x="493"/>
        <item x="549"/>
        <item x="579"/>
        <item x="684"/>
        <item x="764"/>
        <item x="912"/>
        <item x="92"/>
        <item x="997"/>
        <item x="109"/>
        <item x="341"/>
        <item x="529"/>
        <item x="938"/>
        <item x="7"/>
        <item x="123"/>
        <item x="157"/>
        <item x="198"/>
        <item x="299"/>
        <item x="307"/>
        <item x="332"/>
        <item x="410"/>
        <item x="606"/>
        <item x="648"/>
        <item x="701"/>
        <item x="973"/>
        <item x="179"/>
        <item x="329"/>
        <item x="639"/>
        <item x="715"/>
        <item x="719"/>
        <item x="787"/>
        <item x="251"/>
        <item x="843"/>
        <item x="965"/>
        <item x="101"/>
        <item x="182"/>
        <item x="336"/>
        <item x="481"/>
        <item x="663"/>
        <item x="691"/>
        <item x="697"/>
        <item x="731"/>
        <item x="737"/>
        <item x="853"/>
        <item x="239"/>
        <item x="367"/>
        <item x="45"/>
        <item x="502"/>
        <item x="52"/>
        <item x="65"/>
        <item x="808"/>
        <item x="820"/>
        <item x="895"/>
        <item x="91"/>
        <item x="154"/>
        <item x="270"/>
        <item x="288"/>
        <item x="339"/>
        <item x="340"/>
        <item x="480"/>
        <item x="622"/>
        <item x="635"/>
        <item x="839"/>
        <item x="856"/>
        <item x="860"/>
        <item x="304"/>
        <item x="446"/>
        <item x="770"/>
        <item x="421"/>
        <item x="430"/>
        <item x="533"/>
        <item x="592"/>
        <item x="908"/>
        <item x="942"/>
        <item x="160"/>
        <item x="445"/>
        <item x="501"/>
        <item x="614"/>
        <item x="667"/>
        <item x="868"/>
        <item x="873"/>
        <item x="995"/>
        <item x="174"/>
        <item x="193"/>
        <item x="258"/>
        <item x="388"/>
        <item x="407"/>
        <item x="506"/>
        <item x="567"/>
        <item x="575"/>
        <item x="600"/>
        <item x="603"/>
        <item x="634"/>
        <item x="644"/>
        <item x="709"/>
        <item x="804"/>
        <item x="103"/>
        <item x="197"/>
        <item x="255"/>
        <item x="328"/>
        <item x="33"/>
        <item x="396"/>
        <item x="429"/>
        <item x="494"/>
        <item x="548"/>
        <item x="562"/>
        <item x="595"/>
        <item x="673"/>
        <item x="745"/>
        <item x="769"/>
        <item x="359"/>
        <item x="403"/>
        <item x="590"/>
        <item x="604"/>
        <item x="656"/>
        <item x="677"/>
        <item x="69"/>
        <item x="699"/>
        <item x="744"/>
        <item x="934"/>
        <item x="958"/>
        <item x="994"/>
        <item x="141"/>
        <item x="192"/>
        <item x="275"/>
        <item x="283"/>
        <item x="364"/>
        <item x="482"/>
        <item x="57"/>
        <item x="666"/>
        <item x="825"/>
        <item x="862"/>
        <item x="893"/>
        <item x="960"/>
        <item x="99"/>
        <item x="158"/>
        <item x="190"/>
        <item x="209"/>
        <item x="29"/>
        <item x="412"/>
        <item x="509"/>
        <item x="524"/>
        <item x="54"/>
        <item x="680"/>
        <item x="695"/>
        <item x="757"/>
        <item x="107"/>
        <item x="231"/>
        <item x="26"/>
        <item x="322"/>
        <item x="425"/>
        <item x="594"/>
        <item x="632"/>
        <item x="651"/>
        <item x="683"/>
        <item x="810"/>
        <item x="881"/>
        <item x="31"/>
        <item x="356"/>
        <item x="459"/>
        <item x="578"/>
        <item x="621"/>
        <item x="926"/>
        <item x="370"/>
        <item x="378"/>
        <item x="528"/>
        <item x="544"/>
        <item x="633"/>
        <item x="641"/>
        <item x="674"/>
        <item x="685"/>
        <item x="778"/>
        <item x="842"/>
        <item x="847"/>
        <item x="941"/>
        <item x="984"/>
        <item x="243"/>
        <item x="330"/>
        <item x="514"/>
        <item x="521"/>
        <item x="665"/>
        <item x="78"/>
        <item x="80"/>
        <item x="836"/>
        <item x="931"/>
        <item x="137"/>
        <item x="165"/>
        <item x="219"/>
        <item x="222"/>
        <item x="492"/>
        <item x="573"/>
        <item x="629"/>
        <item x="63"/>
        <item x="655"/>
        <item x="689"/>
        <item x="743"/>
        <item x="915"/>
        <item x="988"/>
        <item x="180"/>
        <item x="218"/>
        <item x="264"/>
        <item x="286"/>
        <item x="395"/>
        <item x="545"/>
        <item x="610"/>
        <item x="612"/>
        <item x="66"/>
        <item x="67"/>
        <item x="686"/>
        <item x="796"/>
        <item x="898"/>
        <item x="90"/>
        <item x="924"/>
        <item t="default"/>
      </items>
    </pivotField>
    <pivotField axis="axisRow" showAll="0">
      <items count="8">
        <item x="6"/>
        <item x="5"/>
        <item x="3"/>
        <item x="0"/>
        <item x="1"/>
        <item x="2"/>
        <item x="4"/>
        <item t="default"/>
      </items>
    </pivotField>
    <pivotField axis="axisRow" showAll="0">
      <items count="11">
        <item x="0"/>
        <item x="2"/>
        <item x="4"/>
        <item x="9"/>
        <item x="1"/>
        <item x="3"/>
        <item x="6"/>
        <item x="8"/>
        <item x="5"/>
        <item x="7"/>
        <item t="default"/>
      </items>
    </pivotField>
    <pivotField showAll="0">
      <items count="11">
        <item x="6"/>
        <item x="4"/>
        <item x="9"/>
        <item x="3"/>
        <item x="5"/>
        <item x="8"/>
        <item x="1"/>
        <item x="2"/>
        <item x="0"/>
        <item x="7"/>
        <item t="default"/>
      </items>
    </pivotField>
    <pivotField showAll="0"/>
    <pivotField showAll="0"/>
    <pivotField dataField="1" numFmtId="164" showAll="0"/>
    <pivotField numFmtId="164" showAll="0"/>
    <pivotField numFmtId="164" showAll="0"/>
    <pivotField numFmtId="164" showAll="0"/>
    <pivotField numFmtId="164" showAll="0"/>
    <pivotField showAll="0"/>
    <pivotField showAll="0"/>
  </pivotFields>
  <rowFields count="3">
    <field x="1"/>
    <field x="2"/>
    <field x="3"/>
  </rowFields>
  <rowItems count="31">
    <i>
      <x v="146"/>
    </i>
    <i r="1">
      <x v="4"/>
    </i>
    <i r="2">
      <x/>
    </i>
    <i>
      <x v="175"/>
    </i>
    <i r="1">
      <x v="4"/>
    </i>
    <i r="2">
      <x v="1"/>
    </i>
    <i>
      <x v="229"/>
    </i>
    <i r="1">
      <x v="4"/>
    </i>
    <i r="2">
      <x v="8"/>
    </i>
    <i>
      <x v="254"/>
    </i>
    <i r="1">
      <x v="5"/>
    </i>
    <i r="2">
      <x v="8"/>
    </i>
    <i>
      <x v="510"/>
    </i>
    <i r="1">
      <x v="4"/>
    </i>
    <i r="2">
      <x/>
    </i>
    <i>
      <x v="551"/>
    </i>
    <i r="1">
      <x v="2"/>
    </i>
    <i r="2">
      <x v="6"/>
    </i>
    <i>
      <x v="632"/>
    </i>
    <i r="1">
      <x v="2"/>
    </i>
    <i r="2">
      <x v="9"/>
    </i>
    <i>
      <x v="870"/>
    </i>
    <i r="1">
      <x/>
    </i>
    <i r="2">
      <x v="9"/>
    </i>
    <i>
      <x v="890"/>
    </i>
    <i r="1">
      <x v="3"/>
    </i>
    <i r="2">
      <x/>
    </i>
    <i>
      <x v="921"/>
    </i>
    <i r="1">
      <x v="6"/>
    </i>
    <i r="2">
      <x v="8"/>
    </i>
    <i t="grand">
      <x/>
    </i>
  </rowItems>
  <colItems count="1">
    <i/>
  </colItems>
  <dataFields count="1">
    <dataField name="Sum of Global_Sales_Millions" fld="7" baseField="0" baseItem="0" numFmtId="164"/>
  </dataFields>
  <chartFormats count="34">
    <chartFormat chart="2" format="1" series="1">
      <pivotArea type="data" outline="0" fieldPosition="0">
        <references count="1">
          <reference field="4294967294" count="1" selected="0">
            <x v="0"/>
          </reference>
        </references>
      </pivotArea>
    </chartFormat>
    <chartFormat chart="2" format="2">
      <pivotArea type="data" outline="0" fieldPosition="0">
        <references count="4">
          <reference field="4294967294" count="1" selected="0">
            <x v="0"/>
          </reference>
          <reference field="1" count="1" selected="0">
            <x v="146"/>
          </reference>
          <reference field="2" count="1" selected="0">
            <x v="4"/>
          </reference>
          <reference field="3" count="1" selected="0">
            <x v="0"/>
          </reference>
        </references>
      </pivotArea>
    </chartFormat>
    <chartFormat chart="2" format="3">
      <pivotArea type="data" outline="0" fieldPosition="0">
        <references count="4">
          <reference field="4294967294" count="1" selected="0">
            <x v="0"/>
          </reference>
          <reference field="1" count="1" selected="0">
            <x v="175"/>
          </reference>
          <reference field="2" count="1" selected="0">
            <x v="4"/>
          </reference>
          <reference field="3" count="1" selected="0">
            <x v="1"/>
          </reference>
        </references>
      </pivotArea>
    </chartFormat>
    <chartFormat chart="2" format="4">
      <pivotArea type="data" outline="0" fieldPosition="0">
        <references count="4">
          <reference field="4294967294" count="1" selected="0">
            <x v="0"/>
          </reference>
          <reference field="1" count="1" selected="0">
            <x v="229"/>
          </reference>
          <reference field="2" count="1" selected="0">
            <x v="4"/>
          </reference>
          <reference field="3" count="1" selected="0">
            <x v="8"/>
          </reference>
        </references>
      </pivotArea>
    </chartFormat>
    <chartFormat chart="2" format="5">
      <pivotArea type="data" outline="0" fieldPosition="0">
        <references count="4">
          <reference field="4294967294" count="1" selected="0">
            <x v="0"/>
          </reference>
          <reference field="1" count="1" selected="0">
            <x v="254"/>
          </reference>
          <reference field="2" count="1" selected="0">
            <x v="5"/>
          </reference>
          <reference field="3" count="1" selected="0">
            <x v="8"/>
          </reference>
        </references>
      </pivotArea>
    </chartFormat>
    <chartFormat chart="2" format="6">
      <pivotArea type="data" outline="0" fieldPosition="0">
        <references count="4">
          <reference field="4294967294" count="1" selected="0">
            <x v="0"/>
          </reference>
          <reference field="1" count="1" selected="0">
            <x v="510"/>
          </reference>
          <reference field="2" count="1" selected="0">
            <x v="4"/>
          </reference>
          <reference field="3" count="1" selected="0">
            <x v="0"/>
          </reference>
        </references>
      </pivotArea>
    </chartFormat>
    <chartFormat chart="2" format="7">
      <pivotArea type="data" outline="0" fieldPosition="0">
        <references count="4">
          <reference field="4294967294" count="1" selected="0">
            <x v="0"/>
          </reference>
          <reference field="1" count="1" selected="0">
            <x v="551"/>
          </reference>
          <reference field="2" count="1" selected="0">
            <x v="2"/>
          </reference>
          <reference field="3" count="1" selected="0">
            <x v="6"/>
          </reference>
        </references>
      </pivotArea>
    </chartFormat>
    <chartFormat chart="2" format="8">
      <pivotArea type="data" outline="0" fieldPosition="0">
        <references count="4">
          <reference field="4294967294" count="1" selected="0">
            <x v="0"/>
          </reference>
          <reference field="1" count="1" selected="0">
            <x v="632"/>
          </reference>
          <reference field="2" count="1" selected="0">
            <x v="2"/>
          </reference>
          <reference field="3" count="1" selected="0">
            <x v="9"/>
          </reference>
        </references>
      </pivotArea>
    </chartFormat>
    <chartFormat chart="2" format="9">
      <pivotArea type="data" outline="0" fieldPosition="0">
        <references count="4">
          <reference field="4294967294" count="1" selected="0">
            <x v="0"/>
          </reference>
          <reference field="1" count="1" selected="0">
            <x v="870"/>
          </reference>
          <reference field="2" count="1" selected="0">
            <x v="0"/>
          </reference>
          <reference field="3" count="1" selected="0">
            <x v="9"/>
          </reference>
        </references>
      </pivotArea>
    </chartFormat>
    <chartFormat chart="2" format="10">
      <pivotArea type="data" outline="0" fieldPosition="0">
        <references count="4">
          <reference field="4294967294" count="1" selected="0">
            <x v="0"/>
          </reference>
          <reference field="1" count="1" selected="0">
            <x v="890"/>
          </reference>
          <reference field="2" count="1" selected="0">
            <x v="3"/>
          </reference>
          <reference field="3" count="1" selected="0">
            <x v="0"/>
          </reference>
        </references>
      </pivotArea>
    </chartFormat>
    <chartFormat chart="2" format="11">
      <pivotArea type="data" outline="0" fieldPosition="0">
        <references count="4">
          <reference field="4294967294" count="1" selected="0">
            <x v="0"/>
          </reference>
          <reference field="1" count="1" selected="0">
            <x v="921"/>
          </reference>
          <reference field="2" count="1" selected="0">
            <x v="6"/>
          </reference>
          <reference field="3" count="1" selected="0">
            <x v="8"/>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4">
          <reference field="4294967294" count="1" selected="0">
            <x v="0"/>
          </reference>
          <reference field="1" count="1" selected="0">
            <x v="146"/>
          </reference>
          <reference field="2" count="1" selected="0">
            <x v="4"/>
          </reference>
          <reference field="3" count="1" selected="0">
            <x v="0"/>
          </reference>
        </references>
      </pivotArea>
    </chartFormat>
    <chartFormat chart="3" format="14">
      <pivotArea type="data" outline="0" fieldPosition="0">
        <references count="4">
          <reference field="4294967294" count="1" selected="0">
            <x v="0"/>
          </reference>
          <reference field="1" count="1" selected="0">
            <x v="175"/>
          </reference>
          <reference field="2" count="1" selected="0">
            <x v="4"/>
          </reference>
          <reference field="3" count="1" selected="0">
            <x v="1"/>
          </reference>
        </references>
      </pivotArea>
    </chartFormat>
    <chartFormat chart="3" format="15">
      <pivotArea type="data" outline="0" fieldPosition="0">
        <references count="4">
          <reference field="4294967294" count="1" selected="0">
            <x v="0"/>
          </reference>
          <reference field="1" count="1" selected="0">
            <x v="229"/>
          </reference>
          <reference field="2" count="1" selected="0">
            <x v="4"/>
          </reference>
          <reference field="3" count="1" selected="0">
            <x v="8"/>
          </reference>
        </references>
      </pivotArea>
    </chartFormat>
    <chartFormat chart="3" format="16">
      <pivotArea type="data" outline="0" fieldPosition="0">
        <references count="4">
          <reference field="4294967294" count="1" selected="0">
            <x v="0"/>
          </reference>
          <reference field="1" count="1" selected="0">
            <x v="254"/>
          </reference>
          <reference field="2" count="1" selected="0">
            <x v="5"/>
          </reference>
          <reference field="3" count="1" selected="0">
            <x v="8"/>
          </reference>
        </references>
      </pivotArea>
    </chartFormat>
    <chartFormat chart="3" format="17">
      <pivotArea type="data" outline="0" fieldPosition="0">
        <references count="4">
          <reference field="4294967294" count="1" selected="0">
            <x v="0"/>
          </reference>
          <reference field="1" count="1" selected="0">
            <x v="510"/>
          </reference>
          <reference field="2" count="1" selected="0">
            <x v="4"/>
          </reference>
          <reference field="3" count="1" selected="0">
            <x v="0"/>
          </reference>
        </references>
      </pivotArea>
    </chartFormat>
    <chartFormat chart="3" format="18">
      <pivotArea type="data" outline="0" fieldPosition="0">
        <references count="4">
          <reference field="4294967294" count="1" selected="0">
            <x v="0"/>
          </reference>
          <reference field="1" count="1" selected="0">
            <x v="551"/>
          </reference>
          <reference field="2" count="1" selected="0">
            <x v="2"/>
          </reference>
          <reference field="3" count="1" selected="0">
            <x v="6"/>
          </reference>
        </references>
      </pivotArea>
    </chartFormat>
    <chartFormat chart="3" format="19">
      <pivotArea type="data" outline="0" fieldPosition="0">
        <references count="4">
          <reference field="4294967294" count="1" selected="0">
            <x v="0"/>
          </reference>
          <reference field="1" count="1" selected="0">
            <x v="632"/>
          </reference>
          <reference field="2" count="1" selected="0">
            <x v="2"/>
          </reference>
          <reference field="3" count="1" selected="0">
            <x v="9"/>
          </reference>
        </references>
      </pivotArea>
    </chartFormat>
    <chartFormat chart="3" format="20">
      <pivotArea type="data" outline="0" fieldPosition="0">
        <references count="4">
          <reference field="4294967294" count="1" selected="0">
            <x v="0"/>
          </reference>
          <reference field="1" count="1" selected="0">
            <x v="870"/>
          </reference>
          <reference field="2" count="1" selected="0">
            <x v="0"/>
          </reference>
          <reference field="3" count="1" selected="0">
            <x v="9"/>
          </reference>
        </references>
      </pivotArea>
    </chartFormat>
    <chartFormat chart="3" format="21">
      <pivotArea type="data" outline="0" fieldPosition="0">
        <references count="4">
          <reference field="4294967294" count="1" selected="0">
            <x v="0"/>
          </reference>
          <reference field="1" count="1" selected="0">
            <x v="890"/>
          </reference>
          <reference field="2" count="1" selected="0">
            <x v="3"/>
          </reference>
          <reference field="3" count="1" selected="0">
            <x v="0"/>
          </reference>
        </references>
      </pivotArea>
    </chartFormat>
    <chartFormat chart="3" format="22">
      <pivotArea type="data" outline="0" fieldPosition="0">
        <references count="4">
          <reference field="4294967294" count="1" selected="0">
            <x v="0"/>
          </reference>
          <reference field="1" count="1" selected="0">
            <x v="921"/>
          </reference>
          <reference field="2" count="1" selected="0">
            <x v="6"/>
          </reference>
          <reference field="3" count="1" selected="0">
            <x v="8"/>
          </reference>
        </references>
      </pivotArea>
    </chartFormat>
    <chartFormat chart="4" format="24" series="1">
      <pivotArea type="data" outline="0" fieldPosition="0">
        <references count="1">
          <reference field="4294967294" count="1" selected="0">
            <x v="0"/>
          </reference>
        </references>
      </pivotArea>
    </chartFormat>
    <chartFormat chart="7" format="24" series="1">
      <pivotArea type="data" outline="0" fieldPosition="0">
        <references count="1">
          <reference field="4294967294" count="1" selected="0">
            <x v="0"/>
          </reference>
        </references>
      </pivotArea>
    </chartFormat>
    <chartFormat chart="7" format="25">
      <pivotArea type="data" outline="0" fieldPosition="0">
        <references count="4">
          <reference field="4294967294" count="1" selected="0">
            <x v="0"/>
          </reference>
          <reference field="1" count="1" selected="0">
            <x v="146"/>
          </reference>
          <reference field="2" count="1" selected="0">
            <x v="4"/>
          </reference>
          <reference field="3" count="1" selected="0">
            <x v="0"/>
          </reference>
        </references>
      </pivotArea>
    </chartFormat>
    <chartFormat chart="7" format="26">
      <pivotArea type="data" outline="0" fieldPosition="0">
        <references count="4">
          <reference field="4294967294" count="1" selected="0">
            <x v="0"/>
          </reference>
          <reference field="1" count="1" selected="0">
            <x v="175"/>
          </reference>
          <reference field="2" count="1" selected="0">
            <x v="4"/>
          </reference>
          <reference field="3" count="1" selected="0">
            <x v="1"/>
          </reference>
        </references>
      </pivotArea>
    </chartFormat>
    <chartFormat chart="7" format="27">
      <pivotArea type="data" outline="0" fieldPosition="0">
        <references count="4">
          <reference field="4294967294" count="1" selected="0">
            <x v="0"/>
          </reference>
          <reference field="1" count="1" selected="0">
            <x v="229"/>
          </reference>
          <reference field="2" count="1" selected="0">
            <x v="4"/>
          </reference>
          <reference field="3" count="1" selected="0">
            <x v="8"/>
          </reference>
        </references>
      </pivotArea>
    </chartFormat>
    <chartFormat chart="7" format="28">
      <pivotArea type="data" outline="0" fieldPosition="0">
        <references count="4">
          <reference field="4294967294" count="1" selected="0">
            <x v="0"/>
          </reference>
          <reference field="1" count="1" selected="0">
            <x v="254"/>
          </reference>
          <reference field="2" count="1" selected="0">
            <x v="5"/>
          </reference>
          <reference field="3" count="1" selected="0">
            <x v="8"/>
          </reference>
        </references>
      </pivotArea>
    </chartFormat>
    <chartFormat chart="7" format="29">
      <pivotArea type="data" outline="0" fieldPosition="0">
        <references count="4">
          <reference field="4294967294" count="1" selected="0">
            <x v="0"/>
          </reference>
          <reference field="1" count="1" selected="0">
            <x v="510"/>
          </reference>
          <reference field="2" count="1" selected="0">
            <x v="4"/>
          </reference>
          <reference field="3" count="1" selected="0">
            <x v="0"/>
          </reference>
        </references>
      </pivotArea>
    </chartFormat>
    <chartFormat chart="7" format="30">
      <pivotArea type="data" outline="0" fieldPosition="0">
        <references count="4">
          <reference field="4294967294" count="1" selected="0">
            <x v="0"/>
          </reference>
          <reference field="1" count="1" selected="0">
            <x v="551"/>
          </reference>
          <reference field="2" count="1" selected="0">
            <x v="2"/>
          </reference>
          <reference field="3" count="1" selected="0">
            <x v="6"/>
          </reference>
        </references>
      </pivotArea>
    </chartFormat>
    <chartFormat chart="7" format="31">
      <pivotArea type="data" outline="0" fieldPosition="0">
        <references count="4">
          <reference field="4294967294" count="1" selected="0">
            <x v="0"/>
          </reference>
          <reference field="1" count="1" selected="0">
            <x v="632"/>
          </reference>
          <reference field="2" count="1" selected="0">
            <x v="2"/>
          </reference>
          <reference field="3" count="1" selected="0">
            <x v="9"/>
          </reference>
        </references>
      </pivotArea>
    </chartFormat>
    <chartFormat chart="7" format="32">
      <pivotArea type="data" outline="0" fieldPosition="0">
        <references count="4">
          <reference field="4294967294" count="1" selected="0">
            <x v="0"/>
          </reference>
          <reference field="1" count="1" selected="0">
            <x v="870"/>
          </reference>
          <reference field="2" count="1" selected="0">
            <x v="0"/>
          </reference>
          <reference field="3" count="1" selected="0">
            <x v="9"/>
          </reference>
        </references>
      </pivotArea>
    </chartFormat>
    <chartFormat chart="7" format="33">
      <pivotArea type="data" outline="0" fieldPosition="0">
        <references count="4">
          <reference field="4294967294" count="1" selected="0">
            <x v="0"/>
          </reference>
          <reference field="1" count="1" selected="0">
            <x v="890"/>
          </reference>
          <reference field="2" count="1" selected="0">
            <x v="3"/>
          </reference>
          <reference field="3" count="1" selected="0">
            <x v="0"/>
          </reference>
        </references>
      </pivotArea>
    </chartFormat>
    <chartFormat chart="7" format="34">
      <pivotArea type="data" outline="0" fieldPosition="0">
        <references count="4">
          <reference field="4294967294" count="1" selected="0">
            <x v="0"/>
          </reference>
          <reference field="1" count="1" selected="0">
            <x v="921"/>
          </reference>
          <reference field="2" count="1" selected="0">
            <x v="6"/>
          </reference>
          <reference field="3" count="1" selected="0">
            <x v="8"/>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F88547-6235-43C6-ACB2-D24BB8F33D5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I72" firstHeaderRow="1" firstDataRow="2" firstDataCol="1"/>
  <pivotFields count="14">
    <pivotField showAll="0"/>
    <pivotField showAll="0"/>
    <pivotField axis="axisCol" showAll="0">
      <items count="8">
        <item x="6"/>
        <item x="5"/>
        <item x="3"/>
        <item x="0"/>
        <item x="1"/>
        <item x="2"/>
        <item x="4"/>
        <item t="default"/>
      </items>
    </pivotField>
    <pivotField showAll="0">
      <items count="11">
        <item x="0"/>
        <item x="2"/>
        <item x="4"/>
        <item x="9"/>
        <item x="1"/>
        <item x="3"/>
        <item x="6"/>
        <item x="8"/>
        <item x="5"/>
        <item x="7"/>
        <item t="default"/>
      </items>
    </pivotField>
    <pivotField showAll="0">
      <items count="11">
        <item x="6"/>
        <item x="4"/>
        <item x="9"/>
        <item x="3"/>
        <item x="5"/>
        <item x="8"/>
        <item x="1"/>
        <item x="2"/>
        <item x="0"/>
        <item x="7"/>
        <item t="default"/>
      </items>
    </pivotField>
    <pivotField axis="axisRow" showAll="0">
      <items count="33">
        <item x="31"/>
        <item x="25"/>
        <item x="21"/>
        <item x="26"/>
        <item x="16"/>
        <item x="10"/>
        <item x="15"/>
        <item x="24"/>
        <item x="28"/>
        <item x="4"/>
        <item x="20"/>
        <item x="14"/>
        <item x="17"/>
        <item x="18"/>
        <item x="19"/>
        <item x="22"/>
        <item x="23"/>
        <item x="9"/>
        <item x="0"/>
        <item x="11"/>
        <item x="7"/>
        <item x="5"/>
        <item x="6"/>
        <item x="1"/>
        <item x="8"/>
        <item x="3"/>
        <item x="12"/>
        <item x="2"/>
        <item x="30"/>
        <item x="13"/>
        <item x="27"/>
        <item x="29"/>
        <item t="default"/>
      </items>
    </pivotField>
    <pivotField showAll="0"/>
    <pivotField dataField="1" numFmtId="164" showAll="0"/>
    <pivotField numFmtId="164" showAll="0"/>
    <pivotField numFmtId="164" showAll="0"/>
    <pivotField numFmtId="164" showAll="0"/>
    <pivotField numFmtId="164" showAll="0"/>
    <pivotField showAll="0"/>
    <pivotField showAll="0"/>
  </pivotFields>
  <rowFields count="1">
    <field x="5"/>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8">
    <i>
      <x/>
    </i>
    <i>
      <x v="1"/>
    </i>
    <i>
      <x v="2"/>
    </i>
    <i>
      <x v="3"/>
    </i>
    <i>
      <x v="4"/>
    </i>
    <i>
      <x v="5"/>
    </i>
    <i>
      <x v="6"/>
    </i>
    <i t="grand">
      <x/>
    </i>
  </colItems>
  <dataFields count="1">
    <dataField name="Sum of Global_Sales_Millions" fld="7" baseField="0" baseItem="0" numFmtId="164"/>
  </dataFields>
  <chartFormats count="7">
    <chartFormat chart="3" format="14" series="1">
      <pivotArea type="data" outline="0" fieldPosition="0">
        <references count="2">
          <reference field="4294967294" count="1" selected="0">
            <x v="0"/>
          </reference>
          <reference field="2" count="1" selected="0">
            <x v="0"/>
          </reference>
        </references>
      </pivotArea>
    </chartFormat>
    <chartFormat chart="3" format="15" series="1">
      <pivotArea type="data" outline="0" fieldPosition="0">
        <references count="2">
          <reference field="4294967294" count="1" selected="0">
            <x v="0"/>
          </reference>
          <reference field="2" count="1" selected="0">
            <x v="1"/>
          </reference>
        </references>
      </pivotArea>
    </chartFormat>
    <chartFormat chart="3" format="16" series="1">
      <pivotArea type="data" outline="0" fieldPosition="0">
        <references count="2">
          <reference field="4294967294" count="1" selected="0">
            <x v="0"/>
          </reference>
          <reference field="2" count="1" selected="0">
            <x v="2"/>
          </reference>
        </references>
      </pivotArea>
    </chartFormat>
    <chartFormat chart="3" format="17" series="1">
      <pivotArea type="data" outline="0" fieldPosition="0">
        <references count="2">
          <reference field="4294967294" count="1" selected="0">
            <x v="0"/>
          </reference>
          <reference field="2" count="1" selected="0">
            <x v="3"/>
          </reference>
        </references>
      </pivotArea>
    </chartFormat>
    <chartFormat chart="3" format="18" series="1">
      <pivotArea type="data" outline="0" fieldPosition="0">
        <references count="2">
          <reference field="4294967294" count="1" selected="0">
            <x v="0"/>
          </reference>
          <reference field="2" count="1" selected="0">
            <x v="4"/>
          </reference>
        </references>
      </pivotArea>
    </chartFormat>
    <chartFormat chart="3" format="19" series="1">
      <pivotArea type="data" outline="0" fieldPosition="0">
        <references count="2">
          <reference field="4294967294" count="1" selected="0">
            <x v="0"/>
          </reference>
          <reference field="2" count="1" selected="0">
            <x v="5"/>
          </reference>
        </references>
      </pivotArea>
    </chartFormat>
    <chartFormat chart="3" format="20"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8B3C9B-7B78-4D85-ADAA-E660B6B3C17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5:L24" firstHeaderRow="1" firstDataRow="2" firstDataCol="1"/>
  <pivotFields count="14">
    <pivotField showAll="0"/>
    <pivotField showAll="0"/>
    <pivotField axis="axisRow" showAll="0">
      <items count="8">
        <item x="6"/>
        <item x="5"/>
        <item x="3"/>
        <item x="0"/>
        <item x="1"/>
        <item x="2"/>
        <item x="4"/>
        <item t="default"/>
      </items>
    </pivotField>
    <pivotField axis="axisCol" showAll="0">
      <items count="11">
        <item x="0"/>
        <item x="2"/>
        <item x="4"/>
        <item x="9"/>
        <item x="1"/>
        <item x="3"/>
        <item x="6"/>
        <item x="8"/>
        <item x="5"/>
        <item x="7"/>
        <item t="default"/>
      </items>
    </pivotField>
    <pivotField showAll="0">
      <items count="11">
        <item x="6"/>
        <item x="4"/>
        <item x="9"/>
        <item x="3"/>
        <item x="5"/>
        <item x="8"/>
        <item x="1"/>
        <item x="2"/>
        <item x="0"/>
        <item x="7"/>
        <item t="default"/>
      </items>
    </pivotField>
    <pivotField showAll="0"/>
    <pivotField showAll="0"/>
    <pivotField dataField="1" numFmtId="164" showAll="0"/>
    <pivotField numFmtId="164" showAll="0"/>
    <pivotField numFmtId="164" showAll="0"/>
    <pivotField numFmtId="164" showAll="0"/>
    <pivotField numFmtId="164" showAll="0"/>
    <pivotField showAll="0"/>
    <pivotField showAll="0"/>
  </pivotFields>
  <rowFields count="1">
    <field x="2"/>
  </rowFields>
  <rowItems count="8">
    <i>
      <x/>
    </i>
    <i>
      <x v="1"/>
    </i>
    <i>
      <x v="2"/>
    </i>
    <i>
      <x v="3"/>
    </i>
    <i>
      <x v="4"/>
    </i>
    <i>
      <x v="5"/>
    </i>
    <i>
      <x v="6"/>
    </i>
    <i t="grand">
      <x/>
    </i>
  </rowItems>
  <colFields count="1">
    <field x="3"/>
  </colFields>
  <colItems count="11">
    <i>
      <x/>
    </i>
    <i>
      <x v="1"/>
    </i>
    <i>
      <x v="2"/>
    </i>
    <i>
      <x v="3"/>
    </i>
    <i>
      <x v="4"/>
    </i>
    <i>
      <x v="5"/>
    </i>
    <i>
      <x v="6"/>
    </i>
    <i>
      <x v="7"/>
    </i>
    <i>
      <x v="8"/>
    </i>
    <i>
      <x v="9"/>
    </i>
    <i t="grand">
      <x/>
    </i>
  </colItems>
  <dataFields count="1">
    <dataField name="Sum of Global_Sales_Millions" fld="7" baseField="0" baseItem="0" numFmtId="164"/>
  </dataFields>
  <chartFormats count="20">
    <chartFormat chart="3" format="20" series="1">
      <pivotArea type="data" outline="0" fieldPosition="0">
        <references count="2">
          <reference field="4294967294" count="1" selected="0">
            <x v="0"/>
          </reference>
          <reference field="3" count="1" selected="0">
            <x v="0"/>
          </reference>
        </references>
      </pivotArea>
    </chartFormat>
    <chartFormat chart="3" format="21" series="1">
      <pivotArea type="data" outline="0" fieldPosition="0">
        <references count="2">
          <reference field="4294967294" count="1" selected="0">
            <x v="0"/>
          </reference>
          <reference field="3" count="1" selected="0">
            <x v="1"/>
          </reference>
        </references>
      </pivotArea>
    </chartFormat>
    <chartFormat chart="3" format="22" series="1">
      <pivotArea type="data" outline="0" fieldPosition="0">
        <references count="2">
          <reference field="4294967294" count="1" selected="0">
            <x v="0"/>
          </reference>
          <reference field="3" count="1" selected="0">
            <x v="2"/>
          </reference>
        </references>
      </pivotArea>
    </chartFormat>
    <chartFormat chart="3" format="23" series="1">
      <pivotArea type="data" outline="0" fieldPosition="0">
        <references count="2">
          <reference field="4294967294" count="1" selected="0">
            <x v="0"/>
          </reference>
          <reference field="3" count="1" selected="0">
            <x v="3"/>
          </reference>
        </references>
      </pivotArea>
    </chartFormat>
    <chartFormat chart="3" format="24" series="1">
      <pivotArea type="data" outline="0" fieldPosition="0">
        <references count="2">
          <reference field="4294967294" count="1" selected="0">
            <x v="0"/>
          </reference>
          <reference field="3" count="1" selected="0">
            <x v="4"/>
          </reference>
        </references>
      </pivotArea>
    </chartFormat>
    <chartFormat chart="3" format="25" series="1">
      <pivotArea type="data" outline="0" fieldPosition="0">
        <references count="2">
          <reference field="4294967294" count="1" selected="0">
            <x v="0"/>
          </reference>
          <reference field="3" count="1" selected="0">
            <x v="5"/>
          </reference>
        </references>
      </pivotArea>
    </chartFormat>
    <chartFormat chart="3" format="26" series="1">
      <pivotArea type="data" outline="0" fieldPosition="0">
        <references count="2">
          <reference field="4294967294" count="1" selected="0">
            <x v="0"/>
          </reference>
          <reference field="3" count="1" selected="0">
            <x v="6"/>
          </reference>
        </references>
      </pivotArea>
    </chartFormat>
    <chartFormat chart="3" format="27" series="1">
      <pivotArea type="data" outline="0" fieldPosition="0">
        <references count="2">
          <reference field="4294967294" count="1" selected="0">
            <x v="0"/>
          </reference>
          <reference field="3" count="1" selected="0">
            <x v="7"/>
          </reference>
        </references>
      </pivotArea>
    </chartFormat>
    <chartFormat chart="3" format="28" series="1">
      <pivotArea type="data" outline="0" fieldPosition="0">
        <references count="2">
          <reference field="4294967294" count="1" selected="0">
            <x v="0"/>
          </reference>
          <reference field="3" count="1" selected="0">
            <x v="8"/>
          </reference>
        </references>
      </pivotArea>
    </chartFormat>
    <chartFormat chart="3" format="29" series="1">
      <pivotArea type="data" outline="0" fieldPosition="0">
        <references count="2">
          <reference field="4294967294" count="1" selected="0">
            <x v="0"/>
          </reference>
          <reference field="3" count="1" selected="0">
            <x v="9"/>
          </reference>
        </references>
      </pivotArea>
    </chartFormat>
    <chartFormat chart="10" format="30" series="1">
      <pivotArea type="data" outline="0" fieldPosition="0">
        <references count="2">
          <reference field="4294967294" count="1" selected="0">
            <x v="0"/>
          </reference>
          <reference field="3" count="1" selected="0">
            <x v="0"/>
          </reference>
        </references>
      </pivotArea>
    </chartFormat>
    <chartFormat chart="10" format="31" series="1">
      <pivotArea type="data" outline="0" fieldPosition="0">
        <references count="2">
          <reference field="4294967294" count="1" selected="0">
            <x v="0"/>
          </reference>
          <reference field="3" count="1" selected="0">
            <x v="1"/>
          </reference>
        </references>
      </pivotArea>
    </chartFormat>
    <chartFormat chart="10" format="32" series="1">
      <pivotArea type="data" outline="0" fieldPosition="0">
        <references count="2">
          <reference field="4294967294" count="1" selected="0">
            <x v="0"/>
          </reference>
          <reference field="3" count="1" selected="0">
            <x v="2"/>
          </reference>
        </references>
      </pivotArea>
    </chartFormat>
    <chartFormat chart="10" format="33" series="1">
      <pivotArea type="data" outline="0" fieldPosition="0">
        <references count="2">
          <reference field="4294967294" count="1" selected="0">
            <x v="0"/>
          </reference>
          <reference field="3" count="1" selected="0">
            <x v="3"/>
          </reference>
        </references>
      </pivotArea>
    </chartFormat>
    <chartFormat chart="10" format="34" series="1">
      <pivotArea type="data" outline="0" fieldPosition="0">
        <references count="2">
          <reference field="4294967294" count="1" selected="0">
            <x v="0"/>
          </reference>
          <reference field="3" count="1" selected="0">
            <x v="4"/>
          </reference>
        </references>
      </pivotArea>
    </chartFormat>
    <chartFormat chart="10" format="35" series="1">
      <pivotArea type="data" outline="0" fieldPosition="0">
        <references count="2">
          <reference field="4294967294" count="1" selected="0">
            <x v="0"/>
          </reference>
          <reference field="3" count="1" selected="0">
            <x v="5"/>
          </reference>
        </references>
      </pivotArea>
    </chartFormat>
    <chartFormat chart="10" format="36" series="1">
      <pivotArea type="data" outline="0" fieldPosition="0">
        <references count="2">
          <reference field="4294967294" count="1" selected="0">
            <x v="0"/>
          </reference>
          <reference field="3" count="1" selected="0">
            <x v="6"/>
          </reference>
        </references>
      </pivotArea>
    </chartFormat>
    <chartFormat chart="10" format="37" series="1">
      <pivotArea type="data" outline="0" fieldPosition="0">
        <references count="2">
          <reference field="4294967294" count="1" selected="0">
            <x v="0"/>
          </reference>
          <reference field="3" count="1" selected="0">
            <x v="7"/>
          </reference>
        </references>
      </pivotArea>
    </chartFormat>
    <chartFormat chart="10" format="38" series="1">
      <pivotArea type="data" outline="0" fieldPosition="0">
        <references count="2">
          <reference field="4294967294" count="1" selected="0">
            <x v="0"/>
          </reference>
          <reference field="3" count="1" selected="0">
            <x v="8"/>
          </reference>
        </references>
      </pivotArea>
    </chartFormat>
    <chartFormat chart="10" format="39" series="1">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10884B-5B02-44CD-A5D6-BC92A96B468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27:E35" firstHeaderRow="0" firstDataRow="1" firstDataCol="1"/>
  <pivotFields count="14">
    <pivotField showAll="0"/>
    <pivotField showAll="0"/>
    <pivotField axis="axisRow" showAll="0">
      <items count="8">
        <item x="6"/>
        <item x="5"/>
        <item x="3"/>
        <item x="0"/>
        <item x="1"/>
        <item x="2"/>
        <item x="4"/>
        <item t="default"/>
      </items>
    </pivotField>
    <pivotField showAll="0">
      <items count="11">
        <item x="0"/>
        <item x="2"/>
        <item x="4"/>
        <item x="9"/>
        <item x="1"/>
        <item x="3"/>
        <item x="6"/>
        <item x="8"/>
        <item x="5"/>
        <item x="7"/>
        <item t="default"/>
      </items>
    </pivotField>
    <pivotField showAll="0">
      <items count="11">
        <item x="6"/>
        <item x="4"/>
        <item x="9"/>
        <item x="3"/>
        <item x="5"/>
        <item x="8"/>
        <item x="1"/>
        <item x="2"/>
        <item x="0"/>
        <item x="7"/>
        <item t="default"/>
      </items>
    </pivotField>
    <pivotField showAll="0"/>
    <pivotField showAll="0">
      <items count="45">
        <item x="24"/>
        <item x="26"/>
        <item x="39"/>
        <item x="21"/>
        <item x="18"/>
        <item x="23"/>
        <item x="20"/>
        <item x="35"/>
        <item x="34"/>
        <item x="14"/>
        <item x="42"/>
        <item x="41"/>
        <item x="19"/>
        <item x="43"/>
        <item x="27"/>
        <item x="36"/>
        <item x="22"/>
        <item x="32"/>
        <item x="37"/>
        <item x="15"/>
        <item x="33"/>
        <item x="30"/>
        <item x="25"/>
        <item x="11"/>
        <item x="31"/>
        <item x="12"/>
        <item x="40"/>
        <item x="10"/>
        <item x="7"/>
        <item x="29"/>
        <item x="6"/>
        <item x="13"/>
        <item x="4"/>
        <item x="17"/>
        <item x="5"/>
        <item x="16"/>
        <item x="9"/>
        <item x="8"/>
        <item x="3"/>
        <item x="1"/>
        <item x="2"/>
        <item x="28"/>
        <item x="0"/>
        <item x="38"/>
        <item t="default"/>
      </items>
    </pivotField>
    <pivotField numFmtId="164" showAll="0">
      <items count="255">
        <item x="95"/>
        <item x="58"/>
        <item x="173"/>
        <item x="72"/>
        <item x="113"/>
        <item x="21"/>
        <item x="97"/>
        <item x="23"/>
        <item x="116"/>
        <item x="42"/>
        <item x="46"/>
        <item x="27"/>
        <item x="86"/>
        <item x="34"/>
        <item x="47"/>
        <item x="91"/>
        <item x="83"/>
        <item x="61"/>
        <item x="66"/>
        <item x="48"/>
        <item x="24"/>
        <item x="40"/>
        <item x="22"/>
        <item x="13"/>
        <item x="55"/>
        <item x="64"/>
        <item x="2"/>
        <item x="82"/>
        <item x="105"/>
        <item x="19"/>
        <item x="162"/>
        <item x="77"/>
        <item x="63"/>
        <item x="70"/>
        <item x="43"/>
        <item x="132"/>
        <item x="36"/>
        <item x="107"/>
        <item x="20"/>
        <item x="62"/>
        <item x="30"/>
        <item x="88"/>
        <item x="9"/>
        <item x="123"/>
        <item x="50"/>
        <item x="119"/>
        <item x="103"/>
        <item x="158"/>
        <item x="177"/>
        <item x="100"/>
        <item x="52"/>
        <item x="5"/>
        <item x="157"/>
        <item x="96"/>
        <item x="92"/>
        <item x="51"/>
        <item x="154"/>
        <item x="142"/>
        <item x="10"/>
        <item x="3"/>
        <item x="127"/>
        <item x="28"/>
        <item x="197"/>
        <item x="151"/>
        <item x="169"/>
        <item x="57"/>
        <item x="104"/>
        <item x="120"/>
        <item x="75"/>
        <item x="0"/>
        <item x="78"/>
        <item x="150"/>
        <item x="89"/>
        <item x="60"/>
        <item x="160"/>
        <item x="41"/>
        <item x="168"/>
        <item x="16"/>
        <item x="32"/>
        <item x="194"/>
        <item x="35"/>
        <item x="94"/>
        <item x="54"/>
        <item x="98"/>
        <item x="155"/>
        <item x="145"/>
        <item x="153"/>
        <item x="167"/>
        <item x="71"/>
        <item x="156"/>
        <item x="224"/>
        <item x="59"/>
        <item x="165"/>
        <item x="243"/>
        <item x="11"/>
        <item x="179"/>
        <item x="102"/>
        <item x="112"/>
        <item x="137"/>
        <item x="44"/>
        <item x="198"/>
        <item x="174"/>
        <item x="12"/>
        <item x="200"/>
        <item x="187"/>
        <item x="206"/>
        <item x="25"/>
        <item x="101"/>
        <item x="8"/>
        <item x="170"/>
        <item x="139"/>
        <item x="49"/>
        <item x="143"/>
        <item x="193"/>
        <item x="219"/>
        <item x="130"/>
        <item x="124"/>
        <item x="128"/>
        <item x="140"/>
        <item x="110"/>
        <item x="161"/>
        <item x="172"/>
        <item x="7"/>
        <item x="210"/>
        <item x="242"/>
        <item x="188"/>
        <item x="159"/>
        <item x="80"/>
        <item x="214"/>
        <item x="146"/>
        <item x="53"/>
        <item x="26"/>
        <item x="81"/>
        <item x="221"/>
        <item x="84"/>
        <item x="181"/>
        <item x="69"/>
        <item x="202"/>
        <item x="190"/>
        <item x="166"/>
        <item x="115"/>
        <item x="237"/>
        <item x="204"/>
        <item x="118"/>
        <item x="186"/>
        <item x="245"/>
        <item x="109"/>
        <item x="217"/>
        <item x="65"/>
        <item x="31"/>
        <item x="182"/>
        <item x="18"/>
        <item x="134"/>
        <item x="147"/>
        <item x="131"/>
        <item x="152"/>
        <item x="33"/>
        <item x="135"/>
        <item x="228"/>
        <item x="178"/>
        <item x="56"/>
        <item x="191"/>
        <item x="192"/>
        <item x="17"/>
        <item x="171"/>
        <item x="99"/>
        <item x="108"/>
        <item x="183"/>
        <item x="209"/>
        <item x="14"/>
        <item x="229"/>
        <item x="93"/>
        <item x="252"/>
        <item x="125"/>
        <item x="141"/>
        <item x="122"/>
        <item x="164"/>
        <item x="138"/>
        <item x="232"/>
        <item x="195"/>
        <item x="246"/>
        <item x="180"/>
        <item x="117"/>
        <item x="67"/>
        <item x="222"/>
        <item x="87"/>
        <item x="76"/>
        <item x="199"/>
        <item x="238"/>
        <item x="241"/>
        <item x="211"/>
        <item x="114"/>
        <item x="247"/>
        <item x="215"/>
        <item x="133"/>
        <item x="68"/>
        <item x="106"/>
        <item x="207"/>
        <item x="85"/>
        <item x="244"/>
        <item x="230"/>
        <item x="136"/>
        <item x="148"/>
        <item x="236"/>
        <item x="144"/>
        <item x="15"/>
        <item x="208"/>
        <item x="253"/>
        <item x="212"/>
        <item x="205"/>
        <item x="248"/>
        <item x="251"/>
        <item x="250"/>
        <item x="79"/>
        <item x="216"/>
        <item x="203"/>
        <item x="121"/>
        <item x="45"/>
        <item x="240"/>
        <item x="234"/>
        <item x="29"/>
        <item x="37"/>
        <item x="235"/>
        <item x="73"/>
        <item x="90"/>
        <item x="220"/>
        <item x="185"/>
        <item x="184"/>
        <item x="176"/>
        <item x="226"/>
        <item x="6"/>
        <item x="163"/>
        <item x="4"/>
        <item x="233"/>
        <item x="129"/>
        <item x="38"/>
        <item x="149"/>
        <item x="39"/>
        <item x="196"/>
        <item x="201"/>
        <item x="225"/>
        <item x="231"/>
        <item x="126"/>
        <item x="218"/>
        <item x="249"/>
        <item x="111"/>
        <item x="239"/>
        <item x="213"/>
        <item x="175"/>
        <item x="227"/>
        <item x="1"/>
        <item x="74"/>
        <item x="223"/>
        <item x="189"/>
        <item t="default"/>
      </items>
    </pivotField>
    <pivotField dataField="1" numFmtId="164" showAll="0">
      <items count="157">
        <item x="97"/>
        <item x="48"/>
        <item x="57"/>
        <item x="20"/>
        <item x="24"/>
        <item x="47"/>
        <item x="38"/>
        <item x="29"/>
        <item x="21"/>
        <item x="2"/>
        <item x="43"/>
        <item x="25"/>
        <item x="35"/>
        <item x="22"/>
        <item x="50"/>
        <item x="18"/>
        <item x="36"/>
        <item x="8"/>
        <item x="19"/>
        <item x="4"/>
        <item x="69"/>
        <item x="41"/>
        <item x="80"/>
        <item x="9"/>
        <item x="72"/>
        <item x="42"/>
        <item x="61"/>
        <item x="14"/>
        <item x="0"/>
        <item x="75"/>
        <item x="49"/>
        <item x="45"/>
        <item x="39"/>
        <item x="93"/>
        <item x="56"/>
        <item x="76"/>
        <item x="34"/>
        <item x="23"/>
        <item x="74"/>
        <item x="65"/>
        <item x="40"/>
        <item x="55"/>
        <item x="30"/>
        <item x="7"/>
        <item x="104"/>
        <item x="101"/>
        <item x="79"/>
        <item x="10"/>
        <item x="73"/>
        <item x="77"/>
        <item x="98"/>
        <item x="95"/>
        <item x="66"/>
        <item x="11"/>
        <item x="63"/>
        <item x="44"/>
        <item x="27"/>
        <item x="89"/>
        <item x="119"/>
        <item x="68"/>
        <item x="6"/>
        <item x="84"/>
        <item x="15"/>
        <item x="99"/>
        <item x="64"/>
        <item x="106"/>
        <item x="152"/>
        <item x="54"/>
        <item x="46"/>
        <item x="132"/>
        <item x="108"/>
        <item x="78"/>
        <item x="110"/>
        <item x="118"/>
        <item x="87"/>
        <item x="114"/>
        <item x="102"/>
        <item x="129"/>
        <item x="51"/>
        <item x="28"/>
        <item x="96"/>
        <item x="86"/>
        <item x="52"/>
        <item x="127"/>
        <item x="71"/>
        <item x="53"/>
        <item x="17"/>
        <item x="82"/>
        <item x="12"/>
        <item x="151"/>
        <item x="121"/>
        <item x="116"/>
        <item x="109"/>
        <item x="90"/>
        <item x="144"/>
        <item x="85"/>
        <item x="115"/>
        <item x="113"/>
        <item x="60"/>
        <item x="91"/>
        <item x="122"/>
        <item x="148"/>
        <item x="128"/>
        <item x="13"/>
        <item x="67"/>
        <item x="105"/>
        <item x="81"/>
        <item x="130"/>
        <item x="131"/>
        <item x="134"/>
        <item x="125"/>
        <item x="147"/>
        <item x="126"/>
        <item x="88"/>
        <item x="100"/>
        <item x="135"/>
        <item x="140"/>
        <item x="62"/>
        <item x="155"/>
        <item x="145"/>
        <item x="124"/>
        <item x="153"/>
        <item x="112"/>
        <item x="37"/>
        <item x="137"/>
        <item x="26"/>
        <item x="94"/>
        <item x="58"/>
        <item x="3"/>
        <item x="32"/>
        <item x="31"/>
        <item x="141"/>
        <item x="33"/>
        <item x="70"/>
        <item x="150"/>
        <item x="5"/>
        <item x="92"/>
        <item x="146"/>
        <item x="139"/>
        <item x="117"/>
        <item x="103"/>
        <item x="107"/>
        <item x="154"/>
        <item x="16"/>
        <item x="123"/>
        <item x="143"/>
        <item x="136"/>
        <item x="111"/>
        <item x="149"/>
        <item x="83"/>
        <item x="133"/>
        <item x="1"/>
        <item x="59"/>
        <item x="142"/>
        <item x="120"/>
        <item x="138"/>
        <item t="default"/>
      </items>
    </pivotField>
    <pivotField dataField="1" numFmtId="164" showAll="0">
      <items count="111">
        <item x="59"/>
        <item x="41"/>
        <item x="20"/>
        <item x="28"/>
        <item x="21"/>
        <item x="12"/>
        <item x="2"/>
        <item x="24"/>
        <item x="19"/>
        <item x="43"/>
        <item x="18"/>
        <item x="29"/>
        <item x="35"/>
        <item x="9"/>
        <item x="38"/>
        <item x="33"/>
        <item x="0"/>
        <item x="5"/>
        <item x="58"/>
        <item x="55"/>
        <item x="3"/>
        <item x="10"/>
        <item x="48"/>
        <item x="22"/>
        <item x="63"/>
        <item x="60"/>
        <item x="42"/>
        <item x="8"/>
        <item x="34"/>
        <item x="39"/>
        <item x="65"/>
        <item x="37"/>
        <item x="54"/>
        <item x="11"/>
        <item x="67"/>
        <item x="23"/>
        <item x="40"/>
        <item x="47"/>
        <item x="77"/>
        <item x="26"/>
        <item x="82"/>
        <item x="44"/>
        <item x="7"/>
        <item x="84"/>
        <item x="71"/>
        <item x="15"/>
        <item x="96"/>
        <item x="73"/>
        <item x="13"/>
        <item x="57"/>
        <item x="17"/>
        <item x="74"/>
        <item x="27"/>
        <item x="79"/>
        <item x="62"/>
        <item x="45"/>
        <item x="72"/>
        <item x="85"/>
        <item x="104"/>
        <item x="61"/>
        <item x="68"/>
        <item x="14"/>
        <item x="53"/>
        <item x="107"/>
        <item x="90"/>
        <item x="36"/>
        <item x="66"/>
        <item x="100"/>
        <item x="95"/>
        <item x="92"/>
        <item x="80"/>
        <item x="78"/>
        <item x="75"/>
        <item x="52"/>
        <item x="16"/>
        <item x="46"/>
        <item x="103"/>
        <item x="76"/>
        <item x="109"/>
        <item x="93"/>
        <item x="4"/>
        <item x="51"/>
        <item x="88"/>
        <item x="87"/>
        <item x="106"/>
        <item x="81"/>
        <item x="31"/>
        <item x="70"/>
        <item x="56"/>
        <item x="30"/>
        <item x="101"/>
        <item x="32"/>
        <item x="49"/>
        <item x="25"/>
        <item x="97"/>
        <item x="83"/>
        <item x="105"/>
        <item x="64"/>
        <item x="6"/>
        <item x="99"/>
        <item x="91"/>
        <item x="69"/>
        <item x="86"/>
        <item x="108"/>
        <item x="94"/>
        <item x="1"/>
        <item x="50"/>
        <item x="102"/>
        <item x="98"/>
        <item x="89"/>
        <item t="default"/>
      </items>
    </pivotField>
    <pivotField dataField="1" numFmtId="164" showAll="0"/>
    <pivotField dataField="1" numFmtId="164" showAll="0"/>
    <pivotField showAll="0"/>
    <pivotField showAll="0"/>
  </pivotFields>
  <rowFields count="1">
    <field x="2"/>
  </rowFields>
  <rowItems count="8">
    <i>
      <x/>
    </i>
    <i>
      <x v="1"/>
    </i>
    <i>
      <x v="2"/>
    </i>
    <i>
      <x v="3"/>
    </i>
    <i>
      <x v="4"/>
    </i>
    <i>
      <x v="5"/>
    </i>
    <i>
      <x v="6"/>
    </i>
    <i t="grand">
      <x/>
    </i>
  </rowItems>
  <colFields count="1">
    <field x="-2"/>
  </colFields>
  <colItems count="4">
    <i>
      <x/>
    </i>
    <i i="1">
      <x v="1"/>
    </i>
    <i i="2">
      <x v="2"/>
    </i>
    <i i="3">
      <x v="3"/>
    </i>
  </colItems>
  <dataFields count="4">
    <dataField name="Sum of North_America_Sales_Millions" fld="8" baseField="0" baseItem="0" numFmtId="164"/>
    <dataField name="Sum of Europe_Sales_Millions" fld="9" baseField="0" baseItem="0" numFmtId="164"/>
    <dataField name="Sum of Japan_Sales_Millions" fld="10" baseField="0" baseItem="0" numFmtId="164"/>
    <dataField name="Sum of Other_Sales_Millions" fld="11" baseField="0" baseItem="0" numFmtId="164"/>
  </dataFields>
  <chartFormats count="4">
    <chartFormat chart="25" format="8"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1"/>
          </reference>
        </references>
      </pivotArea>
    </chartFormat>
    <chartFormat chart="25" format="10" series="1">
      <pivotArea type="data" outline="0" fieldPosition="0">
        <references count="1">
          <reference field="4294967294" count="1" selected="0">
            <x v="2"/>
          </reference>
        </references>
      </pivotArea>
    </chartFormat>
    <chartFormat chart="2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5E2EC9-7D83-407C-93B4-EA9A0484374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 firstHeaderRow="0" firstDataRow="0" firstDataCol="0"/>
  <pivotFields count="14">
    <pivotField showAll="0"/>
    <pivotField showAll="0"/>
    <pivotField axis="axisRow" showAll="0">
      <items count="8">
        <item x="6"/>
        <item x="5"/>
        <item x="3"/>
        <item x="0"/>
        <item x="1"/>
        <item x="2"/>
        <item x="4"/>
        <item t="default"/>
      </items>
    </pivotField>
    <pivotField axis="axisCol" showAll="0">
      <items count="11">
        <item x="0"/>
        <item x="2"/>
        <item x="4"/>
        <item x="9"/>
        <item x="1"/>
        <item x="3"/>
        <item x="6"/>
        <item x="8"/>
        <item x="5"/>
        <item x="7"/>
        <item t="default"/>
      </items>
    </pivotField>
    <pivotField showAll="0">
      <items count="11">
        <item x="6"/>
        <item x="4"/>
        <item x="9"/>
        <item x="3"/>
        <item x="5"/>
        <item x="8"/>
        <item x="1"/>
        <item x="2"/>
        <item x="0"/>
        <item x="7"/>
        <item t="default"/>
      </items>
    </pivotField>
    <pivotField showAll="0"/>
    <pivotField showAll="0"/>
    <pivotField dataField="1" numFmtId="164" showAll="0"/>
    <pivotField numFmtId="164" showAll="0"/>
    <pivotField numFmtId="164" showAll="0"/>
    <pivotField numFmtId="164" showAll="0"/>
    <pivotField numFmtId="164" showAll="0"/>
    <pivotField showAll="0"/>
    <pivotField showAll="0"/>
  </pivotFields>
  <rowFields count="1">
    <field x="2"/>
  </rowFields>
  <rowItems count="8">
    <i>
      <x/>
    </i>
    <i>
      <x v="1"/>
    </i>
    <i>
      <x v="2"/>
    </i>
    <i>
      <x v="3"/>
    </i>
    <i>
      <x v="4"/>
    </i>
    <i>
      <x v="5"/>
    </i>
    <i>
      <x v="6"/>
    </i>
    <i t="grand">
      <x/>
    </i>
  </rowItems>
  <colFields count="1">
    <field x="3"/>
  </colFields>
  <colItems count="11">
    <i>
      <x/>
    </i>
    <i>
      <x v="1"/>
    </i>
    <i>
      <x v="2"/>
    </i>
    <i>
      <x v="3"/>
    </i>
    <i>
      <x v="4"/>
    </i>
    <i>
      <x v="5"/>
    </i>
    <i>
      <x v="6"/>
    </i>
    <i>
      <x v="7"/>
    </i>
    <i>
      <x v="8"/>
    </i>
    <i>
      <x v="9"/>
    </i>
    <i t="grand">
      <x/>
    </i>
  </colItems>
  <dataFields count="1">
    <dataField name="Sum of Global_Sales_Millions"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9DFD8D-A184-4422-A144-4743D45E5483}"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12:J13" firstHeaderRow="1" firstDataRow="1" firstDataCol="0"/>
  <pivotFields count="14">
    <pivotField showAll="0"/>
    <pivotField showAll="0"/>
    <pivotField showAll="0">
      <items count="8">
        <item x="6"/>
        <item x="5"/>
        <item x="3"/>
        <item x="0"/>
        <item x="1"/>
        <item x="2"/>
        <item x="4"/>
        <item t="default"/>
      </items>
    </pivotField>
    <pivotField showAll="0">
      <items count="11">
        <item x="0"/>
        <item x="2"/>
        <item x="4"/>
        <item x="9"/>
        <item x="1"/>
        <item x="3"/>
        <item x="6"/>
        <item x="8"/>
        <item x="5"/>
        <item x="7"/>
        <item t="default"/>
      </items>
    </pivotField>
    <pivotField showAll="0">
      <items count="11">
        <item x="6"/>
        <item x="4"/>
        <item x="9"/>
        <item x="3"/>
        <item x="5"/>
        <item x="8"/>
        <item x="1"/>
        <item x="2"/>
        <item x="0"/>
        <item x="7"/>
        <item t="default"/>
      </items>
    </pivotField>
    <pivotField showAll="0">
      <items count="33">
        <item x="31"/>
        <item x="25"/>
        <item x="21"/>
        <item x="26"/>
        <item x="16"/>
        <item x="10"/>
        <item x="15"/>
        <item x="24"/>
        <item x="28"/>
        <item x="4"/>
        <item x="20"/>
        <item x="14"/>
        <item x="17"/>
        <item x="18"/>
        <item x="19"/>
        <item x="22"/>
        <item x="23"/>
        <item x="9"/>
        <item x="0"/>
        <item x="11"/>
        <item x="7"/>
        <item x="5"/>
        <item x="6"/>
        <item x="1"/>
        <item x="8"/>
        <item x="3"/>
        <item x="12"/>
        <item x="2"/>
        <item x="30"/>
        <item x="13"/>
        <item x="27"/>
        <item x="29"/>
        <item t="default"/>
      </items>
    </pivotField>
    <pivotField showAll="0"/>
    <pivotField dataField="1" numFmtId="164" showAll="0"/>
    <pivotField numFmtId="164" showAll="0"/>
    <pivotField numFmtId="164" showAll="0"/>
    <pivotField numFmtId="164" showAll="0"/>
    <pivotField numFmtId="164" showAll="0"/>
    <pivotField showAll="0"/>
    <pivotField showAll="0"/>
  </pivotFields>
  <rowItems count="1">
    <i/>
  </rowItems>
  <colItems count="1">
    <i/>
  </colItems>
  <dataFields count="1">
    <dataField name="Average of Global_Sales_Millions" fld="7"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4F4D1A-7C4E-4B8C-B93A-E014C167BB05}"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9:J10" firstHeaderRow="1" firstDataRow="1" firstDataCol="0"/>
  <pivotFields count="14">
    <pivotField showAll="0"/>
    <pivotField showAll="0"/>
    <pivotField showAll="0">
      <items count="8">
        <item x="6"/>
        <item x="5"/>
        <item x="3"/>
        <item x="0"/>
        <item x="1"/>
        <item x="2"/>
        <item x="4"/>
        <item t="default"/>
      </items>
    </pivotField>
    <pivotField showAll="0">
      <items count="11">
        <item x="0"/>
        <item x="2"/>
        <item x="4"/>
        <item x="9"/>
        <item x="1"/>
        <item x="3"/>
        <item x="6"/>
        <item x="8"/>
        <item x="5"/>
        <item x="7"/>
        <item t="default"/>
      </items>
    </pivotField>
    <pivotField showAll="0">
      <items count="11">
        <item x="6"/>
        <item x="4"/>
        <item x="9"/>
        <item x="3"/>
        <item x="5"/>
        <item x="8"/>
        <item x="1"/>
        <item x="2"/>
        <item x="0"/>
        <item x="7"/>
        <item t="default"/>
      </items>
    </pivotField>
    <pivotField showAll="0">
      <items count="33">
        <item x="31"/>
        <item x="25"/>
        <item x="21"/>
        <item x="26"/>
        <item x="16"/>
        <item x="10"/>
        <item x="15"/>
        <item x="24"/>
        <item x="28"/>
        <item x="4"/>
        <item x="20"/>
        <item x="14"/>
        <item x="17"/>
        <item x="18"/>
        <item x="19"/>
        <item x="22"/>
        <item x="23"/>
        <item x="9"/>
        <item x="0"/>
        <item x="11"/>
        <item x="7"/>
        <item x="5"/>
        <item x="6"/>
        <item x="1"/>
        <item x="8"/>
        <item x="3"/>
        <item x="12"/>
        <item x="2"/>
        <item x="30"/>
        <item x="13"/>
        <item x="27"/>
        <item x="29"/>
        <item t="default"/>
      </items>
    </pivotField>
    <pivotField showAll="0"/>
    <pivotField dataField="1" numFmtId="164" showAll="0"/>
    <pivotField numFmtId="164" showAll="0"/>
    <pivotField numFmtId="164" showAll="0"/>
    <pivotField numFmtId="164" showAll="0"/>
    <pivotField numFmtId="164" showAll="0"/>
    <pivotField showAll="0"/>
    <pivotField showAll="0"/>
  </pivotFields>
  <rowItems count="1">
    <i/>
  </rowItems>
  <colItems count="1">
    <i/>
  </colItems>
  <dataFields count="1">
    <dataField name="Sum of Global_Sales_Millions"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3505B8-8CDD-4A9B-8C8D-AB65571193F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5:E86" firstHeaderRow="0" firstDataRow="1" firstDataCol="1"/>
  <pivotFields count="14">
    <pivotField showAll="0"/>
    <pivotField showAll="0"/>
    <pivotField showAll="0">
      <items count="8">
        <item x="6"/>
        <item x="5"/>
        <item x="3"/>
        <item x="0"/>
        <item x="1"/>
        <item x="2"/>
        <item x="4"/>
        <item t="default"/>
      </items>
    </pivotField>
    <pivotField axis="axisRow" showAll="0">
      <items count="11">
        <item x="0"/>
        <item x="2"/>
        <item x="4"/>
        <item x="9"/>
        <item x="1"/>
        <item x="3"/>
        <item x="6"/>
        <item x="8"/>
        <item x="5"/>
        <item x="7"/>
        <item t="default"/>
      </items>
    </pivotField>
    <pivotField showAll="0">
      <items count="11">
        <item x="6"/>
        <item x="4"/>
        <item x="9"/>
        <item x="3"/>
        <item x="5"/>
        <item x="8"/>
        <item x="1"/>
        <item x="2"/>
        <item x="0"/>
        <item x="7"/>
        <item t="default"/>
      </items>
    </pivotField>
    <pivotField showAll="0"/>
    <pivotField showAll="0"/>
    <pivotField numFmtId="164" showAll="0"/>
    <pivotField dataField="1" numFmtId="164" showAll="0"/>
    <pivotField dataField="1" numFmtId="164" showAll="0"/>
    <pivotField dataField="1" numFmtId="164" showAll="0"/>
    <pivotField dataField="1" numFmtId="164" showAll="0"/>
    <pivotField showAll="0"/>
    <pivotField showAll="0"/>
  </pivotFields>
  <rowFields count="1">
    <field x="3"/>
  </rowFields>
  <rowItems count="11">
    <i>
      <x/>
    </i>
    <i>
      <x v="1"/>
    </i>
    <i>
      <x v="2"/>
    </i>
    <i>
      <x v="3"/>
    </i>
    <i>
      <x v="4"/>
    </i>
    <i>
      <x v="5"/>
    </i>
    <i>
      <x v="6"/>
    </i>
    <i>
      <x v="7"/>
    </i>
    <i>
      <x v="8"/>
    </i>
    <i>
      <x v="9"/>
    </i>
    <i t="grand">
      <x/>
    </i>
  </rowItems>
  <colFields count="1">
    <field x="-2"/>
  </colFields>
  <colItems count="4">
    <i>
      <x/>
    </i>
    <i i="1">
      <x v="1"/>
    </i>
    <i i="2">
      <x v="2"/>
    </i>
    <i i="3">
      <x v="3"/>
    </i>
  </colItems>
  <dataFields count="4">
    <dataField name="Sum of North_America_Sales_Millions" fld="8" baseField="0" baseItem="0" numFmtId="164"/>
    <dataField name="Sum of Europe_Sales_Millions" fld="9" baseField="0" baseItem="0" numFmtId="164"/>
    <dataField name="Sum of Japan_Sales_Millions" fld="10" baseField="0" baseItem="0" numFmtId="164"/>
    <dataField name="Sum of Other_Sales_Millions" fld="11" baseField="0" baseItem="0" numFmtId="164"/>
  </dataField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11</v>
    <v>8</v>
    <v>9</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CC4FA8FD-12C9-4DD3-A0C0-4540CBD201B0}" sourceName="Platform">
  <pivotTables>
    <pivotTable tabId="5" name="PivotTable2"/>
    <pivotTable tabId="5" name="PivotTable3"/>
    <pivotTable tabId="5" name="PivotTable4"/>
    <pivotTable tabId="5" name="PivotTable1"/>
    <pivotTable tabId="5" name="PivotTable10"/>
    <pivotTable tabId="5" name="PivotTable11"/>
    <pivotTable tabId="5" name="PivotTable7"/>
    <pivotTable tabId="5" name="PivotTable8"/>
    <pivotTable tabId="5" name="PivotTable9"/>
    <pivotTable tabId="5" name="PivotTable12"/>
  </pivotTables>
  <data>
    <tabular pivotCacheId="1329364682">
      <items count="7">
        <i x="6" s="1"/>
        <i x="5" s="1"/>
        <i x="3" s="1"/>
        <i x="0"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769784F3-4F1C-4BCE-AA38-1C1BE4F2A532}" sourceName="Genre">
  <pivotTables>
    <pivotTable tabId="5" name="PivotTable2"/>
    <pivotTable tabId="5" name="PivotTable3"/>
    <pivotTable tabId="5" name="PivotTable4"/>
    <pivotTable tabId="5" name="PivotTable1"/>
    <pivotTable tabId="5" name="PivotTable10"/>
    <pivotTable tabId="5" name="PivotTable11"/>
    <pivotTable tabId="5" name="PivotTable7"/>
    <pivotTable tabId="5" name="PivotTable8"/>
    <pivotTable tabId="5" name="PivotTable9"/>
    <pivotTable tabId="5" name="PivotTable12"/>
  </pivotTables>
  <data>
    <tabular pivotCacheId="1329364682">
      <items count="10">
        <i x="0" s="1"/>
        <i x="2" s="1"/>
        <i x="4" s="1"/>
        <i x="9" s="1"/>
        <i x="1" s="1"/>
        <i x="3" s="1"/>
        <i x="6" s="1"/>
        <i x="8" s="1"/>
        <i x="5"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 xr10:uid="{B836B50F-9C4B-4C34-B76C-28FFBB94FF11}" sourceName="Publisher">
  <pivotTables>
    <pivotTable tabId="5" name="PivotTable2"/>
    <pivotTable tabId="5" name="PivotTable3"/>
    <pivotTable tabId="5" name="PivotTable4"/>
    <pivotTable tabId="5" name="PivotTable1"/>
    <pivotTable tabId="5" name="PivotTable10"/>
    <pivotTable tabId="5" name="PivotTable11"/>
    <pivotTable tabId="5" name="PivotTable7"/>
    <pivotTable tabId="5" name="PivotTable8"/>
    <pivotTable tabId="5" name="PivotTable9"/>
    <pivotTable tabId="5" name="PivotTable12"/>
  </pivotTables>
  <data>
    <tabular pivotCacheId="1329364682">
      <items count="10">
        <i x="6" s="1"/>
        <i x="4" s="1"/>
        <i x="9" s="1"/>
        <i x="3" s="1"/>
        <i x="5" s="1"/>
        <i x="8" s="1"/>
        <i x="1" s="1"/>
        <i x="2" s="1"/>
        <i x="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45AE0971-0410-4D88-959E-18193E984533}" cache="Slicer_Platform" caption="Platform" columnCount="4" style="Slicer Style 1" rowHeight="241300"/>
  <slicer name="Genre 1" xr10:uid="{09FDED34-D686-4F7C-8DD8-B981531B6E41}" cache="Slicer_Genre" caption="Genre" columnCount="2" style="Slicer Style 1" rowHeight="241300"/>
  <slicer name="Publisher 1" xr10:uid="{B9AD62C3-6778-4111-B930-2A4A812D2514}" cache="Slicer_Publisher" caption="Publisher" startItem="9"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EAED96-4FFF-4BEF-ABDD-EA2F07DB6A99}" name="GmsTbl" displayName="GmsTbl" ref="A1:N1001" totalsRowShown="0" headerRowDxfId="21" dataDxfId="20" tableBorderDxfId="19" headerRowCellStyle="Heading 2">
  <autoFilter ref="A1:N1001" xr:uid="{10EAED96-4FFF-4BEF-ABDD-EA2F07DB6A99}"/>
  <tableColumns count="14">
    <tableColumn id="1" xr3:uid="{F8DE7F85-6FD4-4FF0-A04D-AE35F2ACBFBE}" name="Game_ID" dataDxfId="18"/>
    <tableColumn id="2" xr3:uid="{6B583FB6-19D9-4E5A-A583-697FBCEE3635}" name="Game_Title" dataDxfId="17"/>
    <tableColumn id="3" xr3:uid="{B9CB5B7F-3750-4767-84F6-D45C86DE1F63}" name="Platform" dataDxfId="16"/>
    <tableColumn id="4" xr3:uid="{191C1492-5DAC-47FB-85CD-5894106C1EBE}" name="Genre" dataDxfId="15"/>
    <tableColumn id="5" xr3:uid="{590E1946-BDB6-462E-B307-18C76F631142}" name="Publisher" dataDxfId="14"/>
    <tableColumn id="6" xr3:uid="{7D256B6A-5FD3-49F6-A6BF-C6EBDF0981A1}" name="Release_Year" dataDxfId="13"/>
    <tableColumn id="7" xr3:uid="{6C5BB37D-253D-4FA7-8025-4E2DADC07EF5}" name="Critic_Rating" dataDxfId="12"/>
    <tableColumn id="8" xr3:uid="{8D230822-C323-47CF-8A8B-7D46353875B8}" name="Global_Sales_Millions" dataDxfId="11"/>
    <tableColumn id="9" xr3:uid="{06640372-A534-4817-8F63-D25BD74440F8}" name="North_America_Sales_Millions" dataDxfId="10"/>
    <tableColumn id="10" xr3:uid="{4FEBD887-0C37-4290-96FA-A768F6547F86}" name="Europe_Sales_Millions" dataDxfId="9"/>
    <tableColumn id="11" xr3:uid="{D3438E2B-BE10-4B5E-BD45-B57BB8FC85AA}" name="Japan_Sales_Millions" dataDxfId="8"/>
    <tableColumn id="12" xr3:uid="{1A857A74-3B0D-4B61-A03E-EF9E19A9E160}" name="Other_Sales_Millions" dataDxfId="7"/>
    <tableColumn id="13" xr3:uid="{92DB2AE6-7F08-4E0F-B23F-DA7ED9B9CA25}" name="Sales_Category" dataDxfId="6"/>
    <tableColumn id="17" xr3:uid="{5A20AE3D-CEAC-43B0-B9D2-7C6D87540EA7}" name="Ratings by Category" dataDxfId="5">
      <calculatedColumnFormula array="1">_xlfn.IFS(G2&gt;=90,"Excellent",G2&gt;=80,"Good",G2&gt;=70,"Average",G2&lt;70,"Poor")</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B8831-403B-412A-B3AB-19D2E4F56371}">
  <sheetPr>
    <tabColor rgb="FF7030A0"/>
  </sheetPr>
  <dimension ref="B1:Z56"/>
  <sheetViews>
    <sheetView showGridLines="0" tabSelected="1" zoomScaleNormal="100" workbookViewId="0">
      <selection activeCell="O1" sqref="O1"/>
    </sheetView>
  </sheetViews>
  <sheetFormatPr defaultRowHeight="14.5" x14ac:dyDescent="0.35"/>
  <cols>
    <col min="1" max="1" width="8.7265625" style="2"/>
    <col min="2" max="2" width="12.7265625" style="2" bestFit="1" customWidth="1"/>
    <col min="3" max="4" width="8.7265625" style="2"/>
    <col min="5" max="5" width="11.453125" style="2" bestFit="1" customWidth="1"/>
    <col min="6" max="7" width="8.7265625" style="2"/>
    <col min="8" max="8" width="14" style="2" bestFit="1" customWidth="1"/>
    <col min="9" max="10" width="8.7265625" style="2"/>
    <col min="11" max="11" width="13.26953125" style="2" customWidth="1"/>
    <col min="12" max="13" width="8.7265625" style="2"/>
    <col min="14" max="14" width="10.26953125" style="2" bestFit="1" customWidth="1"/>
    <col min="15" max="16" width="8.7265625" style="2"/>
    <col min="17" max="17" width="11.453125" style="2" customWidth="1"/>
    <col min="18" max="25" width="8.7265625" style="2"/>
    <col min="26" max="26" width="9.54296875" style="2" bestFit="1" customWidth="1"/>
    <col min="27" max="16384" width="8.7265625" style="2"/>
  </cols>
  <sheetData>
    <row r="1" spans="2:26" x14ac:dyDescent="0.35">
      <c r="Z1" s="2" t="s">
        <v>1060</v>
      </c>
    </row>
    <row r="2" spans="2:26" x14ac:dyDescent="0.35">
      <c r="Z2" s="2">
        <f>COUNTA(GmsTbl[Game_Title])</f>
        <v>1000</v>
      </c>
    </row>
    <row r="3" spans="2:26" x14ac:dyDescent="0.35">
      <c r="B3" s="2" t="s">
        <v>1052</v>
      </c>
      <c r="E3" s="2" t="s">
        <v>1053</v>
      </c>
      <c r="H3" s="2" t="s">
        <v>1054</v>
      </c>
      <c r="K3" s="2" t="s">
        <v>1055</v>
      </c>
      <c r="N3" s="2" t="s">
        <v>1056</v>
      </c>
      <c r="Q3" s="2" t="s">
        <v>1057</v>
      </c>
      <c r="Z3" s="2" t="s">
        <v>1061</v>
      </c>
    </row>
    <row r="4" spans="2:26" x14ac:dyDescent="0.35">
      <c r="B4" s="2">
        <f>COUNTA(GmsTbl[Game_Title])</f>
        <v>1000</v>
      </c>
      <c r="E4" s="3">
        <f>SUM(GmsTbl[Global_Sales_Millions])</f>
        <v>898.52</v>
      </c>
      <c r="H4" s="3">
        <f>AVERAGE(GmsTbl[Global_Sales_Millions])</f>
        <v>0.89851999999999999</v>
      </c>
      <c r="K4" s="2" t="str">
        <f>INDEX(GmsTbl[Game_Title],MATCH(MAX(GmsTbl[Global_Sales_Millions]),GmsTbl[Global_Sales_Millions],0))</f>
        <v>World Adventure 495</v>
      </c>
      <c r="N4" s="2" t="e">
        <f>INDEX('Pivot Tables'!D3:D12,MATCH(MAX('Pivot Tables'!E3:E12),'Pivot Tables'!E3:E12,0))</f>
        <v>#N/A</v>
      </c>
      <c r="Q4" s="2" t="e">
        <f>INDEX('Pivot Tables'!A3:A9,MATCH(MAX('Pivot Tables'!B3:B9),'Pivot Tables'!B3:B9,0))</f>
        <v>#N/A</v>
      </c>
      <c r="Z4" s="3">
        <f>SUM(GmsTbl[Global_Sales_Millions])</f>
        <v>898.52</v>
      </c>
    </row>
    <row r="5" spans="2:26" x14ac:dyDescent="0.35">
      <c r="Z5" s="2" t="s">
        <v>1062</v>
      </c>
    </row>
    <row r="6" spans="2:26" x14ac:dyDescent="0.35">
      <c r="Z6" s="3">
        <f>GETPIVOTDATA("Global_Sales_Millions",'Pivot Tables'!$J$12)</f>
        <v>0.89851999999999999</v>
      </c>
    </row>
    <row r="7" spans="2:26" x14ac:dyDescent="0.35">
      <c r="Z7" s="2" t="s">
        <v>1063</v>
      </c>
    </row>
    <row r="8" spans="2:26" x14ac:dyDescent="0.35">
      <c r="Z8" s="3" t="str">
        <f>'Pivot Tables'!K38</f>
        <v>World Adventure 495</v>
      </c>
    </row>
    <row r="9" spans="2:26" x14ac:dyDescent="0.35">
      <c r="Z9" s="2" t="s">
        <v>1064</v>
      </c>
    </row>
    <row r="10" spans="2:26" x14ac:dyDescent="0.35">
      <c r="Z10" s="2">
        <f>'Pivot Tables'!D88</f>
        <v>0</v>
      </c>
    </row>
    <row r="13" spans="2:26" x14ac:dyDescent="0.35">
      <c r="I13"/>
    </row>
    <row r="50" spans="11:11" x14ac:dyDescent="0.35">
      <c r="K50"/>
    </row>
    <row r="56" spans="11:11" x14ac:dyDescent="0.35">
      <c r="K5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D3994-E238-430B-AE42-19C472D263EA}">
  <sheetPr>
    <tabColor theme="8" tint="0.39997558519241921"/>
  </sheetPr>
  <dimension ref="A3:N1038"/>
  <sheetViews>
    <sheetView topLeftCell="F1" zoomScale="115" zoomScaleNormal="115" workbookViewId="0">
      <selection activeCell="O7" sqref="O7"/>
    </sheetView>
  </sheetViews>
  <sheetFormatPr defaultRowHeight="14.5" x14ac:dyDescent="0.35"/>
  <cols>
    <col min="1" max="1" width="25.54296875" bestFit="1" customWidth="1"/>
    <col min="2" max="2" width="15.26953125" bestFit="1" customWidth="1"/>
    <col min="3" max="3" width="8.81640625" bestFit="1" customWidth="1"/>
    <col min="4" max="7" width="9.81640625" bestFit="1" customWidth="1"/>
    <col min="8" max="8" width="8.81640625" bestFit="1" customWidth="1"/>
    <col min="9" max="9" width="10.7265625" bestFit="1" customWidth="1"/>
    <col min="10" max="10" width="9.81640625" bestFit="1" customWidth="1"/>
    <col min="11" max="11" width="25.81640625" bestFit="1" customWidth="1"/>
    <col min="12" max="12" width="25.54296875" bestFit="1" customWidth="1"/>
    <col min="13" max="40" width="33" bestFit="1" customWidth="1"/>
    <col min="41" max="41" width="37.90625" bestFit="1" customWidth="1"/>
    <col min="42" max="42" width="31" bestFit="1" customWidth="1"/>
    <col min="43" max="43" width="29.81640625" bestFit="1" customWidth="1"/>
    <col min="44" max="44" width="29.90625" bestFit="1" customWidth="1"/>
    <col min="45" max="157" width="7.7265625" bestFit="1" customWidth="1"/>
    <col min="158" max="158" width="10.7265625" bestFit="1" customWidth="1"/>
    <col min="159" max="250" width="7.7265625" bestFit="1" customWidth="1"/>
    <col min="251" max="255" width="8.81640625" bestFit="1" customWidth="1"/>
    <col min="256" max="256" width="10.7265625" bestFit="1" customWidth="1"/>
    <col min="257" max="312" width="7.7265625" bestFit="1" customWidth="1"/>
    <col min="313" max="313" width="13" bestFit="1" customWidth="1"/>
    <col min="314" max="314" width="8.36328125" bestFit="1" customWidth="1"/>
    <col min="315" max="376" width="7.7265625" bestFit="1" customWidth="1"/>
    <col min="377" max="377" width="10.90625" bestFit="1" customWidth="1"/>
    <col min="378" max="453" width="7.7265625" bestFit="1" customWidth="1"/>
    <col min="454" max="454" width="9" bestFit="1" customWidth="1"/>
    <col min="455" max="455" width="9.54296875" bestFit="1" customWidth="1"/>
    <col min="456" max="531" width="7.7265625" bestFit="1" customWidth="1"/>
    <col min="532" max="532" width="12.1796875" bestFit="1" customWidth="1"/>
    <col min="533" max="533" width="11.7265625" bestFit="1" customWidth="1"/>
    <col min="534" max="609" width="7.7265625" bestFit="1" customWidth="1"/>
    <col min="610" max="610" width="14.54296875" bestFit="1" customWidth="1"/>
    <col min="611" max="611" width="8.26953125" bestFit="1" customWidth="1"/>
    <col min="612" max="693" width="7.7265625" bestFit="1" customWidth="1"/>
    <col min="694" max="695" width="8.81640625" bestFit="1" customWidth="1"/>
    <col min="696" max="696" width="10.90625" bestFit="1" customWidth="1"/>
    <col min="697" max="697" width="10" bestFit="1" customWidth="1"/>
    <col min="698" max="771" width="7.7265625" bestFit="1" customWidth="1"/>
    <col min="772" max="772" width="12.453125" bestFit="1" customWidth="1"/>
    <col min="773" max="773" width="10.7265625" bestFit="1" customWidth="1"/>
  </cols>
  <sheetData>
    <row r="3" spans="1:14" x14ac:dyDescent="0.35">
      <c r="A3" s="4" t="e" vm="1">
        <v>#VALUE!</v>
      </c>
    </row>
    <row r="4" spans="1:14" x14ac:dyDescent="0.35">
      <c r="N4" t="s">
        <v>1058</v>
      </c>
    </row>
    <row r="5" spans="1:14" x14ac:dyDescent="0.35">
      <c r="N5" s="13">
        <v>1000</v>
      </c>
    </row>
    <row r="9" spans="1:14" x14ac:dyDescent="0.35">
      <c r="J9" t="s">
        <v>1046</v>
      </c>
    </row>
    <row r="10" spans="1:14" x14ac:dyDescent="0.35">
      <c r="J10" s="4">
        <v>898.52</v>
      </c>
    </row>
    <row r="12" spans="1:14" x14ac:dyDescent="0.35">
      <c r="J12" t="s">
        <v>1059</v>
      </c>
    </row>
    <row r="13" spans="1:14" x14ac:dyDescent="0.35">
      <c r="J13" s="4">
        <v>0.89851999999999999</v>
      </c>
    </row>
    <row r="15" spans="1:14" x14ac:dyDescent="0.35">
      <c r="A15" s="9" t="s">
        <v>1046</v>
      </c>
      <c r="B15" s="9" t="s">
        <v>1047</v>
      </c>
    </row>
    <row r="16" spans="1:14" x14ac:dyDescent="0.35">
      <c r="A16" s="9" t="s">
        <v>1044</v>
      </c>
      <c r="B16" t="s">
        <v>15</v>
      </c>
      <c r="C16" t="s">
        <v>33</v>
      </c>
      <c r="D16" t="s">
        <v>45</v>
      </c>
      <c r="E16" t="s">
        <v>2</v>
      </c>
      <c r="F16" t="s">
        <v>29</v>
      </c>
      <c r="G16" t="s">
        <v>37</v>
      </c>
      <c r="H16" t="s">
        <v>51</v>
      </c>
      <c r="I16" t="s">
        <v>65</v>
      </c>
      <c r="J16" t="s">
        <v>48</v>
      </c>
      <c r="K16" t="s">
        <v>62</v>
      </c>
      <c r="L16" t="s">
        <v>1045</v>
      </c>
    </row>
    <row r="17" spans="1:12" x14ac:dyDescent="0.35">
      <c r="A17" s="10" t="s">
        <v>64</v>
      </c>
      <c r="B17" s="4">
        <v>6.16</v>
      </c>
      <c r="C17" s="4">
        <v>3.91</v>
      </c>
      <c r="D17" s="4">
        <v>7.1099999999999985</v>
      </c>
      <c r="E17" s="4">
        <v>4.46</v>
      </c>
      <c r="F17" s="4">
        <v>6.95</v>
      </c>
      <c r="G17" s="4">
        <v>2.8400000000000003</v>
      </c>
      <c r="H17" s="4">
        <v>9.139999999999997</v>
      </c>
      <c r="I17" s="4">
        <v>7.8899999999999988</v>
      </c>
      <c r="J17" s="4">
        <v>10.130000000000001</v>
      </c>
      <c r="K17" s="4">
        <v>9.8000000000000025</v>
      </c>
      <c r="L17" s="4">
        <v>68.39</v>
      </c>
    </row>
    <row r="18" spans="1:12" x14ac:dyDescent="0.35">
      <c r="A18" s="10" t="s">
        <v>59</v>
      </c>
      <c r="B18" s="4">
        <v>7.3999999999999977</v>
      </c>
      <c r="C18" s="4">
        <v>3.51</v>
      </c>
      <c r="D18" s="4">
        <v>8.64</v>
      </c>
      <c r="E18" s="4">
        <v>7.3599999999999994</v>
      </c>
      <c r="F18" s="4">
        <v>12.88</v>
      </c>
      <c r="G18" s="4">
        <v>8.14</v>
      </c>
      <c r="H18" s="4">
        <v>17.809999999999999</v>
      </c>
      <c r="I18" s="4">
        <v>11.610000000000001</v>
      </c>
      <c r="J18" s="4">
        <v>8.5299999999999994</v>
      </c>
      <c r="K18" s="4">
        <v>10.220000000000001</v>
      </c>
      <c r="L18" s="4">
        <v>96.1</v>
      </c>
    </row>
    <row r="19" spans="1:12" x14ac:dyDescent="0.35">
      <c r="A19" s="10" t="s">
        <v>31</v>
      </c>
      <c r="B19" s="4">
        <v>11.709999999999999</v>
      </c>
      <c r="C19" s="4">
        <v>11.469999999999999</v>
      </c>
      <c r="D19" s="4">
        <v>15.85</v>
      </c>
      <c r="E19" s="4">
        <v>11.030000000000001</v>
      </c>
      <c r="F19" s="4">
        <v>11.91</v>
      </c>
      <c r="G19" s="4">
        <v>16.559999999999999</v>
      </c>
      <c r="H19" s="4">
        <v>10.79</v>
      </c>
      <c r="I19" s="4">
        <v>19.05</v>
      </c>
      <c r="J19" s="4">
        <v>23.59</v>
      </c>
      <c r="K19" s="4">
        <v>15.719999999999999</v>
      </c>
      <c r="L19" s="4">
        <v>147.67999999999998</v>
      </c>
    </row>
    <row r="20" spans="1:12" x14ac:dyDescent="0.35">
      <c r="A20" s="10" t="s">
        <v>14</v>
      </c>
      <c r="B20" s="4">
        <v>28.51</v>
      </c>
      <c r="C20" s="4">
        <v>22.319999999999997</v>
      </c>
      <c r="D20" s="4">
        <v>20.839999999999996</v>
      </c>
      <c r="E20" s="4">
        <v>11.450000000000001</v>
      </c>
      <c r="F20" s="4">
        <v>13.08</v>
      </c>
      <c r="G20" s="4">
        <v>12.09</v>
      </c>
      <c r="H20" s="4">
        <v>5.7</v>
      </c>
      <c r="I20" s="4">
        <v>14.74</v>
      </c>
      <c r="J20" s="4">
        <v>16.57</v>
      </c>
      <c r="K20" s="4">
        <v>14.95</v>
      </c>
      <c r="L20" s="4">
        <v>160.24999999999997</v>
      </c>
    </row>
    <row r="21" spans="1:12" x14ac:dyDescent="0.35">
      <c r="A21" s="10" t="s">
        <v>19</v>
      </c>
      <c r="B21" s="4">
        <v>40.769999999999996</v>
      </c>
      <c r="C21" s="4">
        <v>30.279999999999998</v>
      </c>
      <c r="D21" s="4">
        <v>5.1899999999999995</v>
      </c>
      <c r="E21" s="4">
        <v>13.600000000000001</v>
      </c>
      <c r="F21" s="4">
        <v>5.8199999999999994</v>
      </c>
      <c r="G21" s="4">
        <v>11.469999999999999</v>
      </c>
      <c r="H21" s="4">
        <v>20.179999999999996</v>
      </c>
      <c r="I21" s="4">
        <v>20.769999999999996</v>
      </c>
      <c r="J21" s="4">
        <v>34.020000000000003</v>
      </c>
      <c r="K21" s="4">
        <v>14.51</v>
      </c>
      <c r="L21" s="4">
        <v>196.60999999999999</v>
      </c>
    </row>
    <row r="22" spans="1:12" x14ac:dyDescent="0.35">
      <c r="A22" s="10" t="s">
        <v>23</v>
      </c>
      <c r="B22" s="4">
        <v>21.090000000000003</v>
      </c>
      <c r="C22" s="4">
        <v>15.119999999999997</v>
      </c>
      <c r="D22" s="4">
        <v>10.849999999999998</v>
      </c>
      <c r="E22" s="4">
        <v>8.0299999999999994</v>
      </c>
      <c r="F22" s="4">
        <v>9.74</v>
      </c>
      <c r="G22" s="4">
        <v>15.03</v>
      </c>
      <c r="H22" s="4">
        <v>17.560000000000002</v>
      </c>
      <c r="I22" s="4">
        <v>3.3900000000000006</v>
      </c>
      <c r="J22" s="4">
        <v>18.169999999999998</v>
      </c>
      <c r="K22" s="4">
        <v>11</v>
      </c>
      <c r="L22" s="4">
        <v>129.98000000000002</v>
      </c>
    </row>
    <row r="23" spans="1:12" x14ac:dyDescent="0.35">
      <c r="A23" s="10" t="s">
        <v>57</v>
      </c>
      <c r="B23" s="4">
        <v>4.4800000000000004</v>
      </c>
      <c r="C23" s="4">
        <v>8.11</v>
      </c>
      <c r="D23" s="4">
        <v>10.750000000000002</v>
      </c>
      <c r="E23" s="4">
        <v>16.640000000000004</v>
      </c>
      <c r="F23" s="4">
        <v>4.17</v>
      </c>
      <c r="G23" s="4">
        <v>9.6399999999999988</v>
      </c>
      <c r="H23" s="4">
        <v>12.619999999999997</v>
      </c>
      <c r="I23" s="4">
        <v>8.2000000000000011</v>
      </c>
      <c r="J23" s="4">
        <v>17.589999999999996</v>
      </c>
      <c r="K23" s="4">
        <v>7.3100000000000005</v>
      </c>
      <c r="L23" s="4">
        <v>99.509999999999991</v>
      </c>
    </row>
    <row r="24" spans="1:12" x14ac:dyDescent="0.35">
      <c r="A24" s="10" t="s">
        <v>1045</v>
      </c>
      <c r="B24" s="4">
        <v>120.12</v>
      </c>
      <c r="C24" s="4">
        <v>94.719999999999985</v>
      </c>
      <c r="D24" s="4">
        <v>79.22999999999999</v>
      </c>
      <c r="E24" s="4">
        <v>72.570000000000007</v>
      </c>
      <c r="F24" s="4">
        <v>64.55</v>
      </c>
      <c r="G24" s="4">
        <v>75.77</v>
      </c>
      <c r="H24" s="4">
        <v>93.799999999999983</v>
      </c>
      <c r="I24" s="4">
        <v>85.65</v>
      </c>
      <c r="J24" s="4">
        <v>128.6</v>
      </c>
      <c r="K24" s="4">
        <v>83.51</v>
      </c>
      <c r="L24" s="4">
        <v>898.52</v>
      </c>
    </row>
    <row r="27" spans="1:12" x14ac:dyDescent="0.35">
      <c r="A27" s="9" t="s">
        <v>1044</v>
      </c>
      <c r="B27" t="s">
        <v>1048</v>
      </c>
      <c r="C27" t="s">
        <v>1049</v>
      </c>
      <c r="D27" t="s">
        <v>1050</v>
      </c>
      <c r="E27" t="s">
        <v>1051</v>
      </c>
    </row>
    <row r="28" spans="1:12" x14ac:dyDescent="0.35">
      <c r="A28" s="10" t="s">
        <v>64</v>
      </c>
      <c r="B28" s="4">
        <v>30.910000000000004</v>
      </c>
      <c r="C28" s="4">
        <v>18.019999999999985</v>
      </c>
      <c r="D28" s="4">
        <v>8.1399999999999899</v>
      </c>
      <c r="E28" s="4">
        <v>11.319999999999993</v>
      </c>
    </row>
    <row r="29" spans="1:12" x14ac:dyDescent="0.35">
      <c r="A29" s="10" t="s">
        <v>59</v>
      </c>
      <c r="B29" s="4">
        <v>43.340000000000011</v>
      </c>
      <c r="C29" s="4">
        <v>26.14</v>
      </c>
      <c r="D29" s="4">
        <v>11.589999999999991</v>
      </c>
      <c r="E29" s="4">
        <v>15.029999999999989</v>
      </c>
    </row>
    <row r="30" spans="1:12" x14ac:dyDescent="0.35">
      <c r="A30" s="10" t="s">
        <v>31</v>
      </c>
      <c r="B30" s="4">
        <v>67.409999999999982</v>
      </c>
      <c r="C30" s="4">
        <v>40.130000000000017</v>
      </c>
      <c r="D30" s="4">
        <v>18.409999999999989</v>
      </c>
      <c r="E30" s="4">
        <v>21.729999999999993</v>
      </c>
    </row>
    <row r="31" spans="1:12" x14ac:dyDescent="0.35">
      <c r="A31" s="10" t="s">
        <v>14</v>
      </c>
      <c r="B31" s="4">
        <v>71.689999999999984</v>
      </c>
      <c r="C31" s="4">
        <v>44.109999999999992</v>
      </c>
      <c r="D31" s="4">
        <v>19.249999999999993</v>
      </c>
      <c r="E31" s="4">
        <v>25.199999999999992</v>
      </c>
    </row>
    <row r="32" spans="1:12" x14ac:dyDescent="0.35">
      <c r="A32" s="10" t="s">
        <v>19</v>
      </c>
      <c r="B32" s="4">
        <v>88.930000000000049</v>
      </c>
      <c r="C32" s="4">
        <v>53.329999999999991</v>
      </c>
      <c r="D32" s="4">
        <v>24.619999999999997</v>
      </c>
      <c r="E32" s="4">
        <v>29.730000000000025</v>
      </c>
    </row>
    <row r="33" spans="1:12" x14ac:dyDescent="0.35">
      <c r="A33" s="10" t="s">
        <v>23</v>
      </c>
      <c r="B33" s="4">
        <v>57.590000000000018</v>
      </c>
      <c r="C33" s="4">
        <v>35.57</v>
      </c>
      <c r="D33" s="4">
        <v>16.469999999999992</v>
      </c>
      <c r="E33" s="4">
        <v>20.349999999999998</v>
      </c>
    </row>
    <row r="34" spans="1:12" x14ac:dyDescent="0.35">
      <c r="A34" s="10" t="s">
        <v>57</v>
      </c>
      <c r="B34" s="4">
        <v>44.01</v>
      </c>
      <c r="C34" s="4">
        <v>27.309999999999995</v>
      </c>
      <c r="D34" s="4">
        <v>11.859999999999983</v>
      </c>
      <c r="E34" s="4">
        <v>16.329999999999988</v>
      </c>
    </row>
    <row r="35" spans="1:12" x14ac:dyDescent="0.35">
      <c r="A35" s="10" t="s">
        <v>1045</v>
      </c>
      <c r="B35" s="4">
        <v>403.88000000000005</v>
      </c>
      <c r="C35" s="4">
        <v>244.60999999999996</v>
      </c>
      <c r="D35" s="4">
        <v>110.33999999999995</v>
      </c>
      <c r="E35" s="4">
        <v>139.68999999999997</v>
      </c>
    </row>
    <row r="37" spans="1:12" x14ac:dyDescent="0.35">
      <c r="K37" s="9" t="s">
        <v>1044</v>
      </c>
      <c r="L37" t="s">
        <v>1046</v>
      </c>
    </row>
    <row r="38" spans="1:12" x14ac:dyDescent="0.35">
      <c r="A38" s="9" t="s">
        <v>1046</v>
      </c>
      <c r="B38" s="9" t="s">
        <v>1047</v>
      </c>
      <c r="K38" s="10" t="s">
        <v>537</v>
      </c>
      <c r="L38" s="4">
        <v>15.04</v>
      </c>
    </row>
    <row r="39" spans="1:12" x14ac:dyDescent="0.35">
      <c r="A39" s="9" t="s">
        <v>1044</v>
      </c>
      <c r="B39" t="s">
        <v>64</v>
      </c>
      <c r="C39" t="s">
        <v>59</v>
      </c>
      <c r="D39" t="s">
        <v>31</v>
      </c>
      <c r="E39" t="s">
        <v>14</v>
      </c>
      <c r="F39" t="s">
        <v>19</v>
      </c>
      <c r="G39" t="s">
        <v>23</v>
      </c>
      <c r="H39" t="s">
        <v>57</v>
      </c>
      <c r="I39" t="s">
        <v>1045</v>
      </c>
      <c r="K39" s="10" t="s">
        <v>770</v>
      </c>
      <c r="L39" s="4">
        <v>13.3</v>
      </c>
    </row>
    <row r="40" spans="1:12" x14ac:dyDescent="0.35">
      <c r="A40" s="10">
        <v>1995</v>
      </c>
      <c r="B40" s="4"/>
      <c r="C40" s="4">
        <v>8.59</v>
      </c>
      <c r="D40" s="4"/>
      <c r="E40" s="4"/>
      <c r="F40" s="4"/>
      <c r="G40" s="4"/>
      <c r="H40" s="4"/>
      <c r="I40" s="4">
        <v>8.59</v>
      </c>
      <c r="K40" s="10" t="s">
        <v>142</v>
      </c>
      <c r="L40" s="4">
        <v>10.61</v>
      </c>
    </row>
    <row r="41" spans="1:12" x14ac:dyDescent="0.35">
      <c r="A41" s="10">
        <v>1996</v>
      </c>
      <c r="B41" s="4"/>
      <c r="C41" s="4">
        <v>15.940000000000003</v>
      </c>
      <c r="D41" s="4"/>
      <c r="E41" s="4"/>
      <c r="F41" s="4"/>
      <c r="G41" s="4"/>
      <c r="H41" s="4"/>
      <c r="I41" s="4">
        <v>15.940000000000003</v>
      </c>
      <c r="K41" s="10" t="s">
        <v>18</v>
      </c>
      <c r="L41" s="4">
        <v>10.18</v>
      </c>
    </row>
    <row r="42" spans="1:12" x14ac:dyDescent="0.35">
      <c r="A42" s="10">
        <v>1997</v>
      </c>
      <c r="B42" s="4"/>
      <c r="C42" s="4">
        <v>15.500000000000002</v>
      </c>
      <c r="D42" s="4"/>
      <c r="E42" s="4"/>
      <c r="F42" s="4"/>
      <c r="G42" s="4"/>
      <c r="H42" s="4"/>
      <c r="I42" s="4">
        <v>15.500000000000002</v>
      </c>
      <c r="K42" s="10" t="s">
        <v>792</v>
      </c>
      <c r="L42" s="4">
        <v>10.02</v>
      </c>
    </row>
    <row r="43" spans="1:12" x14ac:dyDescent="0.35">
      <c r="A43" s="10">
        <v>1998</v>
      </c>
      <c r="B43" s="4"/>
      <c r="C43" s="4">
        <v>17.48</v>
      </c>
      <c r="D43" s="4"/>
      <c r="E43" s="4"/>
      <c r="F43" s="4"/>
      <c r="G43" s="4"/>
      <c r="H43" s="4"/>
      <c r="I43" s="4">
        <v>17.48</v>
      </c>
      <c r="K43" s="10" t="s">
        <v>466</v>
      </c>
      <c r="L43" s="4">
        <v>7.21</v>
      </c>
    </row>
    <row r="44" spans="1:12" x14ac:dyDescent="0.35">
      <c r="A44" s="10">
        <v>1999</v>
      </c>
      <c r="B44" s="4"/>
      <c r="C44" s="4">
        <v>19.950000000000003</v>
      </c>
      <c r="D44" s="4"/>
      <c r="E44" s="4"/>
      <c r="F44" s="4"/>
      <c r="G44" s="4"/>
      <c r="H44" s="4"/>
      <c r="I44" s="4">
        <v>19.950000000000003</v>
      </c>
      <c r="K44" s="10" t="s">
        <v>689</v>
      </c>
      <c r="L44" s="4">
        <v>7.07</v>
      </c>
    </row>
    <row r="45" spans="1:12" x14ac:dyDescent="0.35">
      <c r="A45" s="10">
        <v>2000</v>
      </c>
      <c r="B45" s="4"/>
      <c r="C45" s="4">
        <v>18.64</v>
      </c>
      <c r="D45" s="4">
        <v>15.379999999999999</v>
      </c>
      <c r="E45" s="4"/>
      <c r="F45" s="4"/>
      <c r="G45" s="4"/>
      <c r="H45" s="4"/>
      <c r="I45" s="4">
        <v>34.019999999999996</v>
      </c>
      <c r="K45" s="10" t="s">
        <v>883</v>
      </c>
      <c r="L45" s="4">
        <v>6</v>
      </c>
    </row>
    <row r="46" spans="1:12" x14ac:dyDescent="0.35">
      <c r="A46" s="10">
        <v>2001</v>
      </c>
      <c r="B46" s="4"/>
      <c r="C46" s="4"/>
      <c r="D46" s="4">
        <v>21.89</v>
      </c>
      <c r="E46" s="4"/>
      <c r="F46" s="4"/>
      <c r="G46" s="4"/>
      <c r="H46" s="4"/>
      <c r="I46" s="4">
        <v>21.89</v>
      </c>
      <c r="K46" s="10" t="s">
        <v>236</v>
      </c>
      <c r="L46" s="4">
        <v>5.86</v>
      </c>
    </row>
    <row r="47" spans="1:12" x14ac:dyDescent="0.35">
      <c r="A47" s="10">
        <v>2002</v>
      </c>
      <c r="B47" s="4"/>
      <c r="C47" s="4"/>
      <c r="D47" s="4">
        <v>19.690000000000001</v>
      </c>
      <c r="E47" s="4"/>
      <c r="F47" s="4"/>
      <c r="G47" s="4"/>
      <c r="H47" s="4"/>
      <c r="I47" s="4">
        <v>19.690000000000001</v>
      </c>
      <c r="K47" s="10" t="s">
        <v>1002</v>
      </c>
      <c r="L47" s="4">
        <v>5.6</v>
      </c>
    </row>
    <row r="48" spans="1:12" x14ac:dyDescent="0.35">
      <c r="A48" s="10">
        <v>2003</v>
      </c>
      <c r="B48" s="4"/>
      <c r="C48" s="4"/>
      <c r="D48" s="4">
        <v>18.939999999999998</v>
      </c>
      <c r="E48" s="4"/>
      <c r="F48" s="4"/>
      <c r="G48" s="4"/>
      <c r="H48" s="4"/>
      <c r="I48" s="4">
        <v>18.939999999999998</v>
      </c>
      <c r="K48" s="10" t="s">
        <v>738</v>
      </c>
      <c r="L48" s="4">
        <v>5.43</v>
      </c>
    </row>
    <row r="49" spans="1:12" x14ac:dyDescent="0.35">
      <c r="A49" s="10">
        <v>2004</v>
      </c>
      <c r="B49" s="4"/>
      <c r="C49" s="4"/>
      <c r="D49" s="4">
        <v>15.790000000000001</v>
      </c>
      <c r="E49" s="4"/>
      <c r="F49" s="4"/>
      <c r="G49" s="4"/>
      <c r="H49" s="4">
        <v>8.86</v>
      </c>
      <c r="I49" s="4">
        <v>24.65</v>
      </c>
      <c r="K49" s="10" t="s">
        <v>297</v>
      </c>
      <c r="L49" s="4">
        <v>4.7699999999999996</v>
      </c>
    </row>
    <row r="50" spans="1:12" x14ac:dyDescent="0.35">
      <c r="A50" s="10">
        <v>2005</v>
      </c>
      <c r="B50" s="4"/>
      <c r="C50" s="4"/>
      <c r="D50" s="4">
        <v>27.66</v>
      </c>
      <c r="E50" s="4"/>
      <c r="F50" s="4"/>
      <c r="G50" s="4"/>
      <c r="H50" s="4">
        <v>4.29</v>
      </c>
      <c r="I50" s="4">
        <v>31.95</v>
      </c>
      <c r="K50" s="10" t="s">
        <v>825</v>
      </c>
      <c r="L50" s="4">
        <v>4.6900000000000004</v>
      </c>
    </row>
    <row r="51" spans="1:12" x14ac:dyDescent="0.35">
      <c r="A51" s="10">
        <v>2006</v>
      </c>
      <c r="B51" s="4"/>
      <c r="C51" s="4"/>
      <c r="D51" s="4">
        <v>28.33</v>
      </c>
      <c r="E51" s="4">
        <v>32.080000000000005</v>
      </c>
      <c r="F51" s="4"/>
      <c r="G51" s="4"/>
      <c r="H51" s="4">
        <v>8.2199999999999989</v>
      </c>
      <c r="I51" s="4">
        <v>68.63</v>
      </c>
      <c r="K51" s="10" t="s">
        <v>779</v>
      </c>
      <c r="L51" s="4">
        <v>4.37</v>
      </c>
    </row>
    <row r="52" spans="1:12" x14ac:dyDescent="0.35">
      <c r="A52" s="10">
        <v>2007</v>
      </c>
      <c r="B52" s="4"/>
      <c r="C52" s="4"/>
      <c r="D52" s="4"/>
      <c r="E52" s="4">
        <v>16.89</v>
      </c>
      <c r="F52" s="4"/>
      <c r="G52" s="4"/>
      <c r="H52" s="4">
        <v>3.1699999999999995</v>
      </c>
      <c r="I52" s="4">
        <v>20.059999999999999</v>
      </c>
      <c r="K52" s="10" t="s">
        <v>604</v>
      </c>
      <c r="L52" s="4">
        <v>4.25</v>
      </c>
    </row>
    <row r="53" spans="1:12" x14ac:dyDescent="0.35">
      <c r="A53" s="10">
        <v>2008</v>
      </c>
      <c r="B53" s="4"/>
      <c r="C53" s="4"/>
      <c r="D53" s="4"/>
      <c r="E53" s="4">
        <v>16.47</v>
      </c>
      <c r="F53" s="4"/>
      <c r="G53" s="4"/>
      <c r="H53" s="4">
        <v>9.0300000000000011</v>
      </c>
      <c r="I53" s="4">
        <v>25.5</v>
      </c>
      <c r="K53" s="10" t="s">
        <v>568</v>
      </c>
      <c r="L53" s="4">
        <v>4.1399999999999997</v>
      </c>
    </row>
    <row r="54" spans="1:12" x14ac:dyDescent="0.35">
      <c r="A54" s="10">
        <v>2009</v>
      </c>
      <c r="B54" s="4"/>
      <c r="C54" s="4"/>
      <c r="D54" s="4"/>
      <c r="E54" s="4">
        <v>16.98</v>
      </c>
      <c r="F54" s="4"/>
      <c r="G54" s="4"/>
      <c r="H54" s="4">
        <v>24.939999999999994</v>
      </c>
      <c r="I54" s="4">
        <v>41.919999999999995</v>
      </c>
      <c r="K54" s="10" t="s">
        <v>88</v>
      </c>
      <c r="L54" s="4">
        <v>4.09</v>
      </c>
    </row>
    <row r="55" spans="1:12" x14ac:dyDescent="0.35">
      <c r="A55" s="10">
        <v>2010</v>
      </c>
      <c r="B55" s="4"/>
      <c r="C55" s="4"/>
      <c r="D55" s="4"/>
      <c r="E55" s="4">
        <v>16.75</v>
      </c>
      <c r="F55" s="4"/>
      <c r="G55" s="4"/>
      <c r="H55" s="4">
        <v>6.97</v>
      </c>
      <c r="I55" s="4">
        <v>23.72</v>
      </c>
      <c r="K55" s="10" t="s">
        <v>903</v>
      </c>
      <c r="L55" s="4">
        <v>4.0599999999999996</v>
      </c>
    </row>
    <row r="56" spans="1:12" x14ac:dyDescent="0.35">
      <c r="A56" s="10">
        <v>2011</v>
      </c>
      <c r="B56" s="4">
        <v>5.08</v>
      </c>
      <c r="C56" s="4"/>
      <c r="D56" s="4"/>
      <c r="E56" s="4">
        <v>13.549999999999999</v>
      </c>
      <c r="F56" s="4"/>
      <c r="G56" s="4"/>
      <c r="H56" s="4">
        <v>12.919999999999998</v>
      </c>
      <c r="I56" s="4">
        <v>31.549999999999997</v>
      </c>
      <c r="K56" s="10" t="s">
        <v>374</v>
      </c>
      <c r="L56" s="4">
        <v>4.0599999999999996</v>
      </c>
    </row>
    <row r="57" spans="1:12" x14ac:dyDescent="0.35">
      <c r="A57" s="10">
        <v>2012</v>
      </c>
      <c r="B57" s="4">
        <v>4.4200000000000008</v>
      </c>
      <c r="C57" s="4"/>
      <c r="D57" s="4"/>
      <c r="E57" s="4">
        <v>20.38</v>
      </c>
      <c r="F57" s="4"/>
      <c r="G57" s="4"/>
      <c r="H57" s="4">
        <v>12.24</v>
      </c>
      <c r="I57" s="4">
        <v>37.04</v>
      </c>
      <c r="K57" s="10" t="s">
        <v>87</v>
      </c>
      <c r="L57" s="4">
        <v>4.01</v>
      </c>
    </row>
    <row r="58" spans="1:12" x14ac:dyDescent="0.35">
      <c r="A58" s="10">
        <v>2013</v>
      </c>
      <c r="B58" s="4">
        <v>6.6699999999999982</v>
      </c>
      <c r="C58" s="4"/>
      <c r="D58" s="4"/>
      <c r="E58" s="4">
        <v>27.150000000000002</v>
      </c>
      <c r="F58" s="4">
        <v>19.809999999999999</v>
      </c>
      <c r="G58" s="4"/>
      <c r="H58" s="4">
        <v>3.89</v>
      </c>
      <c r="I58" s="4">
        <v>57.519999999999996</v>
      </c>
      <c r="K58" s="10" t="s">
        <v>301</v>
      </c>
      <c r="L58" s="4">
        <v>3.98</v>
      </c>
    </row>
    <row r="59" spans="1:12" x14ac:dyDescent="0.35">
      <c r="A59" s="10">
        <v>2014</v>
      </c>
      <c r="B59" s="4">
        <v>10.67</v>
      </c>
      <c r="C59" s="4"/>
      <c r="D59" s="4"/>
      <c r="E59" s="4"/>
      <c r="F59" s="4">
        <v>8.32</v>
      </c>
      <c r="G59" s="4"/>
      <c r="H59" s="4">
        <v>4.9799999999999995</v>
      </c>
      <c r="I59" s="4">
        <v>23.970000000000002</v>
      </c>
      <c r="K59" s="10" t="s">
        <v>860</v>
      </c>
      <c r="L59" s="4">
        <v>3.88</v>
      </c>
    </row>
    <row r="60" spans="1:12" x14ac:dyDescent="0.35">
      <c r="A60" s="10">
        <v>2015</v>
      </c>
      <c r="B60" s="4">
        <v>7.4999999999999991</v>
      </c>
      <c r="C60" s="4"/>
      <c r="D60" s="4"/>
      <c r="E60" s="4"/>
      <c r="F60" s="4">
        <v>17.740000000000002</v>
      </c>
      <c r="G60" s="4"/>
      <c r="H60" s="4"/>
      <c r="I60" s="4">
        <v>25.240000000000002</v>
      </c>
      <c r="K60" s="10" t="s">
        <v>26</v>
      </c>
      <c r="L60" s="4">
        <v>3.87</v>
      </c>
    </row>
    <row r="61" spans="1:12" x14ac:dyDescent="0.35">
      <c r="A61" s="10">
        <v>2016</v>
      </c>
      <c r="B61" s="4">
        <v>3.8899999999999997</v>
      </c>
      <c r="C61" s="4"/>
      <c r="D61" s="4"/>
      <c r="E61" s="4"/>
      <c r="F61" s="4">
        <v>11.14</v>
      </c>
      <c r="G61" s="4"/>
      <c r="H61" s="4"/>
      <c r="I61" s="4">
        <v>15.030000000000001</v>
      </c>
      <c r="K61" s="10" t="s">
        <v>987</v>
      </c>
      <c r="L61" s="4">
        <v>3.87</v>
      </c>
    </row>
    <row r="62" spans="1:12" x14ac:dyDescent="0.35">
      <c r="A62" s="10">
        <v>2017</v>
      </c>
      <c r="B62" s="4">
        <v>7.34</v>
      </c>
      <c r="C62" s="4"/>
      <c r="D62" s="4"/>
      <c r="E62" s="4"/>
      <c r="F62" s="4">
        <v>42.19</v>
      </c>
      <c r="G62" s="4"/>
      <c r="H62" s="4"/>
      <c r="I62" s="4">
        <v>49.53</v>
      </c>
      <c r="K62" s="10" t="s">
        <v>412</v>
      </c>
      <c r="L62" s="4">
        <v>3.85</v>
      </c>
    </row>
    <row r="63" spans="1:12" x14ac:dyDescent="0.35">
      <c r="A63" s="10">
        <v>2018</v>
      </c>
      <c r="B63" s="4">
        <v>9.8400000000000016</v>
      </c>
      <c r="C63" s="4"/>
      <c r="D63" s="4"/>
      <c r="E63" s="4"/>
      <c r="F63" s="4">
        <v>41.279999999999994</v>
      </c>
      <c r="G63" s="4"/>
      <c r="H63" s="4"/>
      <c r="I63" s="4">
        <v>51.12</v>
      </c>
      <c r="K63" s="10" t="s">
        <v>55</v>
      </c>
      <c r="L63" s="4">
        <v>3.83</v>
      </c>
    </row>
    <row r="64" spans="1:12" x14ac:dyDescent="0.35">
      <c r="A64" s="10">
        <v>2019</v>
      </c>
      <c r="B64" s="4">
        <v>12.979999999999999</v>
      </c>
      <c r="C64" s="4"/>
      <c r="D64" s="4"/>
      <c r="E64" s="4"/>
      <c r="F64" s="4">
        <v>17.86</v>
      </c>
      <c r="G64" s="4"/>
      <c r="H64" s="4"/>
      <c r="I64" s="4">
        <v>30.839999999999996</v>
      </c>
      <c r="K64" s="10" t="s">
        <v>30</v>
      </c>
      <c r="L64" s="4">
        <v>3.83</v>
      </c>
    </row>
    <row r="65" spans="1:12" x14ac:dyDescent="0.35">
      <c r="A65" s="10">
        <v>2020</v>
      </c>
      <c r="B65" s="4"/>
      <c r="C65" s="4"/>
      <c r="D65" s="4"/>
      <c r="E65" s="4"/>
      <c r="F65" s="4">
        <v>30.98</v>
      </c>
      <c r="G65" s="4">
        <v>15.63</v>
      </c>
      <c r="H65" s="4"/>
      <c r="I65" s="4">
        <v>46.61</v>
      </c>
      <c r="K65" s="10" t="s">
        <v>790</v>
      </c>
      <c r="L65" s="4">
        <v>3.69</v>
      </c>
    </row>
    <row r="66" spans="1:12" x14ac:dyDescent="0.35">
      <c r="A66" s="10">
        <v>2021</v>
      </c>
      <c r="B66" s="4"/>
      <c r="C66" s="4"/>
      <c r="D66" s="4"/>
      <c r="E66" s="4"/>
      <c r="F66" s="4">
        <v>7.2899999999999991</v>
      </c>
      <c r="G66" s="4">
        <v>22.520000000000003</v>
      </c>
      <c r="H66" s="4"/>
      <c r="I66" s="4">
        <v>29.810000000000002</v>
      </c>
      <c r="K66" s="10" t="s">
        <v>471</v>
      </c>
      <c r="L66" s="4">
        <v>3.66</v>
      </c>
    </row>
    <row r="67" spans="1:12" x14ac:dyDescent="0.35">
      <c r="A67" s="10">
        <v>2022</v>
      </c>
      <c r="B67" s="4"/>
      <c r="C67" s="4"/>
      <c r="D67" s="4"/>
      <c r="E67" s="4"/>
      <c r="F67" s="4"/>
      <c r="G67" s="4">
        <v>28.709999999999997</v>
      </c>
      <c r="H67" s="4"/>
      <c r="I67" s="4">
        <v>28.709999999999997</v>
      </c>
      <c r="K67" s="10" t="s">
        <v>512</v>
      </c>
      <c r="L67" s="4">
        <v>3.64</v>
      </c>
    </row>
    <row r="68" spans="1:12" x14ac:dyDescent="0.35">
      <c r="A68" s="10">
        <v>2023</v>
      </c>
      <c r="B68" s="4"/>
      <c r="C68" s="4"/>
      <c r="D68" s="4"/>
      <c r="E68" s="4"/>
      <c r="F68" s="4"/>
      <c r="G68" s="4">
        <v>11.620000000000001</v>
      </c>
      <c r="H68" s="4"/>
      <c r="I68" s="4">
        <v>11.620000000000001</v>
      </c>
      <c r="K68" s="10" t="s">
        <v>524</v>
      </c>
      <c r="L68" s="4">
        <v>3.47</v>
      </c>
    </row>
    <row r="69" spans="1:12" x14ac:dyDescent="0.35">
      <c r="A69" s="10">
        <v>2024</v>
      </c>
      <c r="B69" s="4"/>
      <c r="C69" s="4"/>
      <c r="D69" s="4"/>
      <c r="E69" s="4"/>
      <c r="F69" s="4"/>
      <c r="G69" s="4">
        <v>16.889999999999997</v>
      </c>
      <c r="H69" s="4"/>
      <c r="I69" s="4">
        <v>16.889999999999997</v>
      </c>
      <c r="K69" s="10" t="s">
        <v>754</v>
      </c>
      <c r="L69" s="4">
        <v>3.43</v>
      </c>
    </row>
    <row r="70" spans="1:12" x14ac:dyDescent="0.35">
      <c r="A70" s="10">
        <v>2025</v>
      </c>
      <c r="B70" s="4"/>
      <c r="C70" s="4"/>
      <c r="D70" s="4"/>
      <c r="E70" s="4"/>
      <c r="F70" s="4"/>
      <c r="G70" s="4">
        <v>19.059999999999999</v>
      </c>
      <c r="H70" s="4"/>
      <c r="I70" s="4">
        <v>19.059999999999999</v>
      </c>
      <c r="K70" s="10" t="s">
        <v>170</v>
      </c>
      <c r="L70" s="4">
        <v>3.42</v>
      </c>
    </row>
    <row r="71" spans="1:12" x14ac:dyDescent="0.35">
      <c r="A71" s="10">
        <v>2026</v>
      </c>
      <c r="B71" s="4"/>
      <c r="C71" s="4"/>
      <c r="D71" s="4"/>
      <c r="E71" s="4"/>
      <c r="F71" s="4"/>
      <c r="G71" s="4">
        <v>15.549999999999999</v>
      </c>
      <c r="H71" s="4"/>
      <c r="I71" s="4">
        <v>15.549999999999999</v>
      </c>
      <c r="K71" s="10" t="s">
        <v>141</v>
      </c>
      <c r="L71" s="4">
        <v>3.41</v>
      </c>
    </row>
    <row r="72" spans="1:12" x14ac:dyDescent="0.35">
      <c r="A72" s="10" t="s">
        <v>1045</v>
      </c>
      <c r="B72" s="4">
        <v>68.39</v>
      </c>
      <c r="C72" s="4">
        <v>96.100000000000009</v>
      </c>
      <c r="D72" s="4">
        <v>147.68</v>
      </c>
      <c r="E72" s="4">
        <v>160.25</v>
      </c>
      <c r="F72" s="4">
        <v>196.60999999999996</v>
      </c>
      <c r="G72" s="4">
        <v>129.98000000000002</v>
      </c>
      <c r="H72" s="4">
        <v>99.509999999999991</v>
      </c>
      <c r="I72" s="4">
        <v>898.52</v>
      </c>
      <c r="K72" s="10" t="s">
        <v>338</v>
      </c>
      <c r="L72" s="4">
        <v>3.41</v>
      </c>
    </row>
    <row r="73" spans="1:12" x14ac:dyDescent="0.35">
      <c r="K73" s="10" t="s">
        <v>864</v>
      </c>
      <c r="L73" s="4">
        <v>3.4</v>
      </c>
    </row>
    <row r="74" spans="1:12" x14ac:dyDescent="0.35">
      <c r="K74" s="10" t="s">
        <v>86</v>
      </c>
      <c r="L74" s="4">
        <v>3.37</v>
      </c>
    </row>
    <row r="75" spans="1:12" x14ac:dyDescent="0.35">
      <c r="A75" s="9" t="s">
        <v>1044</v>
      </c>
      <c r="B75" t="s">
        <v>1048</v>
      </c>
      <c r="C75" t="s">
        <v>1049</v>
      </c>
      <c r="D75" t="s">
        <v>1050</v>
      </c>
      <c r="E75" t="s">
        <v>1051</v>
      </c>
      <c r="K75" s="10" t="s">
        <v>77</v>
      </c>
      <c r="L75" s="4">
        <v>3.35</v>
      </c>
    </row>
    <row r="76" spans="1:12" x14ac:dyDescent="0.35">
      <c r="A76" s="10" t="s">
        <v>15</v>
      </c>
      <c r="B76" s="4">
        <v>50.12</v>
      </c>
      <c r="C76" s="4">
        <v>32.230000000000004</v>
      </c>
      <c r="D76" s="4">
        <v>14.609999999999992</v>
      </c>
      <c r="E76" s="4">
        <v>23.160000000000007</v>
      </c>
      <c r="K76" s="10" t="s">
        <v>861</v>
      </c>
      <c r="L76" s="4">
        <v>3.26</v>
      </c>
    </row>
    <row r="77" spans="1:12" x14ac:dyDescent="0.35">
      <c r="A77" s="10" t="s">
        <v>33</v>
      </c>
      <c r="B77" s="4">
        <v>43.199999999999996</v>
      </c>
      <c r="C77" s="4">
        <v>26.579999999999988</v>
      </c>
      <c r="D77" s="4">
        <v>11.73999999999999</v>
      </c>
      <c r="E77" s="4">
        <v>13.19999999999999</v>
      </c>
      <c r="K77" s="10" t="s">
        <v>912</v>
      </c>
      <c r="L77" s="4">
        <v>3.24</v>
      </c>
    </row>
    <row r="78" spans="1:12" x14ac:dyDescent="0.35">
      <c r="A78" s="10" t="s">
        <v>45</v>
      </c>
      <c r="B78" s="4">
        <v>37.469999999999992</v>
      </c>
      <c r="C78" s="4">
        <v>21.510000000000005</v>
      </c>
      <c r="D78" s="4">
        <v>9.5499999999999936</v>
      </c>
      <c r="E78" s="4">
        <v>10.699999999999994</v>
      </c>
      <c r="K78" s="10" t="s">
        <v>98</v>
      </c>
      <c r="L78" s="4">
        <v>3.09</v>
      </c>
    </row>
    <row r="79" spans="1:12" x14ac:dyDescent="0.35">
      <c r="A79" s="10" t="s">
        <v>2</v>
      </c>
      <c r="B79" s="4">
        <v>32.429999999999993</v>
      </c>
      <c r="C79" s="4">
        <v>19.599999999999998</v>
      </c>
      <c r="D79" s="4">
        <v>8.9599999999999973</v>
      </c>
      <c r="E79" s="4">
        <v>11.579999999999995</v>
      </c>
      <c r="K79" s="10" t="s">
        <v>275</v>
      </c>
      <c r="L79" s="4">
        <v>2.92</v>
      </c>
    </row>
    <row r="80" spans="1:12" x14ac:dyDescent="0.35">
      <c r="A80" s="10" t="s">
        <v>29</v>
      </c>
      <c r="B80" s="4">
        <v>28.82</v>
      </c>
      <c r="C80" s="4">
        <v>17.89</v>
      </c>
      <c r="D80" s="4">
        <v>7.72</v>
      </c>
      <c r="E80" s="4">
        <v>10.120000000000001</v>
      </c>
      <c r="K80" s="10" t="s">
        <v>612</v>
      </c>
      <c r="L80" s="4">
        <v>2.9</v>
      </c>
    </row>
    <row r="81" spans="1:12" x14ac:dyDescent="0.35">
      <c r="A81" s="10" t="s">
        <v>37</v>
      </c>
      <c r="B81" s="4">
        <v>34.360000000000007</v>
      </c>
      <c r="C81" s="4">
        <v>21.360000000000003</v>
      </c>
      <c r="D81" s="4">
        <v>9.1799999999999944</v>
      </c>
      <c r="E81" s="4">
        <v>10.869999999999994</v>
      </c>
      <c r="K81" s="10" t="s">
        <v>715</v>
      </c>
      <c r="L81" s="4">
        <v>2.83</v>
      </c>
    </row>
    <row r="82" spans="1:12" x14ac:dyDescent="0.35">
      <c r="A82" s="10" t="s">
        <v>51</v>
      </c>
      <c r="B82" s="4">
        <v>41.020000000000024</v>
      </c>
      <c r="C82" s="4">
        <v>25.830000000000005</v>
      </c>
      <c r="D82" s="4">
        <v>12.459999999999992</v>
      </c>
      <c r="E82" s="4">
        <v>14.49</v>
      </c>
      <c r="K82" s="10" t="s">
        <v>149</v>
      </c>
      <c r="L82" s="4">
        <v>2.81</v>
      </c>
    </row>
    <row r="83" spans="1:12" x14ac:dyDescent="0.35">
      <c r="A83" s="10" t="s">
        <v>65</v>
      </c>
      <c r="B83" s="4">
        <v>38.990000000000009</v>
      </c>
      <c r="C83" s="4">
        <v>22.999999999999989</v>
      </c>
      <c r="D83" s="4">
        <v>10.209999999999992</v>
      </c>
      <c r="E83" s="4">
        <v>13.449999999999994</v>
      </c>
      <c r="K83" s="10" t="s">
        <v>663</v>
      </c>
      <c r="L83" s="4">
        <v>2.81</v>
      </c>
    </row>
    <row r="84" spans="1:12" x14ac:dyDescent="0.35">
      <c r="A84" s="10" t="s">
        <v>48</v>
      </c>
      <c r="B84" s="4">
        <v>59.009999999999984</v>
      </c>
      <c r="C84" s="4">
        <v>34.239999999999988</v>
      </c>
      <c r="D84" s="4">
        <v>14.879999999999999</v>
      </c>
      <c r="E84" s="4">
        <v>20.470000000000002</v>
      </c>
      <c r="K84" s="10" t="s">
        <v>1006</v>
      </c>
      <c r="L84" s="4">
        <v>2.79</v>
      </c>
    </row>
    <row r="85" spans="1:12" x14ac:dyDescent="0.35">
      <c r="A85" s="10" t="s">
        <v>62</v>
      </c>
      <c r="B85" s="4">
        <v>38.459999999999987</v>
      </c>
      <c r="C85" s="4">
        <v>22.370000000000005</v>
      </c>
      <c r="D85" s="4">
        <v>11.029999999999996</v>
      </c>
      <c r="E85" s="4">
        <v>11.649999999999993</v>
      </c>
      <c r="K85" s="10" t="s">
        <v>1024</v>
      </c>
      <c r="L85" s="4">
        <v>2.77</v>
      </c>
    </row>
    <row r="86" spans="1:12" x14ac:dyDescent="0.35">
      <c r="A86" s="10" t="s">
        <v>1045</v>
      </c>
      <c r="B86" s="4">
        <v>403.88</v>
      </c>
      <c r="C86" s="4">
        <v>244.60999999999999</v>
      </c>
      <c r="D86" s="4">
        <v>110.33999999999995</v>
      </c>
      <c r="E86" s="4">
        <v>139.68999999999997</v>
      </c>
      <c r="K86" s="10" t="s">
        <v>995</v>
      </c>
      <c r="L86" s="4">
        <v>2.74</v>
      </c>
    </row>
    <row r="87" spans="1:12" x14ac:dyDescent="0.35">
      <c r="K87" s="10" t="s">
        <v>630</v>
      </c>
      <c r="L87" s="4">
        <v>2.72</v>
      </c>
    </row>
    <row r="88" spans="1:12" x14ac:dyDescent="0.35">
      <c r="K88" s="10" t="s">
        <v>662</v>
      </c>
      <c r="L88" s="4">
        <v>2.7</v>
      </c>
    </row>
    <row r="89" spans="1:12" x14ac:dyDescent="0.35">
      <c r="A89" s="9" t="s">
        <v>1044</v>
      </c>
      <c r="B89" t="s">
        <v>1046</v>
      </c>
      <c r="K89" s="10" t="s">
        <v>1042</v>
      </c>
      <c r="L89" s="4">
        <v>2.69</v>
      </c>
    </row>
    <row r="90" spans="1:12" x14ac:dyDescent="0.35">
      <c r="A90" s="10" t="s">
        <v>466</v>
      </c>
      <c r="B90" s="4">
        <v>7.21</v>
      </c>
      <c r="K90" s="10" t="s">
        <v>636</v>
      </c>
      <c r="L90" s="4">
        <v>2.67</v>
      </c>
    </row>
    <row r="91" spans="1:12" x14ac:dyDescent="0.35">
      <c r="A91" s="11" t="s">
        <v>19</v>
      </c>
      <c r="B91" s="4">
        <v>7.21</v>
      </c>
      <c r="K91" s="10" t="s">
        <v>47</v>
      </c>
      <c r="L91" s="4">
        <v>2.65</v>
      </c>
    </row>
    <row r="92" spans="1:12" x14ac:dyDescent="0.35">
      <c r="A92" s="12" t="s">
        <v>15</v>
      </c>
      <c r="B92" s="4">
        <v>7.21</v>
      </c>
      <c r="K92" s="10" t="s">
        <v>781</v>
      </c>
      <c r="L92" s="4">
        <v>2.63</v>
      </c>
    </row>
    <row r="93" spans="1:12" x14ac:dyDescent="0.35">
      <c r="A93" s="10" t="s">
        <v>792</v>
      </c>
      <c r="B93" s="4">
        <v>10.02</v>
      </c>
      <c r="K93" s="10" t="s">
        <v>355</v>
      </c>
      <c r="L93" s="4">
        <v>2.63</v>
      </c>
    </row>
    <row r="94" spans="1:12" x14ac:dyDescent="0.35">
      <c r="A94" s="11" t="s">
        <v>19</v>
      </c>
      <c r="B94" s="4">
        <v>10.02</v>
      </c>
      <c r="K94" s="10" t="s">
        <v>876</v>
      </c>
      <c r="L94" s="4">
        <v>2.62</v>
      </c>
    </row>
    <row r="95" spans="1:12" x14ac:dyDescent="0.35">
      <c r="A95" s="12" t="s">
        <v>33</v>
      </c>
      <c r="B95" s="4">
        <v>10.02</v>
      </c>
      <c r="K95" s="10" t="s">
        <v>369</v>
      </c>
      <c r="L95" s="4">
        <v>2.57</v>
      </c>
    </row>
    <row r="96" spans="1:12" x14ac:dyDescent="0.35">
      <c r="A96" s="10" t="s">
        <v>770</v>
      </c>
      <c r="B96" s="4">
        <v>13.3</v>
      </c>
      <c r="K96" s="10" t="s">
        <v>681</v>
      </c>
      <c r="L96" s="4">
        <v>2.56</v>
      </c>
    </row>
    <row r="97" spans="1:12" x14ac:dyDescent="0.35">
      <c r="A97" s="11" t="s">
        <v>19</v>
      </c>
      <c r="B97" s="4">
        <v>13.3</v>
      </c>
      <c r="K97" s="10" t="s">
        <v>333</v>
      </c>
      <c r="L97" s="4">
        <v>2.56</v>
      </c>
    </row>
    <row r="98" spans="1:12" x14ac:dyDescent="0.35">
      <c r="A98" s="12" t="s">
        <v>48</v>
      </c>
      <c r="B98" s="4">
        <v>13.3</v>
      </c>
      <c r="K98" s="10" t="s">
        <v>823</v>
      </c>
      <c r="L98" s="4">
        <v>2.54</v>
      </c>
    </row>
    <row r="99" spans="1:12" x14ac:dyDescent="0.35">
      <c r="A99" s="10" t="s">
        <v>689</v>
      </c>
      <c r="B99" s="4">
        <v>7.07</v>
      </c>
      <c r="K99" s="10" t="s">
        <v>985</v>
      </c>
      <c r="L99" s="4">
        <v>2.5</v>
      </c>
    </row>
    <row r="100" spans="1:12" x14ac:dyDescent="0.35">
      <c r="A100" s="11" t="s">
        <v>23</v>
      </c>
      <c r="B100" s="4">
        <v>7.07</v>
      </c>
      <c r="K100" s="10" t="s">
        <v>159</v>
      </c>
      <c r="L100" s="4">
        <v>2.48</v>
      </c>
    </row>
    <row r="101" spans="1:12" x14ac:dyDescent="0.35">
      <c r="A101" s="12" t="s">
        <v>48</v>
      </c>
      <c r="B101" s="4">
        <v>7.07</v>
      </c>
      <c r="K101" s="10" t="s">
        <v>633</v>
      </c>
      <c r="L101" s="4">
        <v>2.46</v>
      </c>
    </row>
    <row r="102" spans="1:12" x14ac:dyDescent="0.35">
      <c r="A102" s="10" t="s">
        <v>18</v>
      </c>
      <c r="B102" s="4">
        <v>10.18</v>
      </c>
      <c r="K102" s="10" t="s">
        <v>213</v>
      </c>
      <c r="L102" s="4">
        <v>2.4500000000000002</v>
      </c>
    </row>
    <row r="103" spans="1:12" x14ac:dyDescent="0.35">
      <c r="A103" s="11" t="s">
        <v>19</v>
      </c>
      <c r="B103" s="4">
        <v>10.18</v>
      </c>
      <c r="K103" s="10" t="s">
        <v>413</v>
      </c>
      <c r="L103" s="4">
        <v>2.38</v>
      </c>
    </row>
    <row r="104" spans="1:12" x14ac:dyDescent="0.35">
      <c r="A104" s="12" t="s">
        <v>15</v>
      </c>
      <c r="B104" s="4">
        <v>10.18</v>
      </c>
      <c r="K104" s="10" t="s">
        <v>128</v>
      </c>
      <c r="L104" s="4">
        <v>2.38</v>
      </c>
    </row>
    <row r="105" spans="1:12" x14ac:dyDescent="0.35">
      <c r="A105" s="10" t="s">
        <v>1002</v>
      </c>
      <c r="B105" s="4">
        <v>5.6</v>
      </c>
      <c r="K105" s="10" t="s">
        <v>317</v>
      </c>
      <c r="L105" s="4">
        <v>2.34</v>
      </c>
    </row>
    <row r="106" spans="1:12" x14ac:dyDescent="0.35">
      <c r="A106" s="11" t="s">
        <v>31</v>
      </c>
      <c r="B106" s="4">
        <v>5.6</v>
      </c>
      <c r="K106" s="10" t="s">
        <v>712</v>
      </c>
      <c r="L106" s="4">
        <v>2.33</v>
      </c>
    </row>
    <row r="107" spans="1:12" x14ac:dyDescent="0.35">
      <c r="A107" s="12" t="s">
        <v>51</v>
      </c>
      <c r="B107" s="4">
        <v>5.6</v>
      </c>
      <c r="K107" s="10" t="s">
        <v>990</v>
      </c>
      <c r="L107" s="4">
        <v>2.2999999999999998</v>
      </c>
    </row>
    <row r="108" spans="1:12" x14ac:dyDescent="0.35">
      <c r="A108" s="10" t="s">
        <v>883</v>
      </c>
      <c r="B108" s="4">
        <v>6</v>
      </c>
      <c r="K108" s="10" t="s">
        <v>245</v>
      </c>
      <c r="L108" s="4">
        <v>2.29</v>
      </c>
    </row>
    <row r="109" spans="1:12" x14ac:dyDescent="0.35">
      <c r="A109" s="11" t="s">
        <v>31</v>
      </c>
      <c r="B109" s="4">
        <v>6</v>
      </c>
      <c r="K109" s="10" t="s">
        <v>700</v>
      </c>
      <c r="L109" s="4">
        <v>2.27</v>
      </c>
    </row>
    <row r="110" spans="1:12" x14ac:dyDescent="0.35">
      <c r="A110" s="12" t="s">
        <v>62</v>
      </c>
      <c r="B110" s="4">
        <v>6</v>
      </c>
      <c r="K110" s="10" t="s">
        <v>892</v>
      </c>
      <c r="L110" s="4">
        <v>2.27</v>
      </c>
    </row>
    <row r="111" spans="1:12" x14ac:dyDescent="0.35">
      <c r="A111" s="10" t="s">
        <v>236</v>
      </c>
      <c r="B111" s="4">
        <v>5.86</v>
      </c>
      <c r="K111" s="10" t="s">
        <v>659</v>
      </c>
      <c r="L111" s="4">
        <v>2.27</v>
      </c>
    </row>
    <row r="112" spans="1:12" x14ac:dyDescent="0.35">
      <c r="A112" s="11" t="s">
        <v>64</v>
      </c>
      <c r="B112" s="4">
        <v>5.86</v>
      </c>
      <c r="K112" s="10" t="s">
        <v>947</v>
      </c>
      <c r="L112" s="4">
        <v>2.2599999999999998</v>
      </c>
    </row>
    <row r="113" spans="1:12" x14ac:dyDescent="0.35">
      <c r="A113" s="12" t="s">
        <v>62</v>
      </c>
      <c r="B113" s="4">
        <v>5.86</v>
      </c>
      <c r="K113" s="10" t="s">
        <v>881</v>
      </c>
      <c r="L113" s="4">
        <v>2.25</v>
      </c>
    </row>
    <row r="114" spans="1:12" x14ac:dyDescent="0.35">
      <c r="A114" s="10" t="s">
        <v>537</v>
      </c>
      <c r="B114" s="4">
        <v>15.04</v>
      </c>
      <c r="K114" s="10" t="s">
        <v>587</v>
      </c>
      <c r="L114" s="4">
        <v>2.23</v>
      </c>
    </row>
    <row r="115" spans="1:12" x14ac:dyDescent="0.35">
      <c r="A115" s="11" t="s">
        <v>14</v>
      </c>
      <c r="B115" s="4">
        <v>15.04</v>
      </c>
      <c r="K115" s="10" t="s">
        <v>144</v>
      </c>
      <c r="L115" s="4">
        <v>2.19</v>
      </c>
    </row>
    <row r="116" spans="1:12" x14ac:dyDescent="0.35">
      <c r="A116" s="12" t="s">
        <v>15</v>
      </c>
      <c r="B116" s="4">
        <v>15.04</v>
      </c>
      <c r="K116" s="10" t="s">
        <v>163</v>
      </c>
      <c r="L116" s="4">
        <v>2.15</v>
      </c>
    </row>
    <row r="117" spans="1:12" x14ac:dyDescent="0.35">
      <c r="A117" s="10" t="s">
        <v>142</v>
      </c>
      <c r="B117" s="4">
        <v>10.61</v>
      </c>
      <c r="K117" s="10" t="s">
        <v>767</v>
      </c>
      <c r="L117" s="4">
        <v>2.08</v>
      </c>
    </row>
    <row r="118" spans="1:12" x14ac:dyDescent="0.35">
      <c r="A118" s="11" t="s">
        <v>57</v>
      </c>
      <c r="B118" s="4">
        <v>10.61</v>
      </c>
      <c r="K118" s="10" t="s">
        <v>127</v>
      </c>
      <c r="L118" s="4">
        <v>2.06</v>
      </c>
    </row>
    <row r="119" spans="1:12" x14ac:dyDescent="0.35">
      <c r="A119" s="12" t="s">
        <v>48</v>
      </c>
      <c r="B119" s="4">
        <v>10.61</v>
      </c>
      <c r="K119" s="10" t="s">
        <v>259</v>
      </c>
      <c r="L119" s="4">
        <v>2.0499999999999998</v>
      </c>
    </row>
    <row r="120" spans="1:12" x14ac:dyDescent="0.35">
      <c r="A120" s="10" t="s">
        <v>1045</v>
      </c>
      <c r="B120" s="4">
        <v>90.89</v>
      </c>
      <c r="K120" s="10" t="s">
        <v>490</v>
      </c>
      <c r="L120" s="4">
        <v>2.0499999999999998</v>
      </c>
    </row>
    <row r="121" spans="1:12" x14ac:dyDescent="0.35">
      <c r="K121" s="10" t="s">
        <v>497</v>
      </c>
      <c r="L121" s="4">
        <v>2.0499999999999998</v>
      </c>
    </row>
    <row r="122" spans="1:12" x14ac:dyDescent="0.35">
      <c r="K122" s="10" t="s">
        <v>514</v>
      </c>
      <c r="L122" s="4">
        <v>2.04</v>
      </c>
    </row>
    <row r="123" spans="1:12" x14ac:dyDescent="0.35">
      <c r="K123" s="10" t="s">
        <v>484</v>
      </c>
      <c r="L123" s="4">
        <v>2.04</v>
      </c>
    </row>
    <row r="124" spans="1:12" x14ac:dyDescent="0.35">
      <c r="K124" s="10" t="s">
        <v>989</v>
      </c>
      <c r="L124" s="4">
        <v>2.02</v>
      </c>
    </row>
    <row r="125" spans="1:12" x14ac:dyDescent="0.35">
      <c r="K125" s="10" t="s">
        <v>562</v>
      </c>
      <c r="L125" s="4">
        <v>2.0099999999999998</v>
      </c>
    </row>
    <row r="126" spans="1:12" x14ac:dyDescent="0.35">
      <c r="K126" s="10" t="s">
        <v>843</v>
      </c>
      <c r="L126" s="4">
        <v>2</v>
      </c>
    </row>
    <row r="127" spans="1:12" x14ac:dyDescent="0.35">
      <c r="K127" s="10" t="s">
        <v>337</v>
      </c>
      <c r="L127" s="4">
        <v>1.99</v>
      </c>
    </row>
    <row r="128" spans="1:12" x14ac:dyDescent="0.35">
      <c r="K128" s="10" t="s">
        <v>787</v>
      </c>
      <c r="L128" s="4">
        <v>1.98</v>
      </c>
    </row>
    <row r="129" spans="11:12" x14ac:dyDescent="0.35">
      <c r="K129" s="10" t="s">
        <v>424</v>
      </c>
      <c r="L129" s="4">
        <v>1.98</v>
      </c>
    </row>
    <row r="130" spans="11:12" x14ac:dyDescent="0.35">
      <c r="K130" s="10" t="s">
        <v>281</v>
      </c>
      <c r="L130" s="4">
        <v>1.97</v>
      </c>
    </row>
    <row r="131" spans="11:12" x14ac:dyDescent="0.35">
      <c r="K131" s="10" t="s">
        <v>598</v>
      </c>
      <c r="L131" s="4">
        <v>1.96</v>
      </c>
    </row>
    <row r="132" spans="11:12" x14ac:dyDescent="0.35">
      <c r="K132" s="10" t="s">
        <v>351</v>
      </c>
      <c r="L132" s="4">
        <v>1.96</v>
      </c>
    </row>
    <row r="133" spans="11:12" x14ac:dyDescent="0.35">
      <c r="K133" s="10" t="s">
        <v>291</v>
      </c>
      <c r="L133" s="4">
        <v>1.94</v>
      </c>
    </row>
    <row r="134" spans="11:12" x14ac:dyDescent="0.35">
      <c r="K134" s="10" t="s">
        <v>1030</v>
      </c>
      <c r="L134" s="4">
        <v>1.93</v>
      </c>
    </row>
    <row r="135" spans="11:12" x14ac:dyDescent="0.35">
      <c r="K135" s="10" t="s">
        <v>174</v>
      </c>
      <c r="L135" s="4">
        <v>1.92</v>
      </c>
    </row>
    <row r="136" spans="11:12" x14ac:dyDescent="0.35">
      <c r="K136" s="10" t="s">
        <v>957</v>
      </c>
      <c r="L136" s="4">
        <v>1.92</v>
      </c>
    </row>
    <row r="137" spans="11:12" x14ac:dyDescent="0.35">
      <c r="K137" s="10" t="s">
        <v>819</v>
      </c>
      <c r="L137" s="4">
        <v>1.9</v>
      </c>
    </row>
    <row r="138" spans="11:12" x14ac:dyDescent="0.35">
      <c r="K138" s="10" t="s">
        <v>42</v>
      </c>
      <c r="L138" s="4">
        <v>1.89</v>
      </c>
    </row>
    <row r="139" spans="11:12" x14ac:dyDescent="0.35">
      <c r="K139" s="10" t="s">
        <v>638</v>
      </c>
      <c r="L139" s="4">
        <v>1.86</v>
      </c>
    </row>
    <row r="140" spans="11:12" x14ac:dyDescent="0.35">
      <c r="K140" s="10" t="s">
        <v>511</v>
      </c>
      <c r="L140" s="4">
        <v>1.82</v>
      </c>
    </row>
    <row r="141" spans="11:12" x14ac:dyDescent="0.35">
      <c r="K141" s="10" t="s">
        <v>222</v>
      </c>
      <c r="L141" s="4">
        <v>1.81</v>
      </c>
    </row>
    <row r="142" spans="11:12" x14ac:dyDescent="0.35">
      <c r="K142" s="10" t="s">
        <v>654</v>
      </c>
      <c r="L142" s="4">
        <v>1.8</v>
      </c>
    </row>
    <row r="143" spans="11:12" x14ac:dyDescent="0.35">
      <c r="K143" s="10" t="s">
        <v>199</v>
      </c>
      <c r="L143" s="4">
        <v>1.8</v>
      </c>
    </row>
    <row r="144" spans="11:12" x14ac:dyDescent="0.35">
      <c r="K144" s="10" t="s">
        <v>446</v>
      </c>
      <c r="L144" s="4">
        <v>1.79</v>
      </c>
    </row>
    <row r="145" spans="11:12" x14ac:dyDescent="0.35">
      <c r="K145" s="10" t="s">
        <v>713</v>
      </c>
      <c r="L145" s="4">
        <v>1.77</v>
      </c>
    </row>
    <row r="146" spans="11:12" x14ac:dyDescent="0.35">
      <c r="K146" s="10" t="s">
        <v>794</v>
      </c>
      <c r="L146" s="4">
        <v>1.77</v>
      </c>
    </row>
    <row r="147" spans="11:12" x14ac:dyDescent="0.35">
      <c r="K147" s="10" t="s">
        <v>53</v>
      </c>
      <c r="L147" s="4">
        <v>1.77</v>
      </c>
    </row>
    <row r="148" spans="11:12" x14ac:dyDescent="0.35">
      <c r="K148" s="10" t="s">
        <v>549</v>
      </c>
      <c r="L148" s="4">
        <v>1.76</v>
      </c>
    </row>
    <row r="149" spans="11:12" x14ac:dyDescent="0.35">
      <c r="K149" s="10" t="s">
        <v>546</v>
      </c>
      <c r="L149" s="4">
        <v>1.75</v>
      </c>
    </row>
    <row r="150" spans="11:12" x14ac:dyDescent="0.35">
      <c r="K150" s="10" t="s">
        <v>589</v>
      </c>
      <c r="L150" s="4">
        <v>1.75</v>
      </c>
    </row>
    <row r="151" spans="11:12" x14ac:dyDescent="0.35">
      <c r="K151" s="10" t="s">
        <v>418</v>
      </c>
      <c r="L151" s="4">
        <v>1.74</v>
      </c>
    </row>
    <row r="152" spans="11:12" x14ac:dyDescent="0.35">
      <c r="K152" s="10" t="s">
        <v>114</v>
      </c>
      <c r="L152" s="4">
        <v>1.74</v>
      </c>
    </row>
    <row r="153" spans="11:12" x14ac:dyDescent="0.35">
      <c r="K153" s="10" t="s">
        <v>403</v>
      </c>
      <c r="L153" s="4">
        <v>1.74</v>
      </c>
    </row>
    <row r="154" spans="11:12" x14ac:dyDescent="0.35">
      <c r="K154" s="10" t="s">
        <v>480</v>
      </c>
      <c r="L154" s="4">
        <v>1.73</v>
      </c>
    </row>
    <row r="155" spans="11:12" x14ac:dyDescent="0.35">
      <c r="K155" s="10" t="s">
        <v>807</v>
      </c>
      <c r="L155" s="4">
        <v>1.72</v>
      </c>
    </row>
    <row r="156" spans="11:12" x14ac:dyDescent="0.35">
      <c r="K156" s="10" t="s">
        <v>391</v>
      </c>
      <c r="L156" s="4">
        <v>1.71</v>
      </c>
    </row>
    <row r="157" spans="11:12" x14ac:dyDescent="0.35">
      <c r="K157" s="10" t="s">
        <v>324</v>
      </c>
      <c r="L157" s="4">
        <v>1.71</v>
      </c>
    </row>
    <row r="158" spans="11:12" x14ac:dyDescent="0.35">
      <c r="K158" s="10" t="s">
        <v>82</v>
      </c>
      <c r="L158" s="4">
        <v>1.7</v>
      </c>
    </row>
    <row r="159" spans="11:12" x14ac:dyDescent="0.35">
      <c r="K159" s="10" t="s">
        <v>379</v>
      </c>
      <c r="L159" s="4">
        <v>1.69</v>
      </c>
    </row>
    <row r="160" spans="11:12" x14ac:dyDescent="0.35">
      <c r="K160" s="10" t="s">
        <v>660</v>
      </c>
      <c r="L160" s="4">
        <v>1.69</v>
      </c>
    </row>
    <row r="161" spans="11:12" x14ac:dyDescent="0.35">
      <c r="K161" s="10" t="s">
        <v>313</v>
      </c>
      <c r="L161" s="4">
        <v>1.67</v>
      </c>
    </row>
    <row r="162" spans="11:12" x14ac:dyDescent="0.35">
      <c r="K162" s="10" t="s">
        <v>332</v>
      </c>
      <c r="L162" s="4">
        <v>1.67</v>
      </c>
    </row>
    <row r="163" spans="11:12" x14ac:dyDescent="0.35">
      <c r="K163" s="10" t="s">
        <v>423</v>
      </c>
      <c r="L163" s="4">
        <v>1.67</v>
      </c>
    </row>
    <row r="164" spans="11:12" x14ac:dyDescent="0.35">
      <c r="K164" s="10" t="s">
        <v>1014</v>
      </c>
      <c r="L164" s="4">
        <v>1.67</v>
      </c>
    </row>
    <row r="165" spans="11:12" x14ac:dyDescent="0.35">
      <c r="K165" s="10" t="s">
        <v>993</v>
      </c>
      <c r="L165" s="4">
        <v>1.67</v>
      </c>
    </row>
    <row r="166" spans="11:12" x14ac:dyDescent="0.35">
      <c r="K166" s="10" t="s">
        <v>365</v>
      </c>
      <c r="L166" s="4">
        <v>1.66</v>
      </c>
    </row>
    <row r="167" spans="11:12" x14ac:dyDescent="0.35">
      <c r="K167" s="10" t="s">
        <v>318</v>
      </c>
      <c r="L167" s="4">
        <v>1.65</v>
      </c>
    </row>
    <row r="168" spans="11:12" x14ac:dyDescent="0.35">
      <c r="K168" s="10" t="s">
        <v>529</v>
      </c>
      <c r="L168" s="4">
        <v>1.65</v>
      </c>
    </row>
    <row r="169" spans="11:12" x14ac:dyDescent="0.35">
      <c r="K169" s="10" t="s">
        <v>698</v>
      </c>
      <c r="L169" s="4">
        <v>1.63</v>
      </c>
    </row>
    <row r="170" spans="11:12" x14ac:dyDescent="0.35">
      <c r="K170" s="10" t="s">
        <v>890</v>
      </c>
      <c r="L170" s="4">
        <v>1.63</v>
      </c>
    </row>
    <row r="171" spans="11:12" x14ac:dyDescent="0.35">
      <c r="K171" s="10" t="s">
        <v>452</v>
      </c>
      <c r="L171" s="4">
        <v>1.63</v>
      </c>
    </row>
    <row r="172" spans="11:12" x14ac:dyDescent="0.35">
      <c r="K172" s="10" t="s">
        <v>510</v>
      </c>
      <c r="L172" s="4">
        <v>1.63</v>
      </c>
    </row>
    <row r="173" spans="11:12" x14ac:dyDescent="0.35">
      <c r="K173" s="10" t="s">
        <v>56</v>
      </c>
      <c r="L173" s="4">
        <v>1.63</v>
      </c>
    </row>
    <row r="174" spans="11:12" x14ac:dyDescent="0.35">
      <c r="K174" s="10" t="s">
        <v>564</v>
      </c>
      <c r="L174" s="4">
        <v>1.62</v>
      </c>
    </row>
    <row r="175" spans="11:12" x14ac:dyDescent="0.35">
      <c r="K175" s="10" t="s">
        <v>493</v>
      </c>
      <c r="L175" s="4">
        <v>1.62</v>
      </c>
    </row>
    <row r="176" spans="11:12" x14ac:dyDescent="0.35">
      <c r="K176" s="10" t="s">
        <v>357</v>
      </c>
      <c r="L176" s="4">
        <v>1.61</v>
      </c>
    </row>
    <row r="177" spans="11:12" x14ac:dyDescent="0.35">
      <c r="K177" s="10" t="s">
        <v>802</v>
      </c>
      <c r="L177" s="4">
        <v>1.61</v>
      </c>
    </row>
    <row r="178" spans="11:12" x14ac:dyDescent="0.35">
      <c r="K178" s="10" t="s">
        <v>79</v>
      </c>
      <c r="L178" s="4">
        <v>1.61</v>
      </c>
    </row>
    <row r="179" spans="11:12" x14ac:dyDescent="0.35">
      <c r="K179" s="10" t="s">
        <v>1001</v>
      </c>
      <c r="L179" s="4">
        <v>1.6</v>
      </c>
    </row>
    <row r="180" spans="11:12" x14ac:dyDescent="0.35">
      <c r="K180" s="10" t="s">
        <v>983</v>
      </c>
      <c r="L180" s="4">
        <v>1.6</v>
      </c>
    </row>
    <row r="181" spans="11:12" x14ac:dyDescent="0.35">
      <c r="K181" s="10" t="s">
        <v>125</v>
      </c>
      <c r="L181" s="4">
        <v>1.6</v>
      </c>
    </row>
    <row r="182" spans="11:12" x14ac:dyDescent="0.35">
      <c r="K182" s="10" t="s">
        <v>272</v>
      </c>
      <c r="L182" s="4">
        <v>1.6</v>
      </c>
    </row>
    <row r="183" spans="11:12" x14ac:dyDescent="0.35">
      <c r="K183" s="10" t="s">
        <v>719</v>
      </c>
      <c r="L183" s="4">
        <v>1.58</v>
      </c>
    </row>
    <row r="184" spans="11:12" x14ac:dyDescent="0.35">
      <c r="K184" s="10" t="s">
        <v>682</v>
      </c>
      <c r="L184" s="4">
        <v>1.57</v>
      </c>
    </row>
    <row r="185" spans="11:12" x14ac:dyDescent="0.35">
      <c r="K185" s="10" t="s">
        <v>360</v>
      </c>
      <c r="L185" s="4">
        <v>1.57</v>
      </c>
    </row>
    <row r="186" spans="11:12" x14ac:dyDescent="0.35">
      <c r="K186" s="10" t="s">
        <v>224</v>
      </c>
      <c r="L186" s="4">
        <v>1.57</v>
      </c>
    </row>
    <row r="187" spans="11:12" x14ac:dyDescent="0.35">
      <c r="K187" s="10" t="s">
        <v>988</v>
      </c>
      <c r="L187" s="4">
        <v>1.56</v>
      </c>
    </row>
    <row r="188" spans="11:12" x14ac:dyDescent="0.35">
      <c r="K188" s="10" t="s">
        <v>532</v>
      </c>
      <c r="L188" s="4">
        <v>1.54</v>
      </c>
    </row>
    <row r="189" spans="11:12" x14ac:dyDescent="0.35">
      <c r="K189" s="10" t="s">
        <v>789</v>
      </c>
      <c r="L189" s="4">
        <v>1.53</v>
      </c>
    </row>
    <row r="190" spans="11:12" x14ac:dyDescent="0.35">
      <c r="K190" s="10" t="s">
        <v>260</v>
      </c>
      <c r="L190" s="4">
        <v>1.53</v>
      </c>
    </row>
    <row r="191" spans="11:12" x14ac:dyDescent="0.35">
      <c r="K191" s="10" t="s">
        <v>667</v>
      </c>
      <c r="L191" s="4">
        <v>1.52</v>
      </c>
    </row>
    <row r="192" spans="11:12" x14ac:dyDescent="0.35">
      <c r="K192" s="10" t="s">
        <v>768</v>
      </c>
      <c r="L192" s="4">
        <v>1.52</v>
      </c>
    </row>
    <row r="193" spans="11:12" x14ac:dyDescent="0.35">
      <c r="K193" s="10" t="s">
        <v>613</v>
      </c>
      <c r="L193" s="4">
        <v>1.52</v>
      </c>
    </row>
    <row r="194" spans="11:12" x14ac:dyDescent="0.35">
      <c r="K194" s="10" t="s">
        <v>878</v>
      </c>
      <c r="L194" s="4">
        <v>1.51</v>
      </c>
    </row>
    <row r="195" spans="11:12" x14ac:dyDescent="0.35">
      <c r="K195" s="10" t="s">
        <v>248</v>
      </c>
      <c r="L195" s="4">
        <v>1.5</v>
      </c>
    </row>
    <row r="196" spans="11:12" x14ac:dyDescent="0.35">
      <c r="K196" s="10" t="s">
        <v>431</v>
      </c>
      <c r="L196" s="4">
        <v>1.49</v>
      </c>
    </row>
    <row r="197" spans="11:12" x14ac:dyDescent="0.35">
      <c r="K197" s="10" t="s">
        <v>545</v>
      </c>
      <c r="L197" s="4">
        <v>1.48</v>
      </c>
    </row>
    <row r="198" spans="11:12" x14ac:dyDescent="0.35">
      <c r="K198" s="10" t="s">
        <v>609</v>
      </c>
      <c r="L198" s="4">
        <v>1.47</v>
      </c>
    </row>
    <row r="199" spans="11:12" x14ac:dyDescent="0.35">
      <c r="K199" s="10" t="s">
        <v>528</v>
      </c>
      <c r="L199" s="4">
        <v>1.46</v>
      </c>
    </row>
    <row r="200" spans="11:12" x14ac:dyDescent="0.35">
      <c r="K200" s="10" t="s">
        <v>129</v>
      </c>
      <c r="L200" s="4">
        <v>1.46</v>
      </c>
    </row>
    <row r="201" spans="11:12" x14ac:dyDescent="0.35">
      <c r="K201" s="10" t="s">
        <v>489</v>
      </c>
      <c r="L201" s="4">
        <v>1.45</v>
      </c>
    </row>
    <row r="202" spans="11:12" x14ac:dyDescent="0.35">
      <c r="K202" s="10" t="s">
        <v>727</v>
      </c>
      <c r="L202" s="4">
        <v>1.45</v>
      </c>
    </row>
    <row r="203" spans="11:12" x14ac:dyDescent="0.35">
      <c r="K203" s="10" t="s">
        <v>1031</v>
      </c>
      <c r="L203" s="4">
        <v>1.45</v>
      </c>
    </row>
    <row r="204" spans="11:12" x14ac:dyDescent="0.35">
      <c r="K204" s="10" t="s">
        <v>956</v>
      </c>
      <c r="L204" s="4">
        <v>1.45</v>
      </c>
    </row>
    <row r="205" spans="11:12" x14ac:dyDescent="0.35">
      <c r="K205" s="10" t="s">
        <v>652</v>
      </c>
      <c r="L205" s="4">
        <v>1.44</v>
      </c>
    </row>
    <row r="206" spans="11:12" x14ac:dyDescent="0.35">
      <c r="K206" s="10" t="s">
        <v>158</v>
      </c>
      <c r="L206" s="4">
        <v>1.44</v>
      </c>
    </row>
    <row r="207" spans="11:12" x14ac:dyDescent="0.35">
      <c r="K207" s="10" t="s">
        <v>762</v>
      </c>
      <c r="L207" s="4">
        <v>1.43</v>
      </c>
    </row>
    <row r="208" spans="11:12" x14ac:dyDescent="0.35">
      <c r="K208" s="10" t="s">
        <v>854</v>
      </c>
      <c r="L208" s="4">
        <v>1.43</v>
      </c>
    </row>
    <row r="209" spans="11:12" x14ac:dyDescent="0.35">
      <c r="K209" s="10" t="s">
        <v>361</v>
      </c>
      <c r="L209" s="4">
        <v>1.42</v>
      </c>
    </row>
    <row r="210" spans="11:12" x14ac:dyDescent="0.35">
      <c r="K210" s="10" t="s">
        <v>869</v>
      </c>
      <c r="L210" s="4">
        <v>1.42</v>
      </c>
    </row>
    <row r="211" spans="11:12" x14ac:dyDescent="0.35">
      <c r="K211" s="10" t="s">
        <v>151</v>
      </c>
      <c r="L211" s="4">
        <v>1.42</v>
      </c>
    </row>
    <row r="212" spans="11:12" x14ac:dyDescent="0.35">
      <c r="K212" s="10" t="s">
        <v>71</v>
      </c>
      <c r="L212" s="4">
        <v>1.4</v>
      </c>
    </row>
    <row r="213" spans="11:12" x14ac:dyDescent="0.35">
      <c r="K213" s="10" t="s">
        <v>309</v>
      </c>
      <c r="L213" s="4">
        <v>1.4</v>
      </c>
    </row>
    <row r="214" spans="11:12" x14ac:dyDescent="0.35">
      <c r="K214" s="10" t="s">
        <v>110</v>
      </c>
      <c r="L214" s="4">
        <v>1.39</v>
      </c>
    </row>
    <row r="215" spans="11:12" x14ac:dyDescent="0.35">
      <c r="K215" s="10" t="s">
        <v>574</v>
      </c>
      <c r="L215" s="4">
        <v>1.38</v>
      </c>
    </row>
    <row r="216" spans="11:12" x14ac:dyDescent="0.35">
      <c r="K216" s="10" t="s">
        <v>363</v>
      </c>
      <c r="L216" s="4">
        <v>1.38</v>
      </c>
    </row>
    <row r="217" spans="11:12" x14ac:dyDescent="0.35">
      <c r="K217" s="10" t="s">
        <v>701</v>
      </c>
      <c r="L217" s="4">
        <v>1.37</v>
      </c>
    </row>
    <row r="218" spans="11:12" x14ac:dyDescent="0.35">
      <c r="K218" s="10" t="s">
        <v>1032</v>
      </c>
      <c r="L218" s="4">
        <v>1.36</v>
      </c>
    </row>
    <row r="219" spans="11:12" x14ac:dyDescent="0.35">
      <c r="K219" s="10" t="s">
        <v>150</v>
      </c>
      <c r="L219" s="4">
        <v>1.36</v>
      </c>
    </row>
    <row r="220" spans="11:12" x14ac:dyDescent="0.35">
      <c r="K220" s="10" t="s">
        <v>402</v>
      </c>
      <c r="L220" s="4">
        <v>1.35</v>
      </c>
    </row>
    <row r="221" spans="11:12" x14ac:dyDescent="0.35">
      <c r="K221" s="10" t="s">
        <v>543</v>
      </c>
      <c r="L221" s="4">
        <v>1.35</v>
      </c>
    </row>
    <row r="222" spans="11:12" x14ac:dyDescent="0.35">
      <c r="K222" s="10" t="s">
        <v>536</v>
      </c>
      <c r="L222" s="4">
        <v>1.34</v>
      </c>
    </row>
    <row r="223" spans="11:12" x14ac:dyDescent="0.35">
      <c r="K223" s="10" t="s">
        <v>680</v>
      </c>
      <c r="L223" s="4">
        <v>1.34</v>
      </c>
    </row>
    <row r="224" spans="11:12" x14ac:dyDescent="0.35">
      <c r="K224" s="10" t="s">
        <v>960</v>
      </c>
      <c r="L224" s="4">
        <v>1.32</v>
      </c>
    </row>
    <row r="225" spans="11:12" x14ac:dyDescent="0.35">
      <c r="K225" s="10" t="s">
        <v>645</v>
      </c>
      <c r="L225" s="4">
        <v>1.31</v>
      </c>
    </row>
    <row r="226" spans="11:12" x14ac:dyDescent="0.35">
      <c r="K226" s="10" t="s">
        <v>32</v>
      </c>
      <c r="L226" s="4">
        <v>1.3</v>
      </c>
    </row>
    <row r="227" spans="11:12" x14ac:dyDescent="0.35">
      <c r="K227" s="10" t="s">
        <v>984</v>
      </c>
      <c r="L227" s="4">
        <v>1.3</v>
      </c>
    </row>
    <row r="228" spans="11:12" x14ac:dyDescent="0.35">
      <c r="K228" s="10" t="s">
        <v>676</v>
      </c>
      <c r="L228" s="4">
        <v>1.3</v>
      </c>
    </row>
    <row r="229" spans="11:12" x14ac:dyDescent="0.35">
      <c r="K229" s="10" t="s">
        <v>164</v>
      </c>
      <c r="L229" s="4">
        <v>1.3</v>
      </c>
    </row>
    <row r="230" spans="11:12" x14ac:dyDescent="0.35">
      <c r="K230" s="10" t="s">
        <v>198</v>
      </c>
      <c r="L230" s="4">
        <v>1.3</v>
      </c>
    </row>
    <row r="231" spans="11:12" x14ac:dyDescent="0.35">
      <c r="K231" s="10" t="s">
        <v>448</v>
      </c>
      <c r="L231" s="4">
        <v>1.29</v>
      </c>
    </row>
    <row r="232" spans="11:12" x14ac:dyDescent="0.35">
      <c r="K232" s="10" t="s">
        <v>410</v>
      </c>
      <c r="L232" s="4">
        <v>1.28</v>
      </c>
    </row>
    <row r="233" spans="11:12" x14ac:dyDescent="0.35">
      <c r="K233" s="10" t="s">
        <v>235</v>
      </c>
      <c r="L233" s="4">
        <v>1.27</v>
      </c>
    </row>
    <row r="234" spans="11:12" x14ac:dyDescent="0.35">
      <c r="K234" s="10" t="s">
        <v>249</v>
      </c>
      <c r="L234" s="4">
        <v>1.27</v>
      </c>
    </row>
    <row r="235" spans="11:12" x14ac:dyDescent="0.35">
      <c r="K235" s="10" t="s">
        <v>822</v>
      </c>
      <c r="L235" s="4">
        <v>1.27</v>
      </c>
    </row>
    <row r="236" spans="11:12" x14ac:dyDescent="0.35">
      <c r="K236" s="10" t="s">
        <v>697</v>
      </c>
      <c r="L236" s="4">
        <v>1.27</v>
      </c>
    </row>
    <row r="237" spans="11:12" x14ac:dyDescent="0.35">
      <c r="K237" s="10" t="s">
        <v>975</v>
      </c>
      <c r="L237" s="4">
        <v>1.25</v>
      </c>
    </row>
    <row r="238" spans="11:12" x14ac:dyDescent="0.35">
      <c r="K238" s="10" t="s">
        <v>955</v>
      </c>
      <c r="L238" s="4">
        <v>1.25</v>
      </c>
    </row>
    <row r="239" spans="11:12" x14ac:dyDescent="0.35">
      <c r="K239" s="10" t="s">
        <v>585</v>
      </c>
      <c r="L239" s="4">
        <v>1.25</v>
      </c>
    </row>
    <row r="240" spans="11:12" x14ac:dyDescent="0.35">
      <c r="K240" s="10" t="s">
        <v>348</v>
      </c>
      <c r="L240" s="4">
        <v>1.25</v>
      </c>
    </row>
    <row r="241" spans="11:12" x14ac:dyDescent="0.35">
      <c r="K241" s="10" t="s">
        <v>540</v>
      </c>
      <c r="L241" s="4">
        <v>1.25</v>
      </c>
    </row>
    <row r="242" spans="11:12" x14ac:dyDescent="0.35">
      <c r="K242" s="10" t="s">
        <v>373</v>
      </c>
      <c r="L242" s="4">
        <v>1.23</v>
      </c>
    </row>
    <row r="243" spans="11:12" x14ac:dyDescent="0.35">
      <c r="K243" s="10" t="s">
        <v>1015</v>
      </c>
      <c r="L243" s="4">
        <v>1.23</v>
      </c>
    </row>
    <row r="244" spans="11:12" x14ac:dyDescent="0.35">
      <c r="K244" s="10" t="s">
        <v>299</v>
      </c>
      <c r="L244" s="4">
        <v>1.23</v>
      </c>
    </row>
    <row r="245" spans="11:12" x14ac:dyDescent="0.35">
      <c r="K245" s="10" t="s">
        <v>377</v>
      </c>
      <c r="L245" s="4">
        <v>1.23</v>
      </c>
    </row>
    <row r="246" spans="11:12" x14ac:dyDescent="0.35">
      <c r="K246" s="10" t="s">
        <v>289</v>
      </c>
      <c r="L246" s="4">
        <v>1.22</v>
      </c>
    </row>
    <row r="247" spans="11:12" x14ac:dyDescent="0.35">
      <c r="K247" s="10" t="s">
        <v>880</v>
      </c>
      <c r="L247" s="4">
        <v>1.22</v>
      </c>
    </row>
    <row r="248" spans="11:12" x14ac:dyDescent="0.35">
      <c r="K248" s="10" t="s">
        <v>976</v>
      </c>
      <c r="L248" s="4">
        <v>1.22</v>
      </c>
    </row>
    <row r="249" spans="11:12" x14ac:dyDescent="0.35">
      <c r="K249" s="10" t="s">
        <v>756</v>
      </c>
      <c r="L249" s="4">
        <v>1.2</v>
      </c>
    </row>
    <row r="250" spans="11:12" x14ac:dyDescent="0.35">
      <c r="K250" s="10" t="s">
        <v>305</v>
      </c>
      <c r="L250" s="4">
        <v>1.2</v>
      </c>
    </row>
    <row r="251" spans="11:12" x14ac:dyDescent="0.35">
      <c r="K251" s="10" t="s">
        <v>866</v>
      </c>
      <c r="L251" s="4">
        <v>1.2</v>
      </c>
    </row>
    <row r="252" spans="11:12" x14ac:dyDescent="0.35">
      <c r="K252" s="10" t="s">
        <v>745</v>
      </c>
      <c r="L252" s="4">
        <v>1.19</v>
      </c>
    </row>
    <row r="253" spans="11:12" x14ac:dyDescent="0.35">
      <c r="K253" s="10" t="s">
        <v>970</v>
      </c>
      <c r="L253" s="4">
        <v>1.18</v>
      </c>
    </row>
    <row r="254" spans="11:12" x14ac:dyDescent="0.35">
      <c r="K254" s="10" t="s">
        <v>551</v>
      </c>
      <c r="L254" s="4">
        <v>1.18</v>
      </c>
    </row>
    <row r="255" spans="11:12" x14ac:dyDescent="0.35">
      <c r="K255" s="10" t="s">
        <v>354</v>
      </c>
      <c r="L255" s="4">
        <v>1.17</v>
      </c>
    </row>
    <row r="256" spans="11:12" x14ac:dyDescent="0.35">
      <c r="K256" s="10" t="s">
        <v>384</v>
      </c>
      <c r="L256" s="4">
        <v>1.1599999999999999</v>
      </c>
    </row>
    <row r="257" spans="11:12" x14ac:dyDescent="0.35">
      <c r="K257" s="10" t="s">
        <v>130</v>
      </c>
      <c r="L257" s="4">
        <v>1.1599999999999999</v>
      </c>
    </row>
    <row r="258" spans="11:12" x14ac:dyDescent="0.35">
      <c r="K258" s="10" t="s">
        <v>103</v>
      </c>
      <c r="L258" s="4">
        <v>1.1599999999999999</v>
      </c>
    </row>
    <row r="259" spans="11:12" x14ac:dyDescent="0.35">
      <c r="K259" s="10" t="s">
        <v>741</v>
      </c>
      <c r="L259" s="4">
        <v>1.1499999999999999</v>
      </c>
    </row>
    <row r="260" spans="11:12" x14ac:dyDescent="0.35">
      <c r="K260" s="10" t="s">
        <v>887</v>
      </c>
      <c r="L260" s="4">
        <v>1.1499999999999999</v>
      </c>
    </row>
    <row r="261" spans="11:12" x14ac:dyDescent="0.35">
      <c r="K261" s="10" t="s">
        <v>343</v>
      </c>
      <c r="L261" s="4">
        <v>1.1499999999999999</v>
      </c>
    </row>
    <row r="262" spans="11:12" x14ac:dyDescent="0.35">
      <c r="K262" s="10" t="s">
        <v>844</v>
      </c>
      <c r="L262" s="4">
        <v>1.1499999999999999</v>
      </c>
    </row>
    <row r="263" spans="11:12" x14ac:dyDescent="0.35">
      <c r="K263" s="10" t="s">
        <v>724</v>
      </c>
      <c r="L263" s="4">
        <v>1.1399999999999999</v>
      </c>
    </row>
    <row r="264" spans="11:12" x14ac:dyDescent="0.35">
      <c r="K264" s="10" t="s">
        <v>445</v>
      </c>
      <c r="L264" s="4">
        <v>1.1399999999999999</v>
      </c>
    </row>
    <row r="265" spans="11:12" x14ac:dyDescent="0.35">
      <c r="K265" s="10" t="s">
        <v>1037</v>
      </c>
      <c r="L265" s="4">
        <v>1.1299999999999999</v>
      </c>
    </row>
    <row r="266" spans="11:12" x14ac:dyDescent="0.35">
      <c r="K266" s="10" t="s">
        <v>709</v>
      </c>
      <c r="L266" s="4">
        <v>1.1299999999999999</v>
      </c>
    </row>
    <row r="267" spans="11:12" x14ac:dyDescent="0.35">
      <c r="K267" s="10" t="s">
        <v>34</v>
      </c>
      <c r="L267" s="4">
        <v>1.1299999999999999</v>
      </c>
    </row>
    <row r="268" spans="11:12" x14ac:dyDescent="0.35">
      <c r="K268" s="10" t="s">
        <v>610</v>
      </c>
      <c r="L268" s="4">
        <v>1.1299999999999999</v>
      </c>
    </row>
    <row r="269" spans="11:12" x14ac:dyDescent="0.35">
      <c r="K269" s="10" t="s">
        <v>279</v>
      </c>
      <c r="L269" s="4">
        <v>1.1299999999999999</v>
      </c>
    </row>
    <row r="270" spans="11:12" x14ac:dyDescent="0.35">
      <c r="K270" s="10" t="s">
        <v>606</v>
      </c>
      <c r="L270" s="4">
        <v>1.1200000000000001</v>
      </c>
    </row>
    <row r="271" spans="11:12" x14ac:dyDescent="0.35">
      <c r="K271" s="10" t="s">
        <v>760</v>
      </c>
      <c r="L271" s="4">
        <v>1.1200000000000001</v>
      </c>
    </row>
    <row r="272" spans="11:12" x14ac:dyDescent="0.35">
      <c r="K272" s="10" t="s">
        <v>387</v>
      </c>
      <c r="L272" s="4">
        <v>1.1200000000000001</v>
      </c>
    </row>
    <row r="273" spans="11:12" x14ac:dyDescent="0.35">
      <c r="K273" s="10" t="s">
        <v>204</v>
      </c>
      <c r="L273" s="4">
        <v>1.1200000000000001</v>
      </c>
    </row>
    <row r="274" spans="11:12" x14ac:dyDescent="0.35">
      <c r="K274" s="10" t="s">
        <v>181</v>
      </c>
      <c r="L274" s="4">
        <v>1.1100000000000001</v>
      </c>
    </row>
    <row r="275" spans="11:12" x14ac:dyDescent="0.35">
      <c r="K275" s="10" t="s">
        <v>907</v>
      </c>
      <c r="L275" s="4">
        <v>1.1100000000000001</v>
      </c>
    </row>
    <row r="276" spans="11:12" x14ac:dyDescent="0.35">
      <c r="K276" s="10" t="s">
        <v>1003</v>
      </c>
      <c r="L276" s="4">
        <v>1.1100000000000001</v>
      </c>
    </row>
    <row r="277" spans="11:12" x14ac:dyDescent="0.35">
      <c r="K277" s="10" t="s">
        <v>70</v>
      </c>
      <c r="L277" s="4">
        <v>1.1100000000000001</v>
      </c>
    </row>
    <row r="278" spans="11:12" x14ac:dyDescent="0.35">
      <c r="K278" s="10" t="s">
        <v>517</v>
      </c>
      <c r="L278" s="4">
        <v>1.1100000000000001</v>
      </c>
    </row>
    <row r="279" spans="11:12" x14ac:dyDescent="0.35">
      <c r="K279" s="10" t="s">
        <v>780</v>
      </c>
      <c r="L279" s="4">
        <v>1.1000000000000001</v>
      </c>
    </row>
    <row r="280" spans="11:12" x14ac:dyDescent="0.35">
      <c r="K280" s="10" t="s">
        <v>632</v>
      </c>
      <c r="L280" s="4">
        <v>1.1000000000000001</v>
      </c>
    </row>
    <row r="281" spans="11:12" x14ac:dyDescent="0.35">
      <c r="K281" s="10" t="s">
        <v>827</v>
      </c>
      <c r="L281" s="4">
        <v>1.1000000000000001</v>
      </c>
    </row>
    <row r="282" spans="11:12" x14ac:dyDescent="0.35">
      <c r="K282" s="10" t="s">
        <v>534</v>
      </c>
      <c r="L282" s="4">
        <v>1.0900000000000001</v>
      </c>
    </row>
    <row r="283" spans="11:12" x14ac:dyDescent="0.35">
      <c r="K283" s="10" t="s">
        <v>590</v>
      </c>
      <c r="L283" s="4">
        <v>1.08</v>
      </c>
    </row>
    <row r="284" spans="11:12" x14ac:dyDescent="0.35">
      <c r="K284" s="10" t="s">
        <v>619</v>
      </c>
      <c r="L284" s="4">
        <v>1.08</v>
      </c>
    </row>
    <row r="285" spans="11:12" x14ac:dyDescent="0.35">
      <c r="K285" s="10" t="s">
        <v>979</v>
      </c>
      <c r="L285" s="4">
        <v>1.08</v>
      </c>
    </row>
    <row r="286" spans="11:12" x14ac:dyDescent="0.35">
      <c r="K286" s="10" t="s">
        <v>216</v>
      </c>
      <c r="L286" s="4">
        <v>1.07</v>
      </c>
    </row>
    <row r="287" spans="11:12" x14ac:dyDescent="0.35">
      <c r="K287" s="10" t="s">
        <v>771</v>
      </c>
      <c r="L287" s="4">
        <v>1.07</v>
      </c>
    </row>
    <row r="288" spans="11:12" x14ac:dyDescent="0.35">
      <c r="K288" s="10" t="s">
        <v>39</v>
      </c>
      <c r="L288" s="4">
        <v>1.07</v>
      </c>
    </row>
    <row r="289" spans="11:12" x14ac:dyDescent="0.35">
      <c r="K289" s="10" t="s">
        <v>465</v>
      </c>
      <c r="L289" s="4">
        <v>1.06</v>
      </c>
    </row>
    <row r="290" spans="11:12" x14ac:dyDescent="0.35">
      <c r="K290" s="10" t="s">
        <v>578</v>
      </c>
      <c r="L290" s="4">
        <v>1.05</v>
      </c>
    </row>
    <row r="291" spans="11:12" x14ac:dyDescent="0.35">
      <c r="K291" s="10" t="s">
        <v>567</v>
      </c>
      <c r="L291" s="4">
        <v>1.04</v>
      </c>
    </row>
    <row r="292" spans="11:12" x14ac:dyDescent="0.35">
      <c r="K292" s="10" t="s">
        <v>95</v>
      </c>
      <c r="L292" s="4">
        <v>1.04</v>
      </c>
    </row>
    <row r="293" spans="11:12" x14ac:dyDescent="0.35">
      <c r="K293" s="10" t="s">
        <v>486</v>
      </c>
      <c r="L293" s="4">
        <v>1.04</v>
      </c>
    </row>
    <row r="294" spans="11:12" x14ac:dyDescent="0.35">
      <c r="K294" s="10" t="s">
        <v>923</v>
      </c>
      <c r="L294" s="4">
        <v>1.03</v>
      </c>
    </row>
    <row r="295" spans="11:12" x14ac:dyDescent="0.35">
      <c r="K295" s="10" t="s">
        <v>607</v>
      </c>
      <c r="L295" s="4">
        <v>1.03</v>
      </c>
    </row>
    <row r="296" spans="11:12" x14ac:dyDescent="0.35">
      <c r="K296" s="10" t="s">
        <v>868</v>
      </c>
      <c r="L296" s="4">
        <v>1.03</v>
      </c>
    </row>
    <row r="297" spans="11:12" x14ac:dyDescent="0.35">
      <c r="K297" s="10" t="s">
        <v>441</v>
      </c>
      <c r="L297" s="4">
        <v>1.03</v>
      </c>
    </row>
    <row r="298" spans="11:12" x14ac:dyDescent="0.35">
      <c r="K298" s="10" t="s">
        <v>686</v>
      </c>
      <c r="L298" s="4">
        <v>1.03</v>
      </c>
    </row>
    <row r="299" spans="11:12" x14ac:dyDescent="0.35">
      <c r="K299" s="10" t="s">
        <v>599</v>
      </c>
      <c r="L299" s="4">
        <v>1.03</v>
      </c>
    </row>
    <row r="300" spans="11:12" x14ac:dyDescent="0.35">
      <c r="K300" s="10" t="s">
        <v>334</v>
      </c>
      <c r="L300" s="4">
        <v>1.03</v>
      </c>
    </row>
    <row r="301" spans="11:12" x14ac:dyDescent="0.35">
      <c r="K301" s="10" t="s">
        <v>237</v>
      </c>
      <c r="L301" s="4">
        <v>1.02</v>
      </c>
    </row>
    <row r="302" spans="11:12" x14ac:dyDescent="0.35">
      <c r="K302" s="10" t="s">
        <v>561</v>
      </c>
      <c r="L302" s="4">
        <v>1.02</v>
      </c>
    </row>
    <row r="303" spans="11:12" x14ac:dyDescent="0.35">
      <c r="K303" s="10" t="s">
        <v>653</v>
      </c>
      <c r="L303" s="4">
        <v>1.01</v>
      </c>
    </row>
    <row r="304" spans="11:12" x14ac:dyDescent="0.35">
      <c r="K304" s="10" t="s">
        <v>205</v>
      </c>
      <c r="L304" s="4">
        <v>1.01</v>
      </c>
    </row>
    <row r="305" spans="11:12" x14ac:dyDescent="0.35">
      <c r="K305" s="10" t="s">
        <v>227</v>
      </c>
      <c r="L305" s="4">
        <v>1.01</v>
      </c>
    </row>
    <row r="306" spans="11:12" x14ac:dyDescent="0.35">
      <c r="K306" s="10" t="s">
        <v>447</v>
      </c>
      <c r="L306" s="4">
        <v>1.01</v>
      </c>
    </row>
    <row r="307" spans="11:12" x14ac:dyDescent="0.35">
      <c r="K307" s="10" t="s">
        <v>649</v>
      </c>
      <c r="L307" s="4">
        <v>1</v>
      </c>
    </row>
    <row r="308" spans="11:12" x14ac:dyDescent="0.35">
      <c r="K308" s="10" t="s">
        <v>482</v>
      </c>
      <c r="L308" s="4">
        <v>1</v>
      </c>
    </row>
    <row r="309" spans="11:12" x14ac:dyDescent="0.35">
      <c r="K309" s="10" t="s">
        <v>853</v>
      </c>
      <c r="L309" s="4">
        <v>0.99</v>
      </c>
    </row>
    <row r="310" spans="11:12" x14ac:dyDescent="0.35">
      <c r="K310" s="10" t="s">
        <v>611</v>
      </c>
      <c r="L310" s="4">
        <v>0.99</v>
      </c>
    </row>
    <row r="311" spans="11:12" x14ac:dyDescent="0.35">
      <c r="K311" s="10" t="s">
        <v>766</v>
      </c>
      <c r="L311" s="4">
        <v>0.99</v>
      </c>
    </row>
    <row r="312" spans="11:12" x14ac:dyDescent="0.35">
      <c r="K312" s="10" t="s">
        <v>500</v>
      </c>
      <c r="L312" s="4">
        <v>0.99</v>
      </c>
    </row>
    <row r="313" spans="11:12" x14ac:dyDescent="0.35">
      <c r="K313" s="10" t="s">
        <v>322</v>
      </c>
      <c r="L313" s="4">
        <v>0.99</v>
      </c>
    </row>
    <row r="314" spans="11:12" x14ac:dyDescent="0.35">
      <c r="K314" s="10" t="s">
        <v>38</v>
      </c>
      <c r="L314" s="4">
        <v>0.99</v>
      </c>
    </row>
    <row r="315" spans="11:12" x14ac:dyDescent="0.35">
      <c r="K315" s="10" t="s">
        <v>634</v>
      </c>
      <c r="L315" s="4">
        <v>0.99</v>
      </c>
    </row>
    <row r="316" spans="11:12" x14ac:dyDescent="0.35">
      <c r="K316" s="10" t="s">
        <v>968</v>
      </c>
      <c r="L316" s="4">
        <v>0.98</v>
      </c>
    </row>
    <row r="317" spans="11:12" x14ac:dyDescent="0.35">
      <c r="K317" s="10" t="s">
        <v>1020</v>
      </c>
      <c r="L317" s="4">
        <v>0.98</v>
      </c>
    </row>
    <row r="318" spans="11:12" x14ac:dyDescent="0.35">
      <c r="K318" s="10" t="s">
        <v>726</v>
      </c>
      <c r="L318" s="4">
        <v>0.97</v>
      </c>
    </row>
    <row r="319" spans="11:12" x14ac:dyDescent="0.35">
      <c r="K319" s="10" t="s">
        <v>499</v>
      </c>
      <c r="L319" s="4">
        <v>0.97</v>
      </c>
    </row>
    <row r="320" spans="11:12" x14ac:dyDescent="0.35">
      <c r="K320" s="10" t="s">
        <v>427</v>
      </c>
      <c r="L320" s="4">
        <v>0.97</v>
      </c>
    </row>
    <row r="321" spans="11:12" x14ac:dyDescent="0.35">
      <c r="K321" s="10" t="s">
        <v>703</v>
      </c>
      <c r="L321" s="4">
        <v>0.97</v>
      </c>
    </row>
    <row r="322" spans="11:12" x14ac:dyDescent="0.35">
      <c r="K322" s="10" t="s">
        <v>118</v>
      </c>
      <c r="L322" s="4">
        <v>0.96</v>
      </c>
    </row>
    <row r="323" spans="11:12" x14ac:dyDescent="0.35">
      <c r="K323" s="10" t="s">
        <v>146</v>
      </c>
      <c r="L323" s="4">
        <v>0.96</v>
      </c>
    </row>
    <row r="324" spans="11:12" x14ac:dyDescent="0.35">
      <c r="K324" s="10" t="s">
        <v>308</v>
      </c>
      <c r="L324" s="4">
        <v>0.96</v>
      </c>
    </row>
    <row r="325" spans="11:12" x14ac:dyDescent="0.35">
      <c r="K325" s="10" t="s">
        <v>795</v>
      </c>
      <c r="L325" s="4">
        <v>0.95</v>
      </c>
    </row>
    <row r="326" spans="11:12" x14ac:dyDescent="0.35">
      <c r="K326" s="10" t="s">
        <v>773</v>
      </c>
      <c r="L326" s="4">
        <v>0.95</v>
      </c>
    </row>
    <row r="327" spans="11:12" x14ac:dyDescent="0.35">
      <c r="K327" s="10" t="s">
        <v>535</v>
      </c>
      <c r="L327" s="4">
        <v>0.94</v>
      </c>
    </row>
    <row r="328" spans="11:12" x14ac:dyDescent="0.35">
      <c r="K328" s="10" t="s">
        <v>893</v>
      </c>
      <c r="L328" s="4">
        <v>0.94</v>
      </c>
    </row>
    <row r="329" spans="11:12" x14ac:dyDescent="0.35">
      <c r="K329" s="10" t="s">
        <v>405</v>
      </c>
      <c r="L329" s="4">
        <v>0.94</v>
      </c>
    </row>
    <row r="330" spans="11:12" x14ac:dyDescent="0.35">
      <c r="K330" s="10" t="s">
        <v>531</v>
      </c>
      <c r="L330" s="4">
        <v>0.94</v>
      </c>
    </row>
    <row r="331" spans="11:12" x14ac:dyDescent="0.35">
      <c r="K331" s="10" t="s">
        <v>392</v>
      </c>
      <c r="L331" s="4">
        <v>0.94</v>
      </c>
    </row>
    <row r="332" spans="11:12" x14ac:dyDescent="0.35">
      <c r="K332" s="10" t="s">
        <v>778</v>
      </c>
      <c r="L332" s="4">
        <v>0.94</v>
      </c>
    </row>
    <row r="333" spans="11:12" x14ac:dyDescent="0.35">
      <c r="K333" s="10" t="s">
        <v>560</v>
      </c>
      <c r="L333" s="4">
        <v>0.94</v>
      </c>
    </row>
    <row r="334" spans="11:12" x14ac:dyDescent="0.35">
      <c r="K334" s="10" t="s">
        <v>644</v>
      </c>
      <c r="L334" s="4">
        <v>0.93</v>
      </c>
    </row>
    <row r="335" spans="11:12" x14ac:dyDescent="0.35">
      <c r="K335" s="10" t="s">
        <v>278</v>
      </c>
      <c r="L335" s="4">
        <v>0.93</v>
      </c>
    </row>
    <row r="336" spans="11:12" x14ac:dyDescent="0.35">
      <c r="K336" s="10" t="s">
        <v>962</v>
      </c>
      <c r="L336" s="4">
        <v>0.93</v>
      </c>
    </row>
    <row r="337" spans="11:12" x14ac:dyDescent="0.35">
      <c r="K337" s="10" t="s">
        <v>804</v>
      </c>
      <c r="L337" s="4">
        <v>0.93</v>
      </c>
    </row>
    <row r="338" spans="11:12" x14ac:dyDescent="0.35">
      <c r="K338" s="10" t="s">
        <v>451</v>
      </c>
      <c r="L338" s="4">
        <v>0.93</v>
      </c>
    </row>
    <row r="339" spans="11:12" x14ac:dyDescent="0.35">
      <c r="K339" s="10" t="s">
        <v>136</v>
      </c>
      <c r="L339" s="4">
        <v>0.93</v>
      </c>
    </row>
    <row r="340" spans="11:12" x14ac:dyDescent="0.35">
      <c r="K340" s="10" t="s">
        <v>1019</v>
      </c>
      <c r="L340" s="4">
        <v>0.92</v>
      </c>
    </row>
    <row r="341" spans="11:12" x14ac:dyDescent="0.35">
      <c r="K341" s="10" t="s">
        <v>548</v>
      </c>
      <c r="L341" s="4">
        <v>0.92</v>
      </c>
    </row>
    <row r="342" spans="11:12" x14ac:dyDescent="0.35">
      <c r="K342" s="10" t="s">
        <v>433</v>
      </c>
      <c r="L342" s="4">
        <v>0.92</v>
      </c>
    </row>
    <row r="343" spans="11:12" x14ac:dyDescent="0.35">
      <c r="K343" s="10" t="s">
        <v>862</v>
      </c>
      <c r="L343" s="4">
        <v>0.91</v>
      </c>
    </row>
    <row r="344" spans="11:12" x14ac:dyDescent="0.35">
      <c r="K344" s="10" t="s">
        <v>383</v>
      </c>
      <c r="L344" s="4">
        <v>0.91</v>
      </c>
    </row>
    <row r="345" spans="11:12" x14ac:dyDescent="0.35">
      <c r="K345" s="10" t="s">
        <v>600</v>
      </c>
      <c r="L345" s="4">
        <v>0.91</v>
      </c>
    </row>
    <row r="346" spans="11:12" x14ac:dyDescent="0.35">
      <c r="K346" s="10" t="s">
        <v>558</v>
      </c>
      <c r="L346" s="4">
        <v>0.91</v>
      </c>
    </row>
    <row r="347" spans="11:12" x14ac:dyDescent="0.35">
      <c r="K347" s="10" t="s">
        <v>359</v>
      </c>
      <c r="L347" s="4">
        <v>0.9</v>
      </c>
    </row>
    <row r="348" spans="11:12" x14ac:dyDescent="0.35">
      <c r="K348" s="10" t="s">
        <v>639</v>
      </c>
      <c r="L348" s="4">
        <v>0.9</v>
      </c>
    </row>
    <row r="349" spans="11:12" x14ac:dyDescent="0.35">
      <c r="K349" s="10" t="s">
        <v>857</v>
      </c>
      <c r="L349" s="4">
        <v>0.9</v>
      </c>
    </row>
    <row r="350" spans="11:12" x14ac:dyDescent="0.35">
      <c r="K350" s="10" t="s">
        <v>969</v>
      </c>
      <c r="L350" s="4">
        <v>0.89</v>
      </c>
    </row>
    <row r="351" spans="11:12" x14ac:dyDescent="0.35">
      <c r="K351" s="10" t="s">
        <v>390</v>
      </c>
      <c r="L351" s="4">
        <v>0.89</v>
      </c>
    </row>
    <row r="352" spans="11:12" x14ac:dyDescent="0.35">
      <c r="K352" s="10" t="s">
        <v>835</v>
      </c>
      <c r="L352" s="4">
        <v>0.89</v>
      </c>
    </row>
    <row r="353" spans="11:12" x14ac:dyDescent="0.35">
      <c r="K353" s="10" t="s">
        <v>407</v>
      </c>
      <c r="L353" s="4">
        <v>0.88</v>
      </c>
    </row>
    <row r="354" spans="11:12" x14ac:dyDescent="0.35">
      <c r="K354" s="10" t="s">
        <v>342</v>
      </c>
      <c r="L354" s="4">
        <v>0.88</v>
      </c>
    </row>
    <row r="355" spans="11:12" x14ac:dyDescent="0.35">
      <c r="K355" s="10" t="s">
        <v>195</v>
      </c>
      <c r="L355" s="4">
        <v>0.88</v>
      </c>
    </row>
    <row r="356" spans="11:12" x14ac:dyDescent="0.35">
      <c r="K356" s="10" t="s">
        <v>111</v>
      </c>
      <c r="L356" s="4">
        <v>0.87</v>
      </c>
    </row>
    <row r="357" spans="11:12" x14ac:dyDescent="0.35">
      <c r="K357" s="10" t="s">
        <v>863</v>
      </c>
      <c r="L357" s="4">
        <v>0.87</v>
      </c>
    </row>
    <row r="358" spans="11:12" x14ac:dyDescent="0.35">
      <c r="K358" s="10" t="s">
        <v>113</v>
      </c>
      <c r="L358" s="4">
        <v>0.87</v>
      </c>
    </row>
    <row r="359" spans="11:12" x14ac:dyDescent="0.35">
      <c r="K359" s="10" t="s">
        <v>513</v>
      </c>
      <c r="L359" s="4">
        <v>0.87</v>
      </c>
    </row>
    <row r="360" spans="11:12" x14ac:dyDescent="0.35">
      <c r="K360" s="10" t="s">
        <v>942</v>
      </c>
      <c r="L360" s="4">
        <v>0.87</v>
      </c>
    </row>
    <row r="361" spans="11:12" x14ac:dyDescent="0.35">
      <c r="K361" s="10" t="s">
        <v>595</v>
      </c>
      <c r="L361" s="4">
        <v>0.87</v>
      </c>
    </row>
    <row r="362" spans="11:12" x14ac:dyDescent="0.35">
      <c r="K362" s="10" t="s">
        <v>183</v>
      </c>
      <c r="L362" s="4">
        <v>0.86</v>
      </c>
    </row>
    <row r="363" spans="11:12" x14ac:dyDescent="0.35">
      <c r="K363" s="10" t="s">
        <v>344</v>
      </c>
      <c r="L363" s="4">
        <v>0.85</v>
      </c>
    </row>
    <row r="364" spans="11:12" x14ac:dyDescent="0.35">
      <c r="K364" s="10" t="s">
        <v>376</v>
      </c>
      <c r="L364" s="4">
        <v>0.85</v>
      </c>
    </row>
    <row r="365" spans="11:12" x14ac:dyDescent="0.35">
      <c r="K365" s="10" t="s">
        <v>304</v>
      </c>
      <c r="L365" s="4">
        <v>0.85</v>
      </c>
    </row>
    <row r="366" spans="11:12" x14ac:dyDescent="0.35">
      <c r="K366" s="10" t="s">
        <v>156</v>
      </c>
      <c r="L366" s="4">
        <v>0.85</v>
      </c>
    </row>
    <row r="367" spans="11:12" x14ac:dyDescent="0.35">
      <c r="K367" s="10" t="s">
        <v>84</v>
      </c>
      <c r="L367" s="4">
        <v>0.85</v>
      </c>
    </row>
    <row r="368" spans="11:12" x14ac:dyDescent="0.35">
      <c r="K368" s="10" t="s">
        <v>507</v>
      </c>
      <c r="L368" s="4">
        <v>0.85</v>
      </c>
    </row>
    <row r="369" spans="11:12" x14ac:dyDescent="0.35">
      <c r="K369" s="10" t="s">
        <v>932</v>
      </c>
      <c r="L369" s="4">
        <v>0.84</v>
      </c>
    </row>
    <row r="370" spans="11:12" x14ac:dyDescent="0.35">
      <c r="K370" s="10" t="s">
        <v>617</v>
      </c>
      <c r="L370" s="4">
        <v>0.84</v>
      </c>
    </row>
    <row r="371" spans="11:12" x14ac:dyDescent="0.35">
      <c r="K371" s="10" t="s">
        <v>688</v>
      </c>
      <c r="L371" s="4">
        <v>0.84</v>
      </c>
    </row>
    <row r="372" spans="11:12" x14ac:dyDescent="0.35">
      <c r="K372" s="10" t="s">
        <v>554</v>
      </c>
      <c r="L372" s="4">
        <v>0.84</v>
      </c>
    </row>
    <row r="373" spans="11:12" x14ac:dyDescent="0.35">
      <c r="K373" s="10" t="s">
        <v>326</v>
      </c>
      <c r="L373" s="4">
        <v>0.83</v>
      </c>
    </row>
    <row r="374" spans="11:12" x14ac:dyDescent="0.35">
      <c r="K374" s="10" t="s">
        <v>720</v>
      </c>
      <c r="L374" s="4">
        <v>0.83</v>
      </c>
    </row>
    <row r="375" spans="11:12" x14ac:dyDescent="0.35">
      <c r="K375" s="10" t="s">
        <v>193</v>
      </c>
      <c r="L375" s="4">
        <v>0.83</v>
      </c>
    </row>
    <row r="376" spans="11:12" x14ac:dyDescent="0.35">
      <c r="K376" s="10" t="s">
        <v>946</v>
      </c>
      <c r="L376" s="4">
        <v>0.83</v>
      </c>
    </row>
    <row r="377" spans="11:12" x14ac:dyDescent="0.35">
      <c r="K377" s="10" t="s">
        <v>218</v>
      </c>
      <c r="L377" s="4">
        <v>0.83</v>
      </c>
    </row>
    <row r="378" spans="11:12" x14ac:dyDescent="0.35">
      <c r="K378" s="10" t="s">
        <v>80</v>
      </c>
      <c r="L378" s="4">
        <v>0.83</v>
      </c>
    </row>
    <row r="379" spans="11:12" x14ac:dyDescent="0.35">
      <c r="K379" s="10" t="s">
        <v>873</v>
      </c>
      <c r="L379" s="4">
        <v>0.83</v>
      </c>
    </row>
    <row r="380" spans="11:12" x14ac:dyDescent="0.35">
      <c r="K380" s="10" t="s">
        <v>502</v>
      </c>
      <c r="L380" s="4">
        <v>0.82</v>
      </c>
    </row>
    <row r="381" spans="11:12" x14ac:dyDescent="0.35">
      <c r="K381" s="10" t="s">
        <v>812</v>
      </c>
      <c r="L381" s="4">
        <v>0.82</v>
      </c>
    </row>
    <row r="382" spans="11:12" x14ac:dyDescent="0.35">
      <c r="K382" s="10" t="s">
        <v>437</v>
      </c>
      <c r="L382" s="4">
        <v>0.82</v>
      </c>
    </row>
    <row r="383" spans="11:12" x14ac:dyDescent="0.35">
      <c r="K383" s="10" t="s">
        <v>569</v>
      </c>
      <c r="L383" s="4">
        <v>0.82</v>
      </c>
    </row>
    <row r="384" spans="11:12" x14ac:dyDescent="0.35">
      <c r="K384" s="10" t="s">
        <v>895</v>
      </c>
      <c r="L384" s="4">
        <v>0.82</v>
      </c>
    </row>
    <row r="385" spans="11:12" x14ac:dyDescent="0.35">
      <c r="K385" s="10" t="s">
        <v>50</v>
      </c>
      <c r="L385" s="4">
        <v>0.82</v>
      </c>
    </row>
    <row r="386" spans="11:12" x14ac:dyDescent="0.35">
      <c r="K386" s="10" t="s">
        <v>477</v>
      </c>
      <c r="L386" s="4">
        <v>0.82</v>
      </c>
    </row>
    <row r="387" spans="11:12" x14ac:dyDescent="0.35">
      <c r="K387" s="10" t="s">
        <v>435</v>
      </c>
      <c r="L387" s="4">
        <v>0.81</v>
      </c>
    </row>
    <row r="388" spans="11:12" x14ac:dyDescent="0.35">
      <c r="K388" s="10" t="s">
        <v>940</v>
      </c>
      <c r="L388" s="4">
        <v>0.81</v>
      </c>
    </row>
    <row r="389" spans="11:12" x14ac:dyDescent="0.35">
      <c r="K389" s="10" t="s">
        <v>1040</v>
      </c>
      <c r="L389" s="4">
        <v>0.8</v>
      </c>
    </row>
    <row r="390" spans="11:12" x14ac:dyDescent="0.35">
      <c r="K390" s="10" t="s">
        <v>303</v>
      </c>
      <c r="L390" s="4">
        <v>0.8</v>
      </c>
    </row>
    <row r="391" spans="11:12" x14ac:dyDescent="0.35">
      <c r="K391" s="10" t="s">
        <v>91</v>
      </c>
      <c r="L391" s="4">
        <v>0.8</v>
      </c>
    </row>
    <row r="392" spans="11:12" x14ac:dyDescent="0.35">
      <c r="K392" s="10" t="s">
        <v>244</v>
      </c>
      <c r="L392" s="4">
        <v>0.8</v>
      </c>
    </row>
    <row r="393" spans="11:12" x14ac:dyDescent="0.35">
      <c r="K393" s="10" t="s">
        <v>751</v>
      </c>
      <c r="L393" s="4">
        <v>0.8</v>
      </c>
    </row>
    <row r="394" spans="11:12" x14ac:dyDescent="0.35">
      <c r="K394" s="10" t="s">
        <v>683</v>
      </c>
      <c r="L394" s="4">
        <v>0.8</v>
      </c>
    </row>
    <row r="395" spans="11:12" x14ac:dyDescent="0.35">
      <c r="K395" s="10" t="s">
        <v>182</v>
      </c>
      <c r="L395" s="4">
        <v>0.8</v>
      </c>
    </row>
    <row r="396" spans="11:12" x14ac:dyDescent="0.35">
      <c r="K396" s="10" t="s">
        <v>139</v>
      </c>
      <c r="L396" s="4">
        <v>0.8</v>
      </c>
    </row>
    <row r="397" spans="11:12" x14ac:dyDescent="0.35">
      <c r="K397" s="10" t="s">
        <v>677</v>
      </c>
      <c r="L397" s="4">
        <v>0.79</v>
      </c>
    </row>
    <row r="398" spans="11:12" x14ac:dyDescent="0.35">
      <c r="K398" s="10" t="s">
        <v>702</v>
      </c>
      <c r="L398" s="4">
        <v>0.79</v>
      </c>
    </row>
    <row r="399" spans="11:12" x14ac:dyDescent="0.35">
      <c r="K399" s="10" t="s">
        <v>858</v>
      </c>
      <c r="L399" s="4">
        <v>0.79</v>
      </c>
    </row>
    <row r="400" spans="11:12" x14ac:dyDescent="0.35">
      <c r="K400" s="10" t="s">
        <v>404</v>
      </c>
      <c r="L400" s="4">
        <v>0.79</v>
      </c>
    </row>
    <row r="401" spans="11:12" x14ac:dyDescent="0.35">
      <c r="K401" s="10" t="s">
        <v>1009</v>
      </c>
      <c r="L401" s="4">
        <v>0.79</v>
      </c>
    </row>
    <row r="402" spans="11:12" x14ac:dyDescent="0.35">
      <c r="K402" s="10" t="s">
        <v>577</v>
      </c>
      <c r="L402" s="4">
        <v>0.79</v>
      </c>
    </row>
    <row r="403" spans="11:12" x14ac:dyDescent="0.35">
      <c r="K403" s="10" t="s">
        <v>119</v>
      </c>
      <c r="L403" s="4">
        <v>0.78</v>
      </c>
    </row>
    <row r="404" spans="11:12" x14ac:dyDescent="0.35">
      <c r="K404" s="10" t="s">
        <v>753</v>
      </c>
      <c r="L404" s="4">
        <v>0.78</v>
      </c>
    </row>
    <row r="405" spans="11:12" x14ac:dyDescent="0.35">
      <c r="K405" s="10" t="s">
        <v>706</v>
      </c>
      <c r="L405" s="4">
        <v>0.77</v>
      </c>
    </row>
    <row r="406" spans="11:12" x14ac:dyDescent="0.35">
      <c r="K406" s="10" t="s">
        <v>167</v>
      </c>
      <c r="L406" s="4">
        <v>0.77</v>
      </c>
    </row>
    <row r="407" spans="11:12" x14ac:dyDescent="0.35">
      <c r="K407" s="10" t="s">
        <v>705</v>
      </c>
      <c r="L407" s="4">
        <v>0.77</v>
      </c>
    </row>
    <row r="408" spans="11:12" x14ac:dyDescent="0.35">
      <c r="K408" s="10" t="s">
        <v>996</v>
      </c>
      <c r="L408" s="4">
        <v>0.77</v>
      </c>
    </row>
    <row r="409" spans="11:12" x14ac:dyDescent="0.35">
      <c r="K409" s="10" t="s">
        <v>664</v>
      </c>
      <c r="L409" s="4">
        <v>0.76</v>
      </c>
    </row>
    <row r="410" spans="11:12" x14ac:dyDescent="0.35">
      <c r="K410" s="10" t="s">
        <v>919</v>
      </c>
      <c r="L410" s="4">
        <v>0.76</v>
      </c>
    </row>
    <row r="411" spans="11:12" x14ac:dyDescent="0.35">
      <c r="K411" s="10" t="s">
        <v>375</v>
      </c>
      <c r="L411" s="4">
        <v>0.76</v>
      </c>
    </row>
    <row r="412" spans="11:12" x14ac:dyDescent="0.35">
      <c r="K412" s="10" t="s">
        <v>523</v>
      </c>
      <c r="L412" s="4">
        <v>0.76</v>
      </c>
    </row>
    <row r="413" spans="11:12" x14ac:dyDescent="0.35">
      <c r="K413" s="10" t="s">
        <v>491</v>
      </c>
      <c r="L413" s="4">
        <v>0.76</v>
      </c>
    </row>
    <row r="414" spans="11:12" x14ac:dyDescent="0.35">
      <c r="K414" s="10" t="s">
        <v>922</v>
      </c>
      <c r="L414" s="4">
        <v>0.76</v>
      </c>
    </row>
    <row r="415" spans="11:12" x14ac:dyDescent="0.35">
      <c r="K415" s="10" t="s">
        <v>1026</v>
      </c>
      <c r="L415" s="4">
        <v>0.76</v>
      </c>
    </row>
    <row r="416" spans="11:12" x14ac:dyDescent="0.35">
      <c r="K416" s="10" t="s">
        <v>961</v>
      </c>
      <c r="L416" s="4">
        <v>0.76</v>
      </c>
    </row>
    <row r="417" spans="11:12" x14ac:dyDescent="0.35">
      <c r="K417" s="10" t="s">
        <v>147</v>
      </c>
      <c r="L417" s="4">
        <v>0.75</v>
      </c>
    </row>
    <row r="418" spans="11:12" x14ac:dyDescent="0.35">
      <c r="K418" s="10" t="s">
        <v>796</v>
      </c>
      <c r="L418" s="4">
        <v>0.75</v>
      </c>
    </row>
    <row r="419" spans="11:12" x14ac:dyDescent="0.35">
      <c r="K419" s="10" t="s">
        <v>1011</v>
      </c>
      <c r="L419" s="4">
        <v>0.75</v>
      </c>
    </row>
    <row r="420" spans="11:12" x14ac:dyDescent="0.35">
      <c r="K420" s="10" t="s">
        <v>44</v>
      </c>
      <c r="L420" s="4">
        <v>0.74</v>
      </c>
    </row>
    <row r="421" spans="11:12" x14ac:dyDescent="0.35">
      <c r="K421" s="10" t="s">
        <v>784</v>
      </c>
      <c r="L421" s="4">
        <v>0.74</v>
      </c>
    </row>
    <row r="422" spans="11:12" x14ac:dyDescent="0.35">
      <c r="K422" s="10" t="s">
        <v>13</v>
      </c>
      <c r="L422" s="4">
        <v>0.74</v>
      </c>
    </row>
    <row r="423" spans="11:12" x14ac:dyDescent="0.35">
      <c r="K423" s="10" t="s">
        <v>570</v>
      </c>
      <c r="L423" s="4">
        <v>0.74</v>
      </c>
    </row>
    <row r="424" spans="11:12" x14ac:dyDescent="0.35">
      <c r="K424" s="10" t="s">
        <v>648</v>
      </c>
      <c r="L424" s="4">
        <v>0.74</v>
      </c>
    </row>
    <row r="425" spans="11:12" x14ac:dyDescent="0.35">
      <c r="K425" s="10" t="s">
        <v>875</v>
      </c>
      <c r="L425" s="4">
        <v>0.73</v>
      </c>
    </row>
    <row r="426" spans="11:12" x14ac:dyDescent="0.35">
      <c r="K426" s="10" t="s">
        <v>999</v>
      </c>
      <c r="L426" s="4">
        <v>0.73</v>
      </c>
    </row>
    <row r="427" spans="11:12" x14ac:dyDescent="0.35">
      <c r="K427" s="10" t="s">
        <v>143</v>
      </c>
      <c r="L427" s="4">
        <v>0.73</v>
      </c>
    </row>
    <row r="428" spans="11:12" x14ac:dyDescent="0.35">
      <c r="K428" s="10" t="s">
        <v>840</v>
      </c>
      <c r="L428" s="4">
        <v>0.73</v>
      </c>
    </row>
    <row r="429" spans="11:12" x14ac:dyDescent="0.35">
      <c r="K429" s="10" t="s">
        <v>782</v>
      </c>
      <c r="L429" s="4">
        <v>0.73</v>
      </c>
    </row>
    <row r="430" spans="11:12" x14ac:dyDescent="0.35">
      <c r="K430" s="10" t="s">
        <v>716</v>
      </c>
      <c r="L430" s="4">
        <v>0.72</v>
      </c>
    </row>
    <row r="431" spans="11:12" x14ac:dyDescent="0.35">
      <c r="K431" s="10" t="s">
        <v>274</v>
      </c>
      <c r="L431" s="4">
        <v>0.72</v>
      </c>
    </row>
    <row r="432" spans="11:12" x14ac:dyDescent="0.35">
      <c r="K432" s="10" t="s">
        <v>788</v>
      </c>
      <c r="L432" s="4">
        <v>0.72</v>
      </c>
    </row>
    <row r="433" spans="11:12" x14ac:dyDescent="0.35">
      <c r="K433" s="10" t="s">
        <v>635</v>
      </c>
      <c r="L433" s="4">
        <v>0.72</v>
      </c>
    </row>
    <row r="434" spans="11:12" x14ac:dyDescent="0.35">
      <c r="K434" s="10" t="s">
        <v>409</v>
      </c>
      <c r="L434" s="4">
        <v>0.72</v>
      </c>
    </row>
    <row r="435" spans="11:12" x14ac:dyDescent="0.35">
      <c r="K435" s="10" t="s">
        <v>997</v>
      </c>
      <c r="L435" s="4">
        <v>0.72</v>
      </c>
    </row>
    <row r="436" spans="11:12" x14ac:dyDescent="0.35">
      <c r="K436" s="10" t="s">
        <v>856</v>
      </c>
      <c r="L436" s="4">
        <v>0.72</v>
      </c>
    </row>
    <row r="437" spans="11:12" x14ac:dyDescent="0.35">
      <c r="K437" s="10" t="s">
        <v>602</v>
      </c>
      <c r="L437" s="4">
        <v>0.72</v>
      </c>
    </row>
    <row r="438" spans="11:12" x14ac:dyDescent="0.35">
      <c r="K438" s="10" t="s">
        <v>1033</v>
      </c>
      <c r="L438" s="4">
        <v>0.72</v>
      </c>
    </row>
    <row r="439" spans="11:12" x14ac:dyDescent="0.35">
      <c r="K439" s="10" t="s">
        <v>208</v>
      </c>
      <c r="L439" s="4">
        <v>0.71</v>
      </c>
    </row>
    <row r="440" spans="11:12" x14ac:dyDescent="0.35">
      <c r="K440" s="10" t="s">
        <v>1027</v>
      </c>
      <c r="L440" s="4">
        <v>0.71</v>
      </c>
    </row>
    <row r="441" spans="11:12" x14ac:dyDescent="0.35">
      <c r="K441" s="10" t="s">
        <v>655</v>
      </c>
      <c r="L441" s="4">
        <v>0.71</v>
      </c>
    </row>
    <row r="442" spans="11:12" x14ac:dyDescent="0.35">
      <c r="K442" s="10" t="s">
        <v>434</v>
      </c>
      <c r="L442" s="4">
        <v>0.71</v>
      </c>
    </row>
    <row r="443" spans="11:12" x14ac:dyDescent="0.35">
      <c r="K443" s="10" t="s">
        <v>135</v>
      </c>
      <c r="L443" s="4">
        <v>0.7</v>
      </c>
    </row>
    <row r="444" spans="11:12" x14ac:dyDescent="0.35">
      <c r="K444" s="10" t="s">
        <v>473</v>
      </c>
      <c r="L444" s="4">
        <v>0.7</v>
      </c>
    </row>
    <row r="445" spans="11:12" x14ac:dyDescent="0.35">
      <c r="K445" s="10" t="s">
        <v>1000</v>
      </c>
      <c r="L445" s="4">
        <v>0.7</v>
      </c>
    </row>
    <row r="446" spans="11:12" x14ac:dyDescent="0.35">
      <c r="K446" s="10" t="s">
        <v>934</v>
      </c>
      <c r="L446" s="4">
        <v>0.7</v>
      </c>
    </row>
    <row r="447" spans="11:12" x14ac:dyDescent="0.35">
      <c r="K447" s="10" t="s">
        <v>581</v>
      </c>
      <c r="L447" s="4">
        <v>0.7</v>
      </c>
    </row>
    <row r="448" spans="11:12" x14ac:dyDescent="0.35">
      <c r="K448" s="10" t="s">
        <v>848</v>
      </c>
      <c r="L448" s="4">
        <v>0.7</v>
      </c>
    </row>
    <row r="449" spans="11:12" x14ac:dyDescent="0.35">
      <c r="K449" s="10" t="s">
        <v>743</v>
      </c>
      <c r="L449" s="4">
        <v>0.7</v>
      </c>
    </row>
    <row r="450" spans="11:12" x14ac:dyDescent="0.35">
      <c r="K450" s="10" t="s">
        <v>670</v>
      </c>
      <c r="L450" s="4">
        <v>0.7</v>
      </c>
    </row>
    <row r="451" spans="11:12" x14ac:dyDescent="0.35">
      <c r="K451" s="10" t="s">
        <v>115</v>
      </c>
      <c r="L451" s="4">
        <v>0.7</v>
      </c>
    </row>
    <row r="452" spans="11:12" x14ac:dyDescent="0.35">
      <c r="K452" s="10" t="s">
        <v>953</v>
      </c>
      <c r="L452" s="4">
        <v>0.7</v>
      </c>
    </row>
    <row r="453" spans="11:12" x14ac:dyDescent="0.35">
      <c r="K453" s="10" t="s">
        <v>982</v>
      </c>
      <c r="L453" s="4">
        <v>0.69</v>
      </c>
    </row>
    <row r="454" spans="11:12" x14ac:dyDescent="0.35">
      <c r="K454" s="10" t="s">
        <v>443</v>
      </c>
      <c r="L454" s="4">
        <v>0.69</v>
      </c>
    </row>
    <row r="455" spans="11:12" x14ac:dyDescent="0.35">
      <c r="K455" s="10" t="s">
        <v>695</v>
      </c>
      <c r="L455" s="4">
        <v>0.69</v>
      </c>
    </row>
    <row r="456" spans="11:12" x14ac:dyDescent="0.35">
      <c r="K456" s="10" t="s">
        <v>584</v>
      </c>
      <c r="L456" s="4">
        <v>0.69</v>
      </c>
    </row>
    <row r="457" spans="11:12" x14ac:dyDescent="0.35">
      <c r="K457" s="10" t="s">
        <v>846</v>
      </c>
      <c r="L457" s="4">
        <v>0.68</v>
      </c>
    </row>
    <row r="458" spans="11:12" x14ac:dyDescent="0.35">
      <c r="K458" s="10" t="s">
        <v>378</v>
      </c>
      <c r="L458" s="4">
        <v>0.68</v>
      </c>
    </row>
    <row r="459" spans="11:12" x14ac:dyDescent="0.35">
      <c r="K459" s="10" t="s">
        <v>708</v>
      </c>
      <c r="L459" s="4">
        <v>0.67</v>
      </c>
    </row>
    <row r="460" spans="11:12" x14ac:dyDescent="0.35">
      <c r="K460" s="10" t="s">
        <v>809</v>
      </c>
      <c r="L460" s="4">
        <v>0.67</v>
      </c>
    </row>
    <row r="461" spans="11:12" x14ac:dyDescent="0.35">
      <c r="K461" s="10" t="s">
        <v>615</v>
      </c>
      <c r="L461" s="4">
        <v>0.67</v>
      </c>
    </row>
    <row r="462" spans="11:12" x14ac:dyDescent="0.35">
      <c r="K462" s="10" t="s">
        <v>949</v>
      </c>
      <c r="L462" s="4">
        <v>0.67</v>
      </c>
    </row>
    <row r="463" spans="11:12" x14ac:dyDescent="0.35">
      <c r="K463" s="10" t="s">
        <v>575</v>
      </c>
      <c r="L463" s="4">
        <v>0.67</v>
      </c>
    </row>
    <row r="464" spans="11:12" x14ac:dyDescent="0.35">
      <c r="K464" s="10" t="s">
        <v>76</v>
      </c>
      <c r="L464" s="4">
        <v>0.66</v>
      </c>
    </row>
    <row r="465" spans="11:12" x14ac:dyDescent="0.35">
      <c r="K465" s="10" t="s">
        <v>283</v>
      </c>
      <c r="L465" s="4">
        <v>0.66</v>
      </c>
    </row>
    <row r="466" spans="11:12" x14ac:dyDescent="0.35">
      <c r="K466" s="10" t="s">
        <v>188</v>
      </c>
      <c r="L466" s="4">
        <v>0.66</v>
      </c>
    </row>
    <row r="467" spans="11:12" x14ac:dyDescent="0.35">
      <c r="K467" s="10" t="s">
        <v>582</v>
      </c>
      <c r="L467" s="4">
        <v>0.66</v>
      </c>
    </row>
    <row r="468" spans="11:12" x14ac:dyDescent="0.35">
      <c r="K468" s="10" t="s">
        <v>416</v>
      </c>
      <c r="L468" s="4">
        <v>0.66</v>
      </c>
    </row>
    <row r="469" spans="11:12" x14ac:dyDescent="0.35">
      <c r="K469" s="10" t="s">
        <v>815</v>
      </c>
      <c r="L469" s="4">
        <v>0.65</v>
      </c>
    </row>
    <row r="470" spans="11:12" x14ac:dyDescent="0.35">
      <c r="K470" s="10" t="s">
        <v>298</v>
      </c>
      <c r="L470" s="4">
        <v>0.65</v>
      </c>
    </row>
    <row r="471" spans="11:12" x14ac:dyDescent="0.35">
      <c r="K471" s="10" t="s">
        <v>508</v>
      </c>
      <c r="L471" s="4">
        <v>0.65</v>
      </c>
    </row>
    <row r="472" spans="11:12" x14ac:dyDescent="0.35">
      <c r="K472" s="10" t="s">
        <v>966</v>
      </c>
      <c r="L472" s="4">
        <v>0.65</v>
      </c>
    </row>
    <row r="473" spans="11:12" x14ac:dyDescent="0.35">
      <c r="K473" s="10" t="s">
        <v>889</v>
      </c>
      <c r="L473" s="4">
        <v>0.65</v>
      </c>
    </row>
    <row r="474" spans="11:12" x14ac:dyDescent="0.35">
      <c r="K474" s="10" t="s">
        <v>559</v>
      </c>
      <c r="L474" s="4">
        <v>0.65</v>
      </c>
    </row>
    <row r="475" spans="11:12" x14ac:dyDescent="0.35">
      <c r="K475" s="10" t="s">
        <v>133</v>
      </c>
      <c r="L475" s="4">
        <v>0.64</v>
      </c>
    </row>
    <row r="476" spans="11:12" x14ac:dyDescent="0.35">
      <c r="K476" s="10" t="s">
        <v>265</v>
      </c>
      <c r="L476" s="4">
        <v>0.64</v>
      </c>
    </row>
    <row r="477" spans="11:12" x14ac:dyDescent="0.35">
      <c r="K477" s="10" t="s">
        <v>25</v>
      </c>
      <c r="L477" s="4">
        <v>0.64</v>
      </c>
    </row>
    <row r="478" spans="11:12" x14ac:dyDescent="0.35">
      <c r="K478" s="10" t="s">
        <v>913</v>
      </c>
      <c r="L478" s="4">
        <v>0.64</v>
      </c>
    </row>
    <row r="479" spans="11:12" x14ac:dyDescent="0.35">
      <c r="K479" s="10" t="s">
        <v>148</v>
      </c>
      <c r="L479" s="4">
        <v>0.64</v>
      </c>
    </row>
    <row r="480" spans="11:12" x14ac:dyDescent="0.35">
      <c r="K480" s="10" t="s">
        <v>470</v>
      </c>
      <c r="L480" s="4">
        <v>0.64</v>
      </c>
    </row>
    <row r="481" spans="11:12" x14ac:dyDescent="0.35">
      <c r="K481" s="10" t="s">
        <v>454</v>
      </c>
      <c r="L481" s="4">
        <v>0.64</v>
      </c>
    </row>
    <row r="482" spans="11:12" x14ac:dyDescent="0.35">
      <c r="K482" s="10" t="s">
        <v>530</v>
      </c>
      <c r="L482" s="4">
        <v>0.64</v>
      </c>
    </row>
    <row r="483" spans="11:12" x14ac:dyDescent="0.35">
      <c r="K483" s="10" t="s">
        <v>576</v>
      </c>
      <c r="L483" s="4">
        <v>0.63</v>
      </c>
    </row>
    <row r="484" spans="11:12" x14ac:dyDescent="0.35">
      <c r="K484" s="10" t="s">
        <v>262</v>
      </c>
      <c r="L484" s="4">
        <v>0.63</v>
      </c>
    </row>
    <row r="485" spans="11:12" x14ac:dyDescent="0.35">
      <c r="K485" s="10" t="s">
        <v>417</v>
      </c>
      <c r="L485" s="4">
        <v>0.63</v>
      </c>
    </row>
    <row r="486" spans="11:12" x14ac:dyDescent="0.35">
      <c r="K486" s="10" t="s">
        <v>626</v>
      </c>
      <c r="L486" s="4">
        <v>0.63</v>
      </c>
    </row>
    <row r="487" spans="11:12" x14ac:dyDescent="0.35">
      <c r="K487" s="10" t="s">
        <v>36</v>
      </c>
      <c r="L487" s="4">
        <v>0.63</v>
      </c>
    </row>
    <row r="488" spans="11:12" x14ac:dyDescent="0.35">
      <c r="K488" s="10" t="s">
        <v>1028</v>
      </c>
      <c r="L488" s="4">
        <v>0.63</v>
      </c>
    </row>
    <row r="489" spans="11:12" x14ac:dyDescent="0.35">
      <c r="K489" s="10" t="s">
        <v>541</v>
      </c>
      <c r="L489" s="4">
        <v>0.63</v>
      </c>
    </row>
    <row r="490" spans="11:12" x14ac:dyDescent="0.35">
      <c r="K490" s="10" t="s">
        <v>175</v>
      </c>
      <c r="L490" s="4">
        <v>0.63</v>
      </c>
    </row>
    <row r="491" spans="11:12" x14ac:dyDescent="0.35">
      <c r="K491" s="10" t="s">
        <v>178</v>
      </c>
      <c r="L491" s="4">
        <v>0.63</v>
      </c>
    </row>
    <row r="492" spans="11:12" x14ac:dyDescent="0.35">
      <c r="K492" s="10" t="s">
        <v>755</v>
      </c>
      <c r="L492" s="4">
        <v>0.63</v>
      </c>
    </row>
    <row r="493" spans="11:12" x14ac:dyDescent="0.35">
      <c r="K493" s="10" t="s">
        <v>101</v>
      </c>
      <c r="L493" s="4">
        <v>0.63</v>
      </c>
    </row>
    <row r="494" spans="11:12" x14ac:dyDescent="0.35">
      <c r="K494" s="10" t="s">
        <v>838</v>
      </c>
      <c r="L494" s="4">
        <v>0.63</v>
      </c>
    </row>
    <row r="495" spans="11:12" x14ac:dyDescent="0.35">
      <c r="K495" s="10" t="s">
        <v>487</v>
      </c>
      <c r="L495" s="4">
        <v>0.62</v>
      </c>
    </row>
    <row r="496" spans="11:12" x14ac:dyDescent="0.35">
      <c r="K496" s="10" t="s">
        <v>380</v>
      </c>
      <c r="L496" s="4">
        <v>0.62</v>
      </c>
    </row>
    <row r="497" spans="11:12" x14ac:dyDescent="0.35">
      <c r="K497" s="10" t="s">
        <v>902</v>
      </c>
      <c r="L497" s="4">
        <v>0.62</v>
      </c>
    </row>
    <row r="498" spans="11:12" x14ac:dyDescent="0.35">
      <c r="K498" s="10" t="s">
        <v>527</v>
      </c>
      <c r="L498" s="4">
        <v>0.62</v>
      </c>
    </row>
    <row r="499" spans="11:12" x14ac:dyDescent="0.35">
      <c r="K499" s="10" t="s">
        <v>353</v>
      </c>
      <c r="L499" s="4">
        <v>0.62</v>
      </c>
    </row>
    <row r="500" spans="11:12" x14ac:dyDescent="0.35">
      <c r="K500" s="10" t="s">
        <v>509</v>
      </c>
      <c r="L500" s="4">
        <v>0.62</v>
      </c>
    </row>
    <row r="501" spans="11:12" x14ac:dyDescent="0.35">
      <c r="K501" s="10" t="s">
        <v>986</v>
      </c>
      <c r="L501" s="4">
        <v>0.61</v>
      </c>
    </row>
    <row r="502" spans="11:12" x14ac:dyDescent="0.35">
      <c r="K502" s="10" t="s">
        <v>389</v>
      </c>
      <c r="L502" s="4">
        <v>0.61</v>
      </c>
    </row>
    <row r="503" spans="11:12" x14ac:dyDescent="0.35">
      <c r="K503" s="10" t="s">
        <v>910</v>
      </c>
      <c r="L503" s="4">
        <v>0.61</v>
      </c>
    </row>
    <row r="504" spans="11:12" x14ac:dyDescent="0.35">
      <c r="K504" s="10" t="s">
        <v>460</v>
      </c>
      <c r="L504" s="4">
        <v>0.61</v>
      </c>
    </row>
    <row r="505" spans="11:12" x14ac:dyDescent="0.35">
      <c r="K505" s="10" t="s">
        <v>830</v>
      </c>
      <c r="L505" s="4">
        <v>0.6</v>
      </c>
    </row>
    <row r="506" spans="11:12" x14ac:dyDescent="0.35">
      <c r="K506" s="10" t="s">
        <v>106</v>
      </c>
      <c r="L506" s="4">
        <v>0.6</v>
      </c>
    </row>
    <row r="507" spans="11:12" x14ac:dyDescent="0.35">
      <c r="K507" s="10" t="s">
        <v>628</v>
      </c>
      <c r="L507" s="4">
        <v>0.6</v>
      </c>
    </row>
    <row r="508" spans="11:12" x14ac:dyDescent="0.35">
      <c r="K508" s="10" t="s">
        <v>906</v>
      </c>
      <c r="L508" s="4">
        <v>0.6</v>
      </c>
    </row>
    <row r="509" spans="11:12" x14ac:dyDescent="0.35">
      <c r="K509" s="10" t="s">
        <v>288</v>
      </c>
      <c r="L509" s="4">
        <v>0.6</v>
      </c>
    </row>
    <row r="510" spans="11:12" x14ac:dyDescent="0.35">
      <c r="K510" s="10" t="s">
        <v>501</v>
      </c>
      <c r="L510" s="4">
        <v>0.6</v>
      </c>
    </row>
    <row r="511" spans="11:12" x14ac:dyDescent="0.35">
      <c r="K511" s="10" t="s">
        <v>684</v>
      </c>
      <c r="L511" s="4">
        <v>0.59</v>
      </c>
    </row>
    <row r="512" spans="11:12" x14ac:dyDescent="0.35">
      <c r="K512" s="10" t="s">
        <v>362</v>
      </c>
      <c r="L512" s="4">
        <v>0.59</v>
      </c>
    </row>
    <row r="513" spans="11:12" x14ac:dyDescent="0.35">
      <c r="K513" s="10" t="s">
        <v>263</v>
      </c>
      <c r="L513" s="4">
        <v>0.59</v>
      </c>
    </row>
    <row r="514" spans="11:12" x14ac:dyDescent="0.35">
      <c r="K514" s="10" t="s">
        <v>994</v>
      </c>
      <c r="L514" s="4">
        <v>0.59</v>
      </c>
    </row>
    <row r="515" spans="11:12" x14ac:dyDescent="0.35">
      <c r="K515" s="10" t="s">
        <v>206</v>
      </c>
      <c r="L515" s="4">
        <v>0.59</v>
      </c>
    </row>
    <row r="516" spans="11:12" x14ac:dyDescent="0.35">
      <c r="K516" s="10" t="s">
        <v>625</v>
      </c>
      <c r="L516" s="4">
        <v>0.59</v>
      </c>
    </row>
    <row r="517" spans="11:12" x14ac:dyDescent="0.35">
      <c r="K517" s="10" t="s">
        <v>173</v>
      </c>
      <c r="L517" s="4">
        <v>0.59</v>
      </c>
    </row>
    <row r="518" spans="11:12" x14ac:dyDescent="0.35">
      <c r="K518" s="10" t="s">
        <v>1039</v>
      </c>
      <c r="L518" s="4">
        <v>0.59</v>
      </c>
    </row>
    <row r="519" spans="11:12" x14ac:dyDescent="0.35">
      <c r="K519" s="10" t="s">
        <v>744</v>
      </c>
      <c r="L519" s="4">
        <v>0.57999999999999996</v>
      </c>
    </row>
    <row r="520" spans="11:12" x14ac:dyDescent="0.35">
      <c r="K520" s="10" t="s">
        <v>329</v>
      </c>
      <c r="L520" s="4">
        <v>0.57999999999999996</v>
      </c>
    </row>
    <row r="521" spans="11:12" x14ac:dyDescent="0.35">
      <c r="K521" s="10" t="s">
        <v>282</v>
      </c>
      <c r="L521" s="4">
        <v>0.57999999999999996</v>
      </c>
    </row>
    <row r="522" spans="11:12" x14ac:dyDescent="0.35">
      <c r="K522" s="10" t="s">
        <v>397</v>
      </c>
      <c r="L522" s="4">
        <v>0.57999999999999996</v>
      </c>
    </row>
    <row r="523" spans="11:12" x14ac:dyDescent="0.35">
      <c r="K523" s="10" t="s">
        <v>786</v>
      </c>
      <c r="L523" s="4">
        <v>0.57999999999999996</v>
      </c>
    </row>
    <row r="524" spans="11:12" x14ac:dyDescent="0.35">
      <c r="K524" s="10" t="s">
        <v>257</v>
      </c>
      <c r="L524" s="4">
        <v>0.57999999999999996</v>
      </c>
    </row>
    <row r="525" spans="11:12" x14ac:dyDescent="0.35">
      <c r="K525" s="10" t="s">
        <v>186</v>
      </c>
      <c r="L525" s="4">
        <v>0.57999999999999996</v>
      </c>
    </row>
    <row r="526" spans="11:12" x14ac:dyDescent="0.35">
      <c r="K526" s="10" t="s">
        <v>449</v>
      </c>
      <c r="L526" s="4">
        <v>0.57999999999999996</v>
      </c>
    </row>
    <row r="527" spans="11:12" x14ac:dyDescent="0.35">
      <c r="K527" s="10" t="s">
        <v>915</v>
      </c>
      <c r="L527" s="4">
        <v>0.57999999999999996</v>
      </c>
    </row>
    <row r="528" spans="11:12" x14ac:dyDescent="0.35">
      <c r="K528" s="10" t="s">
        <v>302</v>
      </c>
      <c r="L528" s="4">
        <v>0.57999999999999996</v>
      </c>
    </row>
    <row r="529" spans="11:12" x14ac:dyDescent="0.35">
      <c r="K529" s="10" t="s">
        <v>605</v>
      </c>
      <c r="L529" s="4">
        <v>0.56999999999999995</v>
      </c>
    </row>
    <row r="530" spans="11:12" x14ac:dyDescent="0.35">
      <c r="K530" s="10" t="s">
        <v>646</v>
      </c>
      <c r="L530" s="4">
        <v>0.56999999999999995</v>
      </c>
    </row>
    <row r="531" spans="11:12" x14ac:dyDescent="0.35">
      <c r="K531" s="10" t="s">
        <v>571</v>
      </c>
      <c r="L531" s="4">
        <v>0.56999999999999995</v>
      </c>
    </row>
    <row r="532" spans="11:12" x14ac:dyDescent="0.35">
      <c r="K532" s="10" t="s">
        <v>395</v>
      </c>
      <c r="L532" s="4">
        <v>0.56999999999999995</v>
      </c>
    </row>
    <row r="533" spans="11:12" x14ac:dyDescent="0.35">
      <c r="K533" s="10" t="s">
        <v>414</v>
      </c>
      <c r="L533" s="4">
        <v>0.56999999999999995</v>
      </c>
    </row>
    <row r="534" spans="11:12" x14ac:dyDescent="0.35">
      <c r="K534" s="10" t="s">
        <v>954</v>
      </c>
      <c r="L534" s="4">
        <v>0.56999999999999995</v>
      </c>
    </row>
    <row r="535" spans="11:12" x14ac:dyDescent="0.35">
      <c r="K535" s="10" t="s">
        <v>580</v>
      </c>
      <c r="L535" s="4">
        <v>0.56999999999999995</v>
      </c>
    </row>
    <row r="536" spans="11:12" x14ac:dyDescent="0.35">
      <c r="K536" s="10" t="s">
        <v>295</v>
      </c>
      <c r="L536" s="4">
        <v>0.56000000000000005</v>
      </c>
    </row>
    <row r="537" spans="11:12" x14ac:dyDescent="0.35">
      <c r="K537" s="10" t="s">
        <v>1010</v>
      </c>
      <c r="L537" s="4">
        <v>0.56000000000000005</v>
      </c>
    </row>
    <row r="538" spans="11:12" x14ac:dyDescent="0.35">
      <c r="K538" s="10" t="s">
        <v>805</v>
      </c>
      <c r="L538" s="4">
        <v>0.56000000000000005</v>
      </c>
    </row>
    <row r="539" spans="11:12" x14ac:dyDescent="0.35">
      <c r="K539" s="10" t="s">
        <v>737</v>
      </c>
      <c r="L539" s="4">
        <v>0.56000000000000005</v>
      </c>
    </row>
    <row r="540" spans="11:12" x14ac:dyDescent="0.35">
      <c r="K540" s="10" t="s">
        <v>485</v>
      </c>
      <c r="L540" s="4">
        <v>0.56000000000000005</v>
      </c>
    </row>
    <row r="541" spans="11:12" x14ac:dyDescent="0.35">
      <c r="K541" s="10" t="s">
        <v>311</v>
      </c>
      <c r="L541" s="4">
        <v>0.56000000000000005</v>
      </c>
    </row>
    <row r="542" spans="11:12" x14ac:dyDescent="0.35">
      <c r="K542" s="10" t="s">
        <v>28</v>
      </c>
      <c r="L542" s="4">
        <v>0.56000000000000005</v>
      </c>
    </row>
    <row r="543" spans="11:12" x14ac:dyDescent="0.35">
      <c r="K543" s="10" t="s">
        <v>811</v>
      </c>
      <c r="L543" s="4">
        <v>0.56000000000000005</v>
      </c>
    </row>
    <row r="544" spans="11:12" x14ac:dyDescent="0.35">
      <c r="K544" s="10" t="s">
        <v>620</v>
      </c>
      <c r="L544" s="4">
        <v>0.56000000000000005</v>
      </c>
    </row>
    <row r="545" spans="11:12" x14ac:dyDescent="0.35">
      <c r="K545" s="10" t="s">
        <v>914</v>
      </c>
      <c r="L545" s="4">
        <v>0.56000000000000005</v>
      </c>
    </row>
    <row r="546" spans="11:12" x14ac:dyDescent="0.35">
      <c r="K546" s="10" t="s">
        <v>1023</v>
      </c>
      <c r="L546" s="4">
        <v>0.56000000000000005</v>
      </c>
    </row>
    <row r="547" spans="11:12" x14ac:dyDescent="0.35">
      <c r="K547" s="10" t="s">
        <v>153</v>
      </c>
      <c r="L547" s="4">
        <v>0.55000000000000004</v>
      </c>
    </row>
    <row r="548" spans="11:12" x14ac:dyDescent="0.35">
      <c r="K548" s="10" t="s">
        <v>168</v>
      </c>
      <c r="L548" s="4">
        <v>0.55000000000000004</v>
      </c>
    </row>
    <row r="549" spans="11:12" x14ac:dyDescent="0.35">
      <c r="K549" s="10" t="s">
        <v>107</v>
      </c>
      <c r="L549" s="4">
        <v>0.55000000000000004</v>
      </c>
    </row>
    <row r="550" spans="11:12" x14ac:dyDescent="0.35">
      <c r="K550" s="10" t="s">
        <v>642</v>
      </c>
      <c r="L550" s="4">
        <v>0.55000000000000004</v>
      </c>
    </row>
    <row r="551" spans="11:12" x14ac:dyDescent="0.35">
      <c r="K551" s="10" t="s">
        <v>209</v>
      </c>
      <c r="L551" s="4">
        <v>0.55000000000000004</v>
      </c>
    </row>
    <row r="552" spans="11:12" x14ac:dyDescent="0.35">
      <c r="K552" s="10" t="s">
        <v>504</v>
      </c>
      <c r="L552" s="4">
        <v>0.55000000000000004</v>
      </c>
    </row>
    <row r="553" spans="11:12" x14ac:dyDescent="0.35">
      <c r="K553" s="10" t="s">
        <v>775</v>
      </c>
      <c r="L553" s="4">
        <v>0.55000000000000004</v>
      </c>
    </row>
    <row r="554" spans="11:12" x14ac:dyDescent="0.35">
      <c r="K554" s="10" t="s">
        <v>277</v>
      </c>
      <c r="L554" s="4">
        <v>0.54</v>
      </c>
    </row>
    <row r="555" spans="11:12" x14ac:dyDescent="0.35">
      <c r="K555" s="10" t="s">
        <v>516</v>
      </c>
      <c r="L555" s="4">
        <v>0.54</v>
      </c>
    </row>
    <row r="556" spans="11:12" x14ac:dyDescent="0.35">
      <c r="K556" s="10" t="s">
        <v>200</v>
      </c>
      <c r="L556" s="4">
        <v>0.54</v>
      </c>
    </row>
    <row r="557" spans="11:12" x14ac:dyDescent="0.35">
      <c r="K557" s="10" t="s">
        <v>740</v>
      </c>
      <c r="L557" s="4">
        <v>0.54</v>
      </c>
    </row>
    <row r="558" spans="11:12" x14ac:dyDescent="0.35">
      <c r="K558" s="10" t="s">
        <v>694</v>
      </c>
      <c r="L558" s="4">
        <v>0.54</v>
      </c>
    </row>
    <row r="559" spans="11:12" x14ac:dyDescent="0.35">
      <c r="K559" s="10" t="s">
        <v>666</v>
      </c>
      <c r="L559" s="4">
        <v>0.54</v>
      </c>
    </row>
    <row r="560" spans="11:12" x14ac:dyDescent="0.35">
      <c r="K560" s="10" t="s">
        <v>436</v>
      </c>
      <c r="L560" s="4">
        <v>0.54</v>
      </c>
    </row>
    <row r="561" spans="11:12" x14ac:dyDescent="0.35">
      <c r="K561" s="10" t="s">
        <v>440</v>
      </c>
      <c r="L561" s="4">
        <v>0.54</v>
      </c>
    </row>
    <row r="562" spans="11:12" x14ac:dyDescent="0.35">
      <c r="K562" s="10" t="s">
        <v>939</v>
      </c>
      <c r="L562" s="4">
        <v>0.54</v>
      </c>
    </row>
    <row r="563" spans="11:12" x14ac:dyDescent="0.35">
      <c r="K563" s="10" t="s">
        <v>847</v>
      </c>
      <c r="L563" s="4">
        <v>0.53</v>
      </c>
    </row>
    <row r="564" spans="11:12" x14ac:dyDescent="0.35">
      <c r="K564" s="10" t="s">
        <v>579</v>
      </c>
      <c r="L564" s="4">
        <v>0.53</v>
      </c>
    </row>
    <row r="565" spans="11:12" x14ac:dyDescent="0.35">
      <c r="K565" s="10" t="s">
        <v>478</v>
      </c>
      <c r="L565" s="4">
        <v>0.53</v>
      </c>
    </row>
    <row r="566" spans="11:12" x14ac:dyDescent="0.35">
      <c r="K566" s="10" t="s">
        <v>557</v>
      </c>
      <c r="L566" s="4">
        <v>0.52</v>
      </c>
    </row>
    <row r="567" spans="11:12" x14ac:dyDescent="0.35">
      <c r="K567" s="10" t="s">
        <v>399</v>
      </c>
      <c r="L567" s="4">
        <v>0.52</v>
      </c>
    </row>
    <row r="568" spans="11:12" x14ac:dyDescent="0.35">
      <c r="K568" s="10" t="s">
        <v>888</v>
      </c>
      <c r="L568" s="4">
        <v>0.52</v>
      </c>
    </row>
    <row r="569" spans="11:12" x14ac:dyDescent="0.35">
      <c r="K569" s="10" t="s">
        <v>428</v>
      </c>
      <c r="L569" s="4">
        <v>0.52</v>
      </c>
    </row>
    <row r="570" spans="11:12" x14ac:dyDescent="0.35">
      <c r="K570" s="10" t="s">
        <v>444</v>
      </c>
      <c r="L570" s="4">
        <v>0.52</v>
      </c>
    </row>
    <row r="571" spans="11:12" x14ac:dyDescent="0.35">
      <c r="K571" s="10" t="s">
        <v>597</v>
      </c>
      <c r="L571" s="4">
        <v>0.52</v>
      </c>
    </row>
    <row r="572" spans="11:12" x14ac:dyDescent="0.35">
      <c r="K572" s="10" t="s">
        <v>350</v>
      </c>
      <c r="L572" s="4">
        <v>0.51</v>
      </c>
    </row>
    <row r="573" spans="11:12" x14ac:dyDescent="0.35">
      <c r="K573" s="10" t="s">
        <v>469</v>
      </c>
      <c r="L573" s="4">
        <v>0.51</v>
      </c>
    </row>
    <row r="574" spans="11:12" x14ac:dyDescent="0.35">
      <c r="K574" s="10" t="s">
        <v>566</v>
      </c>
      <c r="L574" s="4">
        <v>0.51</v>
      </c>
    </row>
    <row r="575" spans="11:12" x14ac:dyDescent="0.35">
      <c r="K575" s="10" t="s">
        <v>207</v>
      </c>
      <c r="L575" s="4">
        <v>0.51</v>
      </c>
    </row>
    <row r="576" spans="11:12" x14ac:dyDescent="0.35">
      <c r="K576" s="10" t="s">
        <v>539</v>
      </c>
      <c r="L576" s="4">
        <v>0.51</v>
      </c>
    </row>
    <row r="577" spans="11:12" x14ac:dyDescent="0.35">
      <c r="K577" s="10" t="s">
        <v>729</v>
      </c>
      <c r="L577" s="4">
        <v>0.5</v>
      </c>
    </row>
    <row r="578" spans="11:12" x14ac:dyDescent="0.35">
      <c r="K578" s="10" t="s">
        <v>661</v>
      </c>
      <c r="L578" s="4">
        <v>0.5</v>
      </c>
    </row>
    <row r="579" spans="11:12" x14ac:dyDescent="0.35">
      <c r="K579" s="10" t="s">
        <v>266</v>
      </c>
      <c r="L579" s="4">
        <v>0.5</v>
      </c>
    </row>
    <row r="580" spans="11:12" x14ac:dyDescent="0.35">
      <c r="K580" s="10" t="s">
        <v>877</v>
      </c>
      <c r="L580" s="4">
        <v>0.5</v>
      </c>
    </row>
    <row r="581" spans="11:12" x14ac:dyDescent="0.35">
      <c r="K581" s="10" t="s">
        <v>693</v>
      </c>
      <c r="L581" s="4">
        <v>0.5</v>
      </c>
    </row>
    <row r="582" spans="11:12" x14ac:dyDescent="0.35">
      <c r="K582" s="10" t="s">
        <v>707</v>
      </c>
      <c r="L582" s="4">
        <v>0.5</v>
      </c>
    </row>
    <row r="583" spans="11:12" x14ac:dyDescent="0.35">
      <c r="K583" s="10" t="s">
        <v>603</v>
      </c>
      <c r="L583" s="4">
        <v>0.5</v>
      </c>
    </row>
    <row r="584" spans="11:12" x14ac:dyDescent="0.35">
      <c r="K584" s="10" t="s">
        <v>388</v>
      </c>
      <c r="L584" s="4">
        <v>0.5</v>
      </c>
    </row>
    <row r="585" spans="11:12" x14ac:dyDescent="0.35">
      <c r="K585" s="10" t="s">
        <v>131</v>
      </c>
      <c r="L585" s="4">
        <v>0.49</v>
      </c>
    </row>
    <row r="586" spans="11:12" x14ac:dyDescent="0.35">
      <c r="K586" s="10" t="s">
        <v>734</v>
      </c>
      <c r="L586" s="4">
        <v>0.49</v>
      </c>
    </row>
    <row r="587" spans="11:12" x14ac:dyDescent="0.35">
      <c r="K587" s="10" t="s">
        <v>813</v>
      </c>
      <c r="L587" s="4">
        <v>0.49</v>
      </c>
    </row>
    <row r="588" spans="11:12" x14ac:dyDescent="0.35">
      <c r="K588" s="10" t="s">
        <v>621</v>
      </c>
      <c r="L588" s="4">
        <v>0.49</v>
      </c>
    </row>
    <row r="589" spans="11:12" x14ac:dyDescent="0.35">
      <c r="K589" s="10" t="s">
        <v>105</v>
      </c>
      <c r="L589" s="4">
        <v>0.49</v>
      </c>
    </row>
    <row r="590" spans="11:12" x14ac:dyDescent="0.35">
      <c r="K590" s="10" t="s">
        <v>594</v>
      </c>
      <c r="L590" s="4">
        <v>0.49</v>
      </c>
    </row>
    <row r="591" spans="11:12" x14ac:dyDescent="0.35">
      <c r="K591" s="10" t="s">
        <v>177</v>
      </c>
      <c r="L591" s="4">
        <v>0.49</v>
      </c>
    </row>
    <row r="592" spans="11:12" x14ac:dyDescent="0.35">
      <c r="K592" s="10" t="s">
        <v>833</v>
      </c>
      <c r="L592" s="4">
        <v>0.49</v>
      </c>
    </row>
    <row r="593" spans="11:12" x14ac:dyDescent="0.35">
      <c r="K593" s="10" t="s">
        <v>290</v>
      </c>
      <c r="L593" s="4">
        <v>0.49</v>
      </c>
    </row>
    <row r="594" spans="11:12" x14ac:dyDescent="0.35">
      <c r="K594" s="10" t="s">
        <v>735</v>
      </c>
      <c r="L594" s="4">
        <v>0.49</v>
      </c>
    </row>
    <row r="595" spans="11:12" x14ac:dyDescent="0.35">
      <c r="K595" s="10" t="s">
        <v>234</v>
      </c>
      <c r="L595" s="4">
        <v>0.49</v>
      </c>
    </row>
    <row r="596" spans="11:12" x14ac:dyDescent="0.35">
      <c r="K596" s="10" t="s">
        <v>821</v>
      </c>
      <c r="L596" s="4">
        <v>0.48</v>
      </c>
    </row>
    <row r="597" spans="11:12" x14ac:dyDescent="0.35">
      <c r="K597" s="10" t="s">
        <v>637</v>
      </c>
      <c r="L597" s="4">
        <v>0.48</v>
      </c>
    </row>
    <row r="598" spans="11:12" x14ac:dyDescent="0.35">
      <c r="K598" s="10" t="s">
        <v>618</v>
      </c>
      <c r="L598" s="4">
        <v>0.48</v>
      </c>
    </row>
    <row r="599" spans="11:12" x14ac:dyDescent="0.35">
      <c r="K599" s="10" t="s">
        <v>608</v>
      </c>
      <c r="L599" s="4">
        <v>0.48</v>
      </c>
    </row>
    <row r="600" spans="11:12" x14ac:dyDescent="0.35">
      <c r="K600" s="10" t="s">
        <v>287</v>
      </c>
      <c r="L600" s="4">
        <v>0.48</v>
      </c>
    </row>
    <row r="601" spans="11:12" x14ac:dyDescent="0.35">
      <c r="K601" s="10" t="s">
        <v>386</v>
      </c>
      <c r="L601" s="4">
        <v>0.48</v>
      </c>
    </row>
    <row r="602" spans="11:12" x14ac:dyDescent="0.35">
      <c r="K602" s="10" t="s">
        <v>217</v>
      </c>
      <c r="L602" s="4">
        <v>0.47</v>
      </c>
    </row>
    <row r="603" spans="11:12" x14ac:dyDescent="0.35">
      <c r="K603" s="10" t="s">
        <v>829</v>
      </c>
      <c r="L603" s="4">
        <v>0.47</v>
      </c>
    </row>
    <row r="604" spans="11:12" x14ac:dyDescent="0.35">
      <c r="K604" s="10" t="s">
        <v>35</v>
      </c>
      <c r="L604" s="4">
        <v>0.47</v>
      </c>
    </row>
    <row r="605" spans="11:12" x14ac:dyDescent="0.35">
      <c r="K605" s="10" t="s">
        <v>495</v>
      </c>
      <c r="L605" s="4">
        <v>0.47</v>
      </c>
    </row>
    <row r="606" spans="11:12" x14ac:dyDescent="0.35">
      <c r="K606" s="10" t="s">
        <v>891</v>
      </c>
      <c r="L606" s="4">
        <v>0.47</v>
      </c>
    </row>
    <row r="607" spans="11:12" x14ac:dyDescent="0.35">
      <c r="K607" s="10" t="s">
        <v>931</v>
      </c>
      <c r="L607" s="4">
        <v>0.47</v>
      </c>
    </row>
    <row r="608" spans="11:12" x14ac:dyDescent="0.35">
      <c r="K608" s="10" t="s">
        <v>818</v>
      </c>
      <c r="L608" s="4">
        <v>0.47</v>
      </c>
    </row>
    <row r="609" spans="11:12" x14ac:dyDescent="0.35">
      <c r="K609" s="10" t="s">
        <v>75</v>
      </c>
      <c r="L609" s="4">
        <v>0.47</v>
      </c>
    </row>
    <row r="610" spans="11:12" x14ac:dyDescent="0.35">
      <c r="K610" s="10" t="s">
        <v>347</v>
      </c>
      <c r="L610" s="4">
        <v>0.46</v>
      </c>
    </row>
    <row r="611" spans="11:12" x14ac:dyDescent="0.35">
      <c r="K611" s="10" t="s">
        <v>252</v>
      </c>
      <c r="L611" s="4">
        <v>0.46</v>
      </c>
    </row>
    <row r="612" spans="11:12" x14ac:dyDescent="0.35">
      <c r="K612" s="10" t="s">
        <v>837</v>
      </c>
      <c r="L612" s="4">
        <v>0.46</v>
      </c>
    </row>
    <row r="613" spans="11:12" x14ac:dyDescent="0.35">
      <c r="K613" s="10" t="s">
        <v>166</v>
      </c>
      <c r="L613" s="4">
        <v>0.46</v>
      </c>
    </row>
    <row r="614" spans="11:12" x14ac:dyDescent="0.35">
      <c r="K614" s="10" t="s">
        <v>228</v>
      </c>
      <c r="L614" s="4">
        <v>0.46</v>
      </c>
    </row>
    <row r="615" spans="11:12" x14ac:dyDescent="0.35">
      <c r="K615" s="10" t="s">
        <v>219</v>
      </c>
      <c r="L615" s="4">
        <v>0.46</v>
      </c>
    </row>
    <row r="616" spans="11:12" x14ac:dyDescent="0.35">
      <c r="K616" s="10" t="s">
        <v>330</v>
      </c>
      <c r="L616" s="4">
        <v>0.46</v>
      </c>
    </row>
    <row r="617" spans="11:12" x14ac:dyDescent="0.35">
      <c r="K617" s="10" t="s">
        <v>930</v>
      </c>
      <c r="L617" s="4">
        <v>0.45</v>
      </c>
    </row>
    <row r="618" spans="11:12" x14ac:dyDescent="0.35">
      <c r="K618" s="10" t="s">
        <v>525</v>
      </c>
      <c r="L618" s="4">
        <v>0.45</v>
      </c>
    </row>
    <row r="619" spans="11:12" x14ac:dyDescent="0.35">
      <c r="K619" s="10" t="s">
        <v>78</v>
      </c>
      <c r="L619" s="4">
        <v>0.45</v>
      </c>
    </row>
    <row r="620" spans="11:12" x14ac:dyDescent="0.35">
      <c r="K620" s="10" t="s">
        <v>533</v>
      </c>
      <c r="L620" s="4">
        <v>0.45</v>
      </c>
    </row>
    <row r="621" spans="11:12" x14ac:dyDescent="0.35">
      <c r="K621" s="10" t="s">
        <v>964</v>
      </c>
      <c r="L621" s="4">
        <v>0.45</v>
      </c>
    </row>
    <row r="622" spans="11:12" x14ac:dyDescent="0.35">
      <c r="K622" s="10" t="s">
        <v>81</v>
      </c>
      <c r="L622" s="4">
        <v>0.45</v>
      </c>
    </row>
    <row r="623" spans="11:12" x14ac:dyDescent="0.35">
      <c r="K623" s="10" t="s">
        <v>917</v>
      </c>
      <c r="L623" s="4">
        <v>0.45</v>
      </c>
    </row>
    <row r="624" spans="11:12" x14ac:dyDescent="0.35">
      <c r="K624" s="10" t="s">
        <v>89</v>
      </c>
      <c r="L624" s="4">
        <v>0.45</v>
      </c>
    </row>
    <row r="625" spans="11:12" x14ac:dyDescent="0.35">
      <c r="K625" s="10" t="s">
        <v>239</v>
      </c>
      <c r="L625" s="4">
        <v>0.45</v>
      </c>
    </row>
    <row r="626" spans="11:12" x14ac:dyDescent="0.35">
      <c r="K626" s="10" t="s">
        <v>927</v>
      </c>
      <c r="L626" s="4">
        <v>0.44</v>
      </c>
    </row>
    <row r="627" spans="11:12" x14ac:dyDescent="0.35">
      <c r="K627" s="10" t="s">
        <v>884</v>
      </c>
      <c r="L627" s="4">
        <v>0.44</v>
      </c>
    </row>
    <row r="628" spans="11:12" x14ac:dyDescent="0.35">
      <c r="K628" s="10" t="s">
        <v>901</v>
      </c>
      <c r="L628" s="4">
        <v>0.44</v>
      </c>
    </row>
    <row r="629" spans="11:12" x14ac:dyDescent="0.35">
      <c r="K629" s="10" t="s">
        <v>656</v>
      </c>
      <c r="L629" s="4">
        <v>0.44</v>
      </c>
    </row>
    <row r="630" spans="11:12" x14ac:dyDescent="0.35">
      <c r="K630" s="10" t="s">
        <v>258</v>
      </c>
      <c r="L630" s="4">
        <v>0.44</v>
      </c>
    </row>
    <row r="631" spans="11:12" x14ac:dyDescent="0.35">
      <c r="K631" s="10" t="s">
        <v>122</v>
      </c>
      <c r="L631" s="4">
        <v>0.44</v>
      </c>
    </row>
    <row r="632" spans="11:12" x14ac:dyDescent="0.35">
      <c r="K632" s="10" t="s">
        <v>547</v>
      </c>
      <c r="L632" s="4">
        <v>0.44</v>
      </c>
    </row>
    <row r="633" spans="11:12" x14ac:dyDescent="0.35">
      <c r="K633" s="10" t="s">
        <v>267</v>
      </c>
      <c r="L633" s="4">
        <v>0.43</v>
      </c>
    </row>
    <row r="634" spans="11:12" x14ac:dyDescent="0.35">
      <c r="K634" s="10" t="s">
        <v>422</v>
      </c>
      <c r="L634" s="4">
        <v>0.43</v>
      </c>
    </row>
    <row r="635" spans="11:12" x14ac:dyDescent="0.35">
      <c r="K635" s="10" t="s">
        <v>886</v>
      </c>
      <c r="L635" s="4">
        <v>0.43</v>
      </c>
    </row>
    <row r="636" spans="11:12" x14ac:dyDescent="0.35">
      <c r="K636" s="10" t="s">
        <v>97</v>
      </c>
      <c r="L636" s="4">
        <v>0.43</v>
      </c>
    </row>
    <row r="637" spans="11:12" x14ac:dyDescent="0.35">
      <c r="K637" s="10" t="s">
        <v>468</v>
      </c>
      <c r="L637" s="4">
        <v>0.43</v>
      </c>
    </row>
    <row r="638" spans="11:12" x14ac:dyDescent="0.35">
      <c r="K638" s="10" t="s">
        <v>752</v>
      </c>
      <c r="L638" s="4">
        <v>0.43</v>
      </c>
    </row>
    <row r="639" spans="11:12" x14ac:dyDescent="0.35">
      <c r="K639" s="10" t="s">
        <v>349</v>
      </c>
      <c r="L639" s="4">
        <v>0.43</v>
      </c>
    </row>
    <row r="640" spans="11:12" x14ac:dyDescent="0.35">
      <c r="K640" s="10" t="s">
        <v>408</v>
      </c>
      <c r="L640" s="4">
        <v>0.43</v>
      </c>
    </row>
    <row r="641" spans="11:12" x14ac:dyDescent="0.35">
      <c r="K641" s="10" t="s">
        <v>61</v>
      </c>
      <c r="L641" s="4">
        <v>0.43</v>
      </c>
    </row>
    <row r="642" spans="11:12" x14ac:dyDescent="0.35">
      <c r="K642" s="10" t="s">
        <v>467</v>
      </c>
      <c r="L642" s="4">
        <v>0.43</v>
      </c>
    </row>
    <row r="643" spans="11:12" x14ac:dyDescent="0.35">
      <c r="K643" s="10" t="s">
        <v>810</v>
      </c>
      <c r="L643" s="4">
        <v>0.43</v>
      </c>
    </row>
    <row r="644" spans="11:12" x14ac:dyDescent="0.35">
      <c r="K644" s="10" t="s">
        <v>665</v>
      </c>
      <c r="L644" s="4">
        <v>0.42</v>
      </c>
    </row>
    <row r="645" spans="11:12" x14ac:dyDescent="0.35">
      <c r="K645" s="10" t="s">
        <v>1016</v>
      </c>
      <c r="L645" s="4">
        <v>0.42</v>
      </c>
    </row>
    <row r="646" spans="11:12" x14ac:dyDescent="0.35">
      <c r="K646" s="10" t="s">
        <v>464</v>
      </c>
      <c r="L646" s="4">
        <v>0.42</v>
      </c>
    </row>
    <row r="647" spans="11:12" x14ac:dyDescent="0.35">
      <c r="K647" s="10" t="s">
        <v>292</v>
      </c>
      <c r="L647" s="4">
        <v>0.42</v>
      </c>
    </row>
    <row r="648" spans="11:12" x14ac:dyDescent="0.35">
      <c r="K648" s="10" t="s">
        <v>450</v>
      </c>
      <c r="L648" s="4">
        <v>0.42</v>
      </c>
    </row>
    <row r="649" spans="11:12" x14ac:dyDescent="0.35">
      <c r="K649" s="10" t="s">
        <v>240</v>
      </c>
      <c r="L649" s="4">
        <v>0.42</v>
      </c>
    </row>
    <row r="650" spans="11:12" x14ac:dyDescent="0.35">
      <c r="K650" s="10" t="s">
        <v>798</v>
      </c>
      <c r="L650" s="4">
        <v>0.42</v>
      </c>
    </row>
    <row r="651" spans="11:12" x14ac:dyDescent="0.35">
      <c r="K651" s="10" t="s">
        <v>429</v>
      </c>
      <c r="L651" s="4">
        <v>0.42</v>
      </c>
    </row>
    <row r="652" spans="11:12" x14ac:dyDescent="0.35">
      <c r="K652" s="10" t="s">
        <v>230</v>
      </c>
      <c r="L652" s="4">
        <v>0.42</v>
      </c>
    </row>
    <row r="653" spans="11:12" x14ac:dyDescent="0.35">
      <c r="K653" s="10" t="s">
        <v>220</v>
      </c>
      <c r="L653" s="4">
        <v>0.42</v>
      </c>
    </row>
    <row r="654" spans="11:12" x14ac:dyDescent="0.35">
      <c r="K654" s="10" t="s">
        <v>980</v>
      </c>
      <c r="L654" s="4">
        <v>0.42</v>
      </c>
    </row>
    <row r="655" spans="11:12" x14ac:dyDescent="0.35">
      <c r="K655" s="10" t="s">
        <v>699</v>
      </c>
      <c r="L655" s="4">
        <v>0.41</v>
      </c>
    </row>
    <row r="656" spans="11:12" x14ac:dyDescent="0.35">
      <c r="K656" s="10" t="s">
        <v>85</v>
      </c>
      <c r="L656" s="4">
        <v>0.41</v>
      </c>
    </row>
    <row r="657" spans="11:12" x14ac:dyDescent="0.35">
      <c r="K657" s="10" t="s">
        <v>381</v>
      </c>
      <c r="L657" s="4">
        <v>0.41</v>
      </c>
    </row>
    <row r="658" spans="11:12" x14ac:dyDescent="0.35">
      <c r="K658" s="10" t="s">
        <v>731</v>
      </c>
      <c r="L658" s="4">
        <v>0.41</v>
      </c>
    </row>
    <row r="659" spans="11:12" x14ac:dyDescent="0.35">
      <c r="K659" s="10" t="s">
        <v>488</v>
      </c>
      <c r="L659" s="4">
        <v>0.41</v>
      </c>
    </row>
    <row r="660" spans="11:12" x14ac:dyDescent="0.35">
      <c r="K660" s="10" t="s">
        <v>425</v>
      </c>
      <c r="L660" s="4">
        <v>0.41</v>
      </c>
    </row>
    <row r="661" spans="11:12" x14ac:dyDescent="0.35">
      <c r="K661" s="10" t="s">
        <v>733</v>
      </c>
      <c r="L661" s="4">
        <v>0.41</v>
      </c>
    </row>
    <row r="662" spans="11:12" x14ac:dyDescent="0.35">
      <c r="K662" s="10" t="s">
        <v>340</v>
      </c>
      <c r="L662" s="4">
        <v>0.41</v>
      </c>
    </row>
    <row r="663" spans="11:12" x14ac:dyDescent="0.35">
      <c r="K663" s="10" t="s">
        <v>828</v>
      </c>
      <c r="L663" s="4">
        <v>0.41</v>
      </c>
    </row>
    <row r="664" spans="11:12" x14ac:dyDescent="0.35">
      <c r="K664" s="10" t="s">
        <v>140</v>
      </c>
      <c r="L664" s="4">
        <v>0.41</v>
      </c>
    </row>
    <row r="665" spans="11:12" x14ac:dyDescent="0.35">
      <c r="K665" s="10" t="s">
        <v>933</v>
      </c>
      <c r="L665" s="4">
        <v>0.41</v>
      </c>
    </row>
    <row r="666" spans="11:12" x14ac:dyDescent="0.35">
      <c r="K666" s="10" t="s">
        <v>366</v>
      </c>
      <c r="L666" s="4">
        <v>0.41</v>
      </c>
    </row>
    <row r="667" spans="11:12" x14ac:dyDescent="0.35">
      <c r="K667" s="10" t="s">
        <v>623</v>
      </c>
      <c r="L667" s="4">
        <v>0.41</v>
      </c>
    </row>
    <row r="668" spans="11:12" x14ac:dyDescent="0.35">
      <c r="K668" s="10" t="s">
        <v>256</v>
      </c>
      <c r="L668" s="4">
        <v>0.41</v>
      </c>
    </row>
    <row r="669" spans="11:12" x14ac:dyDescent="0.35">
      <c r="K669" s="10" t="s">
        <v>314</v>
      </c>
      <c r="L669" s="4">
        <v>0.4</v>
      </c>
    </row>
    <row r="670" spans="11:12" x14ac:dyDescent="0.35">
      <c r="K670" s="10" t="s">
        <v>382</v>
      </c>
      <c r="L670" s="4">
        <v>0.4</v>
      </c>
    </row>
    <row r="671" spans="11:12" x14ac:dyDescent="0.35">
      <c r="K671" s="10" t="s">
        <v>950</v>
      </c>
      <c r="L671" s="4">
        <v>0.4</v>
      </c>
    </row>
    <row r="672" spans="11:12" x14ac:dyDescent="0.35">
      <c r="K672" s="10" t="s">
        <v>494</v>
      </c>
      <c r="L672" s="4">
        <v>0.4</v>
      </c>
    </row>
    <row r="673" spans="11:12" x14ac:dyDescent="0.35">
      <c r="K673" s="10" t="s">
        <v>908</v>
      </c>
      <c r="L673" s="4">
        <v>0.4</v>
      </c>
    </row>
    <row r="674" spans="11:12" x14ac:dyDescent="0.35">
      <c r="K674" s="10" t="s">
        <v>748</v>
      </c>
      <c r="L674" s="4">
        <v>0.4</v>
      </c>
    </row>
    <row r="675" spans="11:12" x14ac:dyDescent="0.35">
      <c r="K675" s="10" t="s">
        <v>924</v>
      </c>
      <c r="L675" s="4">
        <v>0.39</v>
      </c>
    </row>
    <row r="676" spans="11:12" x14ac:dyDescent="0.35">
      <c r="K676" s="10" t="s">
        <v>710</v>
      </c>
      <c r="L676" s="4">
        <v>0.39</v>
      </c>
    </row>
    <row r="677" spans="11:12" x14ac:dyDescent="0.35">
      <c r="K677" s="10" t="s">
        <v>94</v>
      </c>
      <c r="L677" s="4">
        <v>0.39</v>
      </c>
    </row>
    <row r="678" spans="11:12" x14ac:dyDescent="0.35">
      <c r="K678" s="10" t="s">
        <v>937</v>
      </c>
      <c r="L678" s="4">
        <v>0.39</v>
      </c>
    </row>
    <row r="679" spans="11:12" x14ac:dyDescent="0.35">
      <c r="K679" s="10" t="s">
        <v>356</v>
      </c>
      <c r="L679" s="4">
        <v>0.39</v>
      </c>
    </row>
    <row r="680" spans="11:12" x14ac:dyDescent="0.35">
      <c r="K680" s="10" t="s">
        <v>834</v>
      </c>
      <c r="L680" s="4">
        <v>0.39</v>
      </c>
    </row>
    <row r="681" spans="11:12" x14ac:dyDescent="0.35">
      <c r="K681" s="10" t="s">
        <v>593</v>
      </c>
      <c r="L681" s="4">
        <v>0.39</v>
      </c>
    </row>
    <row r="682" spans="11:12" x14ac:dyDescent="0.35">
      <c r="K682" s="10" t="s">
        <v>212</v>
      </c>
      <c r="L682" s="4">
        <v>0.39</v>
      </c>
    </row>
    <row r="683" spans="11:12" x14ac:dyDescent="0.35">
      <c r="K683" s="10" t="s">
        <v>791</v>
      </c>
      <c r="L683" s="4">
        <v>0.38</v>
      </c>
    </row>
    <row r="684" spans="11:12" x14ac:dyDescent="0.35">
      <c r="K684" s="10" t="s">
        <v>674</v>
      </c>
      <c r="L684" s="4">
        <v>0.38</v>
      </c>
    </row>
    <row r="685" spans="11:12" x14ac:dyDescent="0.35">
      <c r="K685" s="10" t="s">
        <v>855</v>
      </c>
      <c r="L685" s="4">
        <v>0.38</v>
      </c>
    </row>
    <row r="686" spans="11:12" x14ac:dyDescent="0.35">
      <c r="K686" s="10" t="s">
        <v>132</v>
      </c>
      <c r="L686" s="4">
        <v>0.38</v>
      </c>
    </row>
    <row r="687" spans="11:12" x14ac:dyDescent="0.35">
      <c r="K687" s="10" t="s">
        <v>521</v>
      </c>
      <c r="L687" s="4">
        <v>0.38</v>
      </c>
    </row>
    <row r="688" spans="11:12" x14ac:dyDescent="0.35">
      <c r="K688" s="10" t="s">
        <v>123</v>
      </c>
      <c r="L688" s="4">
        <v>0.37</v>
      </c>
    </row>
    <row r="689" spans="11:12" x14ac:dyDescent="0.35">
      <c r="K689" s="10" t="s">
        <v>552</v>
      </c>
      <c r="L689" s="4">
        <v>0.37</v>
      </c>
    </row>
    <row r="690" spans="11:12" x14ac:dyDescent="0.35">
      <c r="K690" s="10" t="s">
        <v>438</v>
      </c>
      <c r="L690" s="4">
        <v>0.37</v>
      </c>
    </row>
    <row r="691" spans="11:12" x14ac:dyDescent="0.35">
      <c r="K691" s="10" t="s">
        <v>936</v>
      </c>
      <c r="L691" s="4">
        <v>0.37</v>
      </c>
    </row>
    <row r="692" spans="11:12" x14ac:dyDescent="0.35">
      <c r="K692" s="10" t="s">
        <v>696</v>
      </c>
      <c r="L692" s="4">
        <v>0.37</v>
      </c>
    </row>
    <row r="693" spans="11:12" x14ac:dyDescent="0.35">
      <c r="K693" s="10" t="s">
        <v>586</v>
      </c>
      <c r="L693" s="4">
        <v>0.37</v>
      </c>
    </row>
    <row r="694" spans="11:12" x14ac:dyDescent="0.35">
      <c r="K694" s="10" t="s">
        <v>998</v>
      </c>
      <c r="L694" s="4">
        <v>0.37</v>
      </c>
    </row>
    <row r="695" spans="11:12" x14ac:dyDescent="0.35">
      <c r="K695" s="10" t="s">
        <v>874</v>
      </c>
      <c r="L695" s="4">
        <v>0.37</v>
      </c>
    </row>
    <row r="696" spans="11:12" x14ac:dyDescent="0.35">
      <c r="K696" s="10" t="s">
        <v>765</v>
      </c>
      <c r="L696" s="4">
        <v>0.37</v>
      </c>
    </row>
    <row r="697" spans="11:12" x14ac:dyDescent="0.35">
      <c r="K697" s="10" t="s">
        <v>223</v>
      </c>
      <c r="L697" s="4">
        <v>0.36</v>
      </c>
    </row>
    <row r="698" spans="11:12" x14ac:dyDescent="0.35">
      <c r="K698" s="10" t="s">
        <v>742</v>
      </c>
      <c r="L698" s="4">
        <v>0.36</v>
      </c>
    </row>
    <row r="699" spans="11:12" x14ac:dyDescent="0.35">
      <c r="K699" s="10" t="s">
        <v>145</v>
      </c>
      <c r="L699" s="4">
        <v>0.36</v>
      </c>
    </row>
    <row r="700" spans="11:12" x14ac:dyDescent="0.35">
      <c r="K700" s="10" t="s">
        <v>432</v>
      </c>
      <c r="L700" s="4">
        <v>0.36</v>
      </c>
    </row>
    <row r="701" spans="11:12" x14ac:dyDescent="0.35">
      <c r="K701" s="10" t="s">
        <v>673</v>
      </c>
      <c r="L701" s="4">
        <v>0.36</v>
      </c>
    </row>
    <row r="702" spans="11:12" x14ac:dyDescent="0.35">
      <c r="K702" s="10" t="s">
        <v>651</v>
      </c>
      <c r="L702" s="4">
        <v>0.36</v>
      </c>
    </row>
    <row r="703" spans="11:12" x14ac:dyDescent="0.35">
      <c r="K703" s="10" t="s">
        <v>419</v>
      </c>
      <c r="L703" s="4">
        <v>0.36</v>
      </c>
    </row>
    <row r="704" spans="11:12" x14ac:dyDescent="0.35">
      <c r="K704" s="10" t="s">
        <v>981</v>
      </c>
      <c r="L704" s="4">
        <v>0.35</v>
      </c>
    </row>
    <row r="705" spans="11:12" x14ac:dyDescent="0.35">
      <c r="K705" s="10" t="s">
        <v>938</v>
      </c>
      <c r="L705" s="4">
        <v>0.35</v>
      </c>
    </row>
    <row r="706" spans="11:12" x14ac:dyDescent="0.35">
      <c r="K706" s="10" t="s">
        <v>411</v>
      </c>
      <c r="L706" s="4">
        <v>0.35</v>
      </c>
    </row>
    <row r="707" spans="11:12" x14ac:dyDescent="0.35">
      <c r="K707" s="10" t="s">
        <v>1022</v>
      </c>
      <c r="L707" s="4">
        <v>0.35</v>
      </c>
    </row>
    <row r="708" spans="11:12" x14ac:dyDescent="0.35">
      <c r="K708" s="10" t="s">
        <v>750</v>
      </c>
      <c r="L708" s="4">
        <v>0.35</v>
      </c>
    </row>
    <row r="709" spans="11:12" x14ac:dyDescent="0.35">
      <c r="K709" s="10" t="s">
        <v>776</v>
      </c>
      <c r="L709" s="4">
        <v>0.35</v>
      </c>
    </row>
    <row r="710" spans="11:12" x14ac:dyDescent="0.35">
      <c r="K710" s="10" t="s">
        <v>492</v>
      </c>
      <c r="L710" s="4">
        <v>0.35</v>
      </c>
    </row>
    <row r="711" spans="11:12" x14ac:dyDescent="0.35">
      <c r="K711" s="10" t="s">
        <v>643</v>
      </c>
      <c r="L711" s="4">
        <v>0.34</v>
      </c>
    </row>
    <row r="712" spans="11:12" x14ac:dyDescent="0.35">
      <c r="K712" s="10" t="s">
        <v>898</v>
      </c>
      <c r="L712" s="4">
        <v>0.34</v>
      </c>
    </row>
    <row r="713" spans="11:12" x14ac:dyDescent="0.35">
      <c r="K713" s="10" t="s">
        <v>759</v>
      </c>
      <c r="L713" s="4">
        <v>0.34</v>
      </c>
    </row>
    <row r="714" spans="11:12" x14ac:dyDescent="0.35">
      <c r="K714" s="10" t="s">
        <v>187</v>
      </c>
      <c r="L714" s="4">
        <v>0.34</v>
      </c>
    </row>
    <row r="715" spans="11:12" x14ac:dyDescent="0.35">
      <c r="K715" s="10" t="s">
        <v>58</v>
      </c>
      <c r="L715" s="4">
        <v>0.34</v>
      </c>
    </row>
    <row r="716" spans="11:12" x14ac:dyDescent="0.35">
      <c r="K716" s="10" t="s">
        <v>442</v>
      </c>
      <c r="L716" s="4">
        <v>0.34</v>
      </c>
    </row>
    <row r="717" spans="11:12" x14ac:dyDescent="0.35">
      <c r="K717" s="10" t="s">
        <v>526</v>
      </c>
      <c r="L717" s="4">
        <v>0.34</v>
      </c>
    </row>
    <row r="718" spans="11:12" x14ac:dyDescent="0.35">
      <c r="K718" s="10" t="s">
        <v>926</v>
      </c>
      <c r="L718" s="4">
        <v>0.34</v>
      </c>
    </row>
    <row r="719" spans="11:12" x14ac:dyDescent="0.35">
      <c r="K719" s="10" t="s">
        <v>312</v>
      </c>
      <c r="L719" s="4">
        <v>0.34</v>
      </c>
    </row>
    <row r="720" spans="11:12" x14ac:dyDescent="0.35">
      <c r="K720" s="10" t="s">
        <v>463</v>
      </c>
      <c r="L720" s="4">
        <v>0.34</v>
      </c>
    </row>
    <row r="721" spans="11:12" x14ac:dyDescent="0.35">
      <c r="K721" s="10" t="s">
        <v>104</v>
      </c>
      <c r="L721" s="4">
        <v>0.34</v>
      </c>
    </row>
    <row r="722" spans="11:12" x14ac:dyDescent="0.35">
      <c r="K722" s="10" t="s">
        <v>929</v>
      </c>
      <c r="L722" s="4">
        <v>0.34</v>
      </c>
    </row>
    <row r="723" spans="11:12" x14ac:dyDescent="0.35">
      <c r="K723" s="10" t="s">
        <v>749</v>
      </c>
      <c r="L723" s="4">
        <v>0.33</v>
      </c>
    </row>
    <row r="724" spans="11:12" x14ac:dyDescent="0.35">
      <c r="K724" s="10" t="s">
        <v>211</v>
      </c>
      <c r="L724" s="4">
        <v>0.33</v>
      </c>
    </row>
    <row r="725" spans="11:12" x14ac:dyDescent="0.35">
      <c r="K725" s="10" t="s">
        <v>385</v>
      </c>
      <c r="L725" s="4">
        <v>0.33</v>
      </c>
    </row>
    <row r="726" spans="11:12" x14ac:dyDescent="0.35">
      <c r="K726" s="10" t="s">
        <v>250</v>
      </c>
      <c r="L726" s="4">
        <v>0.33</v>
      </c>
    </row>
    <row r="727" spans="11:12" x14ac:dyDescent="0.35">
      <c r="K727" s="10" t="s">
        <v>777</v>
      </c>
      <c r="L727" s="4">
        <v>0.33</v>
      </c>
    </row>
    <row r="728" spans="11:12" x14ac:dyDescent="0.35">
      <c r="K728" s="10" t="s">
        <v>820</v>
      </c>
      <c r="L728" s="4">
        <v>0.33</v>
      </c>
    </row>
    <row r="729" spans="11:12" x14ac:dyDescent="0.35">
      <c r="K729" s="10" t="s">
        <v>900</v>
      </c>
      <c r="L729" s="4">
        <v>0.33</v>
      </c>
    </row>
    <row r="730" spans="11:12" x14ac:dyDescent="0.35">
      <c r="K730" s="10" t="s">
        <v>944</v>
      </c>
      <c r="L730" s="4">
        <v>0.33</v>
      </c>
    </row>
    <row r="731" spans="11:12" x14ac:dyDescent="0.35">
      <c r="K731" s="10" t="s">
        <v>657</v>
      </c>
      <c r="L731" s="4">
        <v>0.32</v>
      </c>
    </row>
    <row r="732" spans="11:12" x14ac:dyDescent="0.35">
      <c r="K732" s="10" t="s">
        <v>503</v>
      </c>
      <c r="L732" s="4">
        <v>0.32</v>
      </c>
    </row>
    <row r="733" spans="11:12" x14ac:dyDescent="0.35">
      <c r="K733" s="10" t="s">
        <v>896</v>
      </c>
      <c r="L733" s="4">
        <v>0.32</v>
      </c>
    </row>
    <row r="734" spans="11:12" x14ac:dyDescent="0.35">
      <c r="K734" s="10" t="s">
        <v>421</v>
      </c>
      <c r="L734" s="4">
        <v>0.32</v>
      </c>
    </row>
    <row r="735" spans="11:12" x14ac:dyDescent="0.35">
      <c r="K735" s="10" t="s">
        <v>544</v>
      </c>
      <c r="L735" s="4">
        <v>0.32</v>
      </c>
    </row>
    <row r="736" spans="11:12" x14ac:dyDescent="0.35">
      <c r="K736" s="10" t="s">
        <v>155</v>
      </c>
      <c r="L736" s="4">
        <v>0.32</v>
      </c>
    </row>
    <row r="737" spans="11:12" x14ac:dyDescent="0.35">
      <c r="K737" s="10" t="s">
        <v>808</v>
      </c>
      <c r="L737" s="4">
        <v>0.32</v>
      </c>
    </row>
    <row r="738" spans="11:12" x14ac:dyDescent="0.35">
      <c r="K738" s="10" t="s">
        <v>231</v>
      </c>
      <c r="L738" s="4">
        <v>0.32</v>
      </c>
    </row>
    <row r="739" spans="11:12" x14ac:dyDescent="0.35">
      <c r="K739" s="10" t="s">
        <v>345</v>
      </c>
      <c r="L739" s="4">
        <v>0.32</v>
      </c>
    </row>
    <row r="740" spans="11:12" x14ac:dyDescent="0.35">
      <c r="K740" s="10" t="s">
        <v>358</v>
      </c>
      <c r="L740" s="4">
        <v>0.32</v>
      </c>
    </row>
    <row r="741" spans="11:12" x14ac:dyDescent="0.35">
      <c r="K741" s="10" t="s">
        <v>785</v>
      </c>
      <c r="L741" s="4">
        <v>0.32</v>
      </c>
    </row>
    <row r="742" spans="11:12" x14ac:dyDescent="0.35">
      <c r="K742" s="10" t="s">
        <v>321</v>
      </c>
      <c r="L742" s="4">
        <v>0.32</v>
      </c>
    </row>
    <row r="743" spans="11:12" x14ac:dyDescent="0.35">
      <c r="K743" s="10" t="s">
        <v>261</v>
      </c>
      <c r="L743" s="4">
        <v>0.31</v>
      </c>
    </row>
    <row r="744" spans="11:12" x14ac:dyDescent="0.35">
      <c r="K744" s="10" t="s">
        <v>109</v>
      </c>
      <c r="L744" s="4">
        <v>0.31</v>
      </c>
    </row>
    <row r="745" spans="11:12" x14ac:dyDescent="0.35">
      <c r="K745" s="10" t="s">
        <v>121</v>
      </c>
      <c r="L745" s="4">
        <v>0.31</v>
      </c>
    </row>
    <row r="746" spans="11:12" x14ac:dyDescent="0.35">
      <c r="K746" s="10" t="s">
        <v>203</v>
      </c>
      <c r="L746" s="4">
        <v>0.31</v>
      </c>
    </row>
    <row r="747" spans="11:12" x14ac:dyDescent="0.35">
      <c r="K747" s="10" t="s">
        <v>1034</v>
      </c>
      <c r="L747" s="4">
        <v>0.31</v>
      </c>
    </row>
    <row r="748" spans="11:12" x14ac:dyDescent="0.35">
      <c r="K748" s="10" t="s">
        <v>723</v>
      </c>
      <c r="L748" s="4">
        <v>0.31</v>
      </c>
    </row>
    <row r="749" spans="11:12" x14ac:dyDescent="0.35">
      <c r="K749" s="10" t="s">
        <v>67</v>
      </c>
      <c r="L749" s="4">
        <v>0.31</v>
      </c>
    </row>
    <row r="750" spans="11:12" x14ac:dyDescent="0.35">
      <c r="K750" s="10" t="s">
        <v>714</v>
      </c>
      <c r="L750" s="4">
        <v>0.31</v>
      </c>
    </row>
    <row r="751" spans="11:12" x14ac:dyDescent="0.35">
      <c r="K751" s="10" t="s">
        <v>739</v>
      </c>
      <c r="L751" s="4">
        <v>0.31</v>
      </c>
    </row>
    <row r="752" spans="11:12" x14ac:dyDescent="0.35">
      <c r="K752" s="10" t="s">
        <v>226</v>
      </c>
      <c r="L752" s="4">
        <v>0.31</v>
      </c>
    </row>
    <row r="753" spans="11:12" x14ac:dyDescent="0.35">
      <c r="K753" s="10" t="s">
        <v>22</v>
      </c>
      <c r="L753" s="4">
        <v>0.31</v>
      </c>
    </row>
    <row r="754" spans="11:12" x14ac:dyDescent="0.35">
      <c r="K754" s="10" t="s">
        <v>296</v>
      </c>
      <c r="L754" s="4">
        <v>0.31</v>
      </c>
    </row>
    <row r="755" spans="11:12" x14ac:dyDescent="0.35">
      <c r="K755" s="10" t="s">
        <v>169</v>
      </c>
      <c r="L755" s="4">
        <v>0.31</v>
      </c>
    </row>
    <row r="756" spans="11:12" x14ac:dyDescent="0.35">
      <c r="K756" s="10" t="s">
        <v>475</v>
      </c>
      <c r="L756" s="4">
        <v>0.31</v>
      </c>
    </row>
    <row r="757" spans="11:12" x14ac:dyDescent="0.35">
      <c r="K757" s="10" t="s">
        <v>783</v>
      </c>
      <c r="L757" s="4">
        <v>0.31</v>
      </c>
    </row>
    <row r="758" spans="11:12" x14ac:dyDescent="0.35">
      <c r="K758" s="10" t="s">
        <v>763</v>
      </c>
      <c r="L758" s="4">
        <v>0.31</v>
      </c>
    </row>
    <row r="759" spans="11:12" x14ac:dyDescent="0.35">
      <c r="K759" s="10" t="s">
        <v>814</v>
      </c>
      <c r="L759" s="4">
        <v>0.31</v>
      </c>
    </row>
    <row r="760" spans="11:12" x14ac:dyDescent="0.35">
      <c r="K760" s="10" t="s">
        <v>897</v>
      </c>
      <c r="L760" s="4">
        <v>0.3</v>
      </c>
    </row>
    <row r="761" spans="11:12" x14ac:dyDescent="0.35">
      <c r="K761" s="10" t="s">
        <v>134</v>
      </c>
      <c r="L761" s="4">
        <v>0.3</v>
      </c>
    </row>
    <row r="762" spans="11:12" x14ac:dyDescent="0.35">
      <c r="K762" s="10" t="s">
        <v>472</v>
      </c>
      <c r="L762" s="4">
        <v>0.3</v>
      </c>
    </row>
    <row r="763" spans="11:12" x14ac:dyDescent="0.35">
      <c r="K763" s="10" t="s">
        <v>916</v>
      </c>
      <c r="L763" s="4">
        <v>0.3</v>
      </c>
    </row>
    <row r="764" spans="11:12" x14ac:dyDescent="0.35">
      <c r="K764" s="10" t="s">
        <v>592</v>
      </c>
      <c r="L764" s="4">
        <v>0.3</v>
      </c>
    </row>
    <row r="765" spans="11:12" x14ac:dyDescent="0.35">
      <c r="K765" s="10" t="s">
        <v>185</v>
      </c>
      <c r="L765" s="4">
        <v>0.3</v>
      </c>
    </row>
    <row r="766" spans="11:12" x14ac:dyDescent="0.35">
      <c r="K766" s="10" t="s">
        <v>370</v>
      </c>
      <c r="L766" s="4">
        <v>0.3</v>
      </c>
    </row>
    <row r="767" spans="11:12" x14ac:dyDescent="0.35">
      <c r="K767" s="10" t="s">
        <v>352</v>
      </c>
      <c r="L767" s="4">
        <v>0.3</v>
      </c>
    </row>
    <row r="768" spans="11:12" x14ac:dyDescent="0.35">
      <c r="K768" s="10" t="s">
        <v>925</v>
      </c>
      <c r="L768" s="4">
        <v>0.3</v>
      </c>
    </row>
    <row r="769" spans="11:12" x14ac:dyDescent="0.35">
      <c r="K769" s="10" t="s">
        <v>124</v>
      </c>
      <c r="L769" s="4">
        <v>0.3</v>
      </c>
    </row>
    <row r="770" spans="11:12" x14ac:dyDescent="0.35">
      <c r="K770" s="10" t="s">
        <v>859</v>
      </c>
      <c r="L770" s="4">
        <v>0.3</v>
      </c>
    </row>
    <row r="771" spans="11:12" x14ac:dyDescent="0.35">
      <c r="K771" s="10" t="s">
        <v>758</v>
      </c>
      <c r="L771" s="4">
        <v>0.28999999999999998</v>
      </c>
    </row>
    <row r="772" spans="11:12" x14ac:dyDescent="0.35">
      <c r="K772" s="10" t="s">
        <v>112</v>
      </c>
      <c r="L772" s="4">
        <v>0.28999999999999998</v>
      </c>
    </row>
    <row r="773" spans="11:12" x14ac:dyDescent="0.35">
      <c r="K773" s="10" t="s">
        <v>885</v>
      </c>
      <c r="L773" s="4">
        <v>0.28999999999999998</v>
      </c>
    </row>
    <row r="774" spans="11:12" x14ac:dyDescent="0.35">
      <c r="K774" s="10" t="s">
        <v>152</v>
      </c>
      <c r="L774" s="4">
        <v>0.28999999999999998</v>
      </c>
    </row>
    <row r="775" spans="11:12" x14ac:dyDescent="0.35">
      <c r="K775" s="10" t="s">
        <v>346</v>
      </c>
      <c r="L775" s="4">
        <v>0.28999999999999998</v>
      </c>
    </row>
    <row r="776" spans="11:12" x14ac:dyDescent="0.35">
      <c r="K776" s="10" t="s">
        <v>179</v>
      </c>
      <c r="L776" s="4">
        <v>0.28999999999999998</v>
      </c>
    </row>
    <row r="777" spans="11:12" x14ac:dyDescent="0.35">
      <c r="K777" s="10" t="s">
        <v>806</v>
      </c>
      <c r="L777" s="4">
        <v>0.28999999999999998</v>
      </c>
    </row>
    <row r="778" spans="11:12" x14ac:dyDescent="0.35">
      <c r="K778" s="10" t="s">
        <v>320</v>
      </c>
      <c r="L778" s="4">
        <v>0.28999999999999998</v>
      </c>
    </row>
    <row r="779" spans="11:12" x14ac:dyDescent="0.35">
      <c r="K779" s="10" t="s">
        <v>269</v>
      </c>
      <c r="L779" s="4">
        <v>0.28999999999999998</v>
      </c>
    </row>
    <row r="780" spans="11:12" x14ac:dyDescent="0.35">
      <c r="K780" s="10" t="s">
        <v>202</v>
      </c>
      <c r="L780" s="4">
        <v>0.28999999999999998</v>
      </c>
    </row>
    <row r="781" spans="11:12" x14ac:dyDescent="0.35">
      <c r="K781" s="10" t="s">
        <v>1025</v>
      </c>
      <c r="L781" s="4">
        <v>0.28999999999999998</v>
      </c>
    </row>
    <row r="782" spans="11:12" x14ac:dyDescent="0.35">
      <c r="K782" s="10" t="s">
        <v>943</v>
      </c>
      <c r="L782" s="4">
        <v>0.28999999999999998</v>
      </c>
    </row>
    <row r="783" spans="11:12" x14ac:dyDescent="0.35">
      <c r="K783" s="10" t="s">
        <v>515</v>
      </c>
      <c r="L783" s="4">
        <v>0.28999999999999998</v>
      </c>
    </row>
    <row r="784" spans="11:12" x14ac:dyDescent="0.35">
      <c r="K784" s="10" t="s">
        <v>672</v>
      </c>
      <c r="L784" s="4">
        <v>0.28000000000000003</v>
      </c>
    </row>
    <row r="785" spans="11:12" x14ac:dyDescent="0.35">
      <c r="K785" s="10" t="s">
        <v>201</v>
      </c>
      <c r="L785" s="4">
        <v>0.28000000000000003</v>
      </c>
    </row>
    <row r="786" spans="11:12" x14ac:dyDescent="0.35">
      <c r="K786" s="10" t="s">
        <v>273</v>
      </c>
      <c r="L786" s="4">
        <v>0.28000000000000003</v>
      </c>
    </row>
    <row r="787" spans="11:12" x14ac:dyDescent="0.35">
      <c r="K787" s="10" t="s">
        <v>40</v>
      </c>
      <c r="L787" s="4">
        <v>0.28000000000000003</v>
      </c>
    </row>
    <row r="788" spans="11:12" x14ac:dyDescent="0.35">
      <c r="K788" s="10" t="s">
        <v>496</v>
      </c>
      <c r="L788" s="4">
        <v>0.28000000000000003</v>
      </c>
    </row>
    <row r="789" spans="11:12" x14ac:dyDescent="0.35">
      <c r="K789" s="10" t="s">
        <v>836</v>
      </c>
      <c r="L789" s="4">
        <v>0.28000000000000003</v>
      </c>
    </row>
    <row r="790" spans="11:12" x14ac:dyDescent="0.35">
      <c r="K790" s="10" t="s">
        <v>1038</v>
      </c>
      <c r="L790" s="4">
        <v>0.27</v>
      </c>
    </row>
    <row r="791" spans="11:12" x14ac:dyDescent="0.35">
      <c r="K791" s="10" t="s">
        <v>73</v>
      </c>
      <c r="L791" s="4">
        <v>0.27</v>
      </c>
    </row>
    <row r="792" spans="11:12" x14ac:dyDescent="0.35">
      <c r="K792" s="10" t="s">
        <v>941</v>
      </c>
      <c r="L792" s="4">
        <v>0.27</v>
      </c>
    </row>
    <row r="793" spans="11:12" x14ac:dyDescent="0.35">
      <c r="K793" s="10" t="s">
        <v>522</v>
      </c>
      <c r="L793" s="4">
        <v>0.27</v>
      </c>
    </row>
    <row r="794" spans="11:12" x14ac:dyDescent="0.35">
      <c r="K794" s="10" t="s">
        <v>505</v>
      </c>
      <c r="L794" s="4">
        <v>0.27</v>
      </c>
    </row>
    <row r="795" spans="11:12" x14ac:dyDescent="0.35">
      <c r="K795" s="10" t="s">
        <v>556</v>
      </c>
      <c r="L795" s="4">
        <v>0.27</v>
      </c>
    </row>
    <row r="796" spans="11:12" x14ac:dyDescent="0.35">
      <c r="K796" s="10" t="s">
        <v>725</v>
      </c>
      <c r="L796" s="4">
        <v>0.27</v>
      </c>
    </row>
    <row r="797" spans="11:12" x14ac:dyDescent="0.35">
      <c r="K797" s="10" t="s">
        <v>66</v>
      </c>
      <c r="L797" s="4">
        <v>0.27</v>
      </c>
    </row>
    <row r="798" spans="11:12" x14ac:dyDescent="0.35">
      <c r="K798" s="10" t="s">
        <v>631</v>
      </c>
      <c r="L798" s="4">
        <v>0.27</v>
      </c>
    </row>
    <row r="799" spans="11:12" x14ac:dyDescent="0.35">
      <c r="K799" s="10" t="s">
        <v>415</v>
      </c>
      <c r="L799" s="4">
        <v>0.27</v>
      </c>
    </row>
    <row r="800" spans="11:12" x14ac:dyDescent="0.35">
      <c r="K800" s="10" t="s">
        <v>842</v>
      </c>
      <c r="L800" s="4">
        <v>0.27</v>
      </c>
    </row>
    <row r="801" spans="11:12" x14ac:dyDescent="0.35">
      <c r="K801" s="10" t="s">
        <v>704</v>
      </c>
      <c r="L801" s="4">
        <v>0.27</v>
      </c>
    </row>
    <row r="802" spans="11:12" x14ac:dyDescent="0.35">
      <c r="K802" s="10" t="s">
        <v>872</v>
      </c>
      <c r="L802" s="4">
        <v>0.27</v>
      </c>
    </row>
    <row r="803" spans="11:12" x14ac:dyDescent="0.35">
      <c r="K803" s="10" t="s">
        <v>247</v>
      </c>
      <c r="L803" s="4">
        <v>0.27</v>
      </c>
    </row>
    <row r="804" spans="11:12" x14ac:dyDescent="0.35">
      <c r="K804" s="10" t="s">
        <v>456</v>
      </c>
      <c r="L804" s="4">
        <v>0.26</v>
      </c>
    </row>
    <row r="805" spans="11:12" x14ac:dyDescent="0.35">
      <c r="K805" s="10" t="s">
        <v>678</v>
      </c>
      <c r="L805" s="4">
        <v>0.26</v>
      </c>
    </row>
    <row r="806" spans="11:12" x14ac:dyDescent="0.35">
      <c r="K806" s="10" t="s">
        <v>197</v>
      </c>
      <c r="L806" s="4">
        <v>0.26</v>
      </c>
    </row>
    <row r="807" spans="11:12" x14ac:dyDescent="0.35">
      <c r="K807" s="10" t="s">
        <v>882</v>
      </c>
      <c r="L807" s="4">
        <v>0.26</v>
      </c>
    </row>
    <row r="808" spans="11:12" x14ac:dyDescent="0.35">
      <c r="K808" s="10" t="s">
        <v>973</v>
      </c>
      <c r="L808" s="4">
        <v>0.26</v>
      </c>
    </row>
    <row r="809" spans="11:12" x14ac:dyDescent="0.35">
      <c r="K809" s="10" t="s">
        <v>90</v>
      </c>
      <c r="L809" s="4">
        <v>0.26</v>
      </c>
    </row>
    <row r="810" spans="11:12" x14ac:dyDescent="0.35">
      <c r="K810" s="10" t="s">
        <v>325</v>
      </c>
      <c r="L810" s="4">
        <v>0.26</v>
      </c>
    </row>
    <row r="811" spans="11:12" x14ac:dyDescent="0.35">
      <c r="K811" s="10" t="s">
        <v>400</v>
      </c>
      <c r="L811" s="4">
        <v>0.26</v>
      </c>
    </row>
    <row r="812" spans="11:12" x14ac:dyDescent="0.35">
      <c r="K812" s="10" t="s">
        <v>870</v>
      </c>
      <c r="L812" s="4">
        <v>0.26</v>
      </c>
    </row>
    <row r="813" spans="11:12" x14ac:dyDescent="0.35">
      <c r="K813" s="10" t="s">
        <v>671</v>
      </c>
      <c r="L813" s="4">
        <v>0.26</v>
      </c>
    </row>
    <row r="814" spans="11:12" x14ac:dyDescent="0.35">
      <c r="K814" s="10" t="s">
        <v>96</v>
      </c>
      <c r="L814" s="4">
        <v>0.26</v>
      </c>
    </row>
    <row r="815" spans="11:12" x14ac:dyDescent="0.35">
      <c r="K815" s="10" t="s">
        <v>992</v>
      </c>
      <c r="L815" s="4">
        <v>0.26</v>
      </c>
    </row>
    <row r="816" spans="11:12" x14ac:dyDescent="0.35">
      <c r="K816" s="10" t="s">
        <v>1029</v>
      </c>
      <c r="L816" s="4">
        <v>0.26</v>
      </c>
    </row>
    <row r="817" spans="11:12" x14ac:dyDescent="0.35">
      <c r="K817" s="10" t="s">
        <v>1005</v>
      </c>
      <c r="L817" s="4">
        <v>0.26</v>
      </c>
    </row>
    <row r="818" spans="11:12" x14ac:dyDescent="0.35">
      <c r="K818" s="10" t="s">
        <v>268</v>
      </c>
      <c r="L818" s="4">
        <v>0.26</v>
      </c>
    </row>
    <row r="819" spans="11:12" x14ac:dyDescent="0.35">
      <c r="K819" s="10" t="s">
        <v>832</v>
      </c>
      <c r="L819" s="4">
        <v>0.26</v>
      </c>
    </row>
    <row r="820" spans="11:12" x14ac:dyDescent="0.35">
      <c r="K820" s="10" t="s">
        <v>928</v>
      </c>
      <c r="L820" s="4">
        <v>0.26</v>
      </c>
    </row>
    <row r="821" spans="11:12" x14ac:dyDescent="0.35">
      <c r="K821" s="10" t="s">
        <v>774</v>
      </c>
      <c r="L821" s="4">
        <v>0.25</v>
      </c>
    </row>
    <row r="822" spans="11:12" x14ac:dyDescent="0.35">
      <c r="K822" s="10" t="s">
        <v>974</v>
      </c>
      <c r="L822" s="4">
        <v>0.25</v>
      </c>
    </row>
    <row r="823" spans="11:12" x14ac:dyDescent="0.35">
      <c r="K823" s="10" t="s">
        <v>951</v>
      </c>
      <c r="L823" s="4">
        <v>0.25</v>
      </c>
    </row>
    <row r="824" spans="11:12" x14ac:dyDescent="0.35">
      <c r="K824" s="10" t="s">
        <v>894</v>
      </c>
      <c r="L824" s="4">
        <v>0.25</v>
      </c>
    </row>
    <row r="825" spans="11:12" x14ac:dyDescent="0.35">
      <c r="K825" s="10" t="s">
        <v>210</v>
      </c>
      <c r="L825" s="4">
        <v>0.25</v>
      </c>
    </row>
    <row r="826" spans="11:12" x14ac:dyDescent="0.35">
      <c r="K826" s="10" t="s">
        <v>601</v>
      </c>
      <c r="L826" s="4">
        <v>0.25</v>
      </c>
    </row>
    <row r="827" spans="11:12" x14ac:dyDescent="0.35">
      <c r="K827" s="10" t="s">
        <v>921</v>
      </c>
      <c r="L827" s="4">
        <v>0.25</v>
      </c>
    </row>
    <row r="828" spans="11:12" x14ac:dyDescent="0.35">
      <c r="K828" s="10" t="s">
        <v>319</v>
      </c>
      <c r="L828" s="4">
        <v>0.25</v>
      </c>
    </row>
    <row r="829" spans="11:12" x14ac:dyDescent="0.35">
      <c r="K829" s="10" t="s">
        <v>1013</v>
      </c>
      <c r="L829" s="4">
        <v>0.25</v>
      </c>
    </row>
    <row r="830" spans="11:12" x14ac:dyDescent="0.35">
      <c r="K830" s="10" t="s">
        <v>803</v>
      </c>
      <c r="L830" s="4">
        <v>0.25</v>
      </c>
    </row>
    <row r="831" spans="11:12" x14ac:dyDescent="0.35">
      <c r="K831" s="10" t="s">
        <v>69</v>
      </c>
      <c r="L831" s="4">
        <v>0.25</v>
      </c>
    </row>
    <row r="832" spans="11:12" x14ac:dyDescent="0.35">
      <c r="K832" s="10" t="s">
        <v>191</v>
      </c>
      <c r="L832" s="4">
        <v>0.24</v>
      </c>
    </row>
    <row r="833" spans="11:12" x14ac:dyDescent="0.35">
      <c r="K833" s="10" t="s">
        <v>372</v>
      </c>
      <c r="L833" s="4">
        <v>0.24</v>
      </c>
    </row>
    <row r="834" spans="11:12" x14ac:dyDescent="0.35">
      <c r="K834" s="10" t="s">
        <v>622</v>
      </c>
      <c r="L834" s="4">
        <v>0.24</v>
      </c>
    </row>
    <row r="835" spans="11:12" x14ac:dyDescent="0.35">
      <c r="K835" s="10" t="s">
        <v>911</v>
      </c>
      <c r="L835" s="4">
        <v>0.24</v>
      </c>
    </row>
    <row r="836" spans="11:12" x14ac:dyDescent="0.35">
      <c r="K836" s="10" t="s">
        <v>647</v>
      </c>
      <c r="L836" s="4">
        <v>0.24</v>
      </c>
    </row>
    <row r="837" spans="11:12" x14ac:dyDescent="0.35">
      <c r="K837" s="10" t="s">
        <v>102</v>
      </c>
      <c r="L837" s="4">
        <v>0.24</v>
      </c>
    </row>
    <row r="838" spans="11:12" x14ac:dyDescent="0.35">
      <c r="K838" s="10" t="s">
        <v>194</v>
      </c>
      <c r="L838" s="4">
        <v>0.24</v>
      </c>
    </row>
    <row r="839" spans="11:12" x14ac:dyDescent="0.35">
      <c r="K839" s="10" t="s">
        <v>668</v>
      </c>
      <c r="L839" s="4">
        <v>0.24</v>
      </c>
    </row>
    <row r="840" spans="11:12" x14ac:dyDescent="0.35">
      <c r="K840" s="10" t="s">
        <v>965</v>
      </c>
      <c r="L840" s="4">
        <v>0.24</v>
      </c>
    </row>
    <row r="841" spans="11:12" x14ac:dyDescent="0.35">
      <c r="K841" s="10" t="s">
        <v>461</v>
      </c>
      <c r="L841" s="4">
        <v>0.24</v>
      </c>
    </row>
    <row r="842" spans="11:12" x14ac:dyDescent="0.35">
      <c r="K842" s="10" t="s">
        <v>457</v>
      </c>
      <c r="L842" s="4">
        <v>0.24</v>
      </c>
    </row>
    <row r="843" spans="11:12" x14ac:dyDescent="0.35">
      <c r="K843" s="10" t="s">
        <v>371</v>
      </c>
      <c r="L843" s="4">
        <v>0.23</v>
      </c>
    </row>
    <row r="844" spans="11:12" x14ac:dyDescent="0.35">
      <c r="K844" s="10" t="s">
        <v>730</v>
      </c>
      <c r="L844" s="4">
        <v>0.23</v>
      </c>
    </row>
    <row r="845" spans="11:12" x14ac:dyDescent="0.35">
      <c r="K845" s="10" t="s">
        <v>867</v>
      </c>
      <c r="L845" s="4">
        <v>0.23</v>
      </c>
    </row>
    <row r="846" spans="11:12" x14ac:dyDescent="0.35">
      <c r="K846" s="10" t="s">
        <v>769</v>
      </c>
      <c r="L846" s="4">
        <v>0.23</v>
      </c>
    </row>
    <row r="847" spans="11:12" x14ac:dyDescent="0.35">
      <c r="K847" s="10" t="s">
        <v>394</v>
      </c>
      <c r="L847" s="4">
        <v>0.23</v>
      </c>
    </row>
    <row r="848" spans="11:12" x14ac:dyDescent="0.35">
      <c r="K848" s="10" t="s">
        <v>192</v>
      </c>
      <c r="L848" s="4">
        <v>0.23</v>
      </c>
    </row>
    <row r="849" spans="11:12" x14ac:dyDescent="0.35">
      <c r="K849" s="10" t="s">
        <v>214</v>
      </c>
      <c r="L849" s="4">
        <v>0.23</v>
      </c>
    </row>
    <row r="850" spans="11:12" x14ac:dyDescent="0.35">
      <c r="K850" s="10" t="s">
        <v>126</v>
      </c>
      <c r="L850" s="4">
        <v>0.23</v>
      </c>
    </row>
    <row r="851" spans="11:12" x14ac:dyDescent="0.35">
      <c r="K851" s="10" t="s">
        <v>826</v>
      </c>
      <c r="L851" s="4">
        <v>0.22</v>
      </c>
    </row>
    <row r="852" spans="11:12" x14ac:dyDescent="0.35">
      <c r="K852" s="10" t="s">
        <v>905</v>
      </c>
      <c r="L852" s="4">
        <v>0.22</v>
      </c>
    </row>
    <row r="853" spans="11:12" x14ac:dyDescent="0.35">
      <c r="K853" s="10" t="s">
        <v>331</v>
      </c>
      <c r="L853" s="4">
        <v>0.22</v>
      </c>
    </row>
    <row r="854" spans="11:12" x14ac:dyDescent="0.35">
      <c r="K854" s="10" t="s">
        <v>614</v>
      </c>
      <c r="L854" s="4">
        <v>0.22</v>
      </c>
    </row>
    <row r="855" spans="11:12" x14ac:dyDescent="0.35">
      <c r="K855" s="10" t="s">
        <v>839</v>
      </c>
      <c r="L855" s="4">
        <v>0.22</v>
      </c>
    </row>
    <row r="856" spans="11:12" x14ac:dyDescent="0.35">
      <c r="K856" s="10" t="s">
        <v>316</v>
      </c>
      <c r="L856" s="4">
        <v>0.22</v>
      </c>
    </row>
    <row r="857" spans="11:12" x14ac:dyDescent="0.35">
      <c r="K857" s="10" t="s">
        <v>120</v>
      </c>
      <c r="L857" s="4">
        <v>0.22</v>
      </c>
    </row>
    <row r="858" spans="11:12" x14ac:dyDescent="0.35">
      <c r="K858" s="10" t="s">
        <v>476</v>
      </c>
      <c r="L858" s="4">
        <v>0.22</v>
      </c>
    </row>
    <row r="859" spans="11:12" x14ac:dyDescent="0.35">
      <c r="K859" s="10" t="s">
        <v>991</v>
      </c>
      <c r="L859" s="4">
        <v>0.22</v>
      </c>
    </row>
    <row r="860" spans="11:12" x14ac:dyDescent="0.35">
      <c r="K860" s="10" t="s">
        <v>306</v>
      </c>
      <c r="L860" s="4">
        <v>0.22</v>
      </c>
    </row>
    <row r="861" spans="11:12" x14ac:dyDescent="0.35">
      <c r="K861" s="10" t="s">
        <v>918</v>
      </c>
      <c r="L861" s="4">
        <v>0.22</v>
      </c>
    </row>
    <row r="862" spans="11:12" x14ac:dyDescent="0.35">
      <c r="K862" s="10" t="s">
        <v>1017</v>
      </c>
      <c r="L862" s="4">
        <v>0.22</v>
      </c>
    </row>
    <row r="863" spans="11:12" x14ac:dyDescent="0.35">
      <c r="K863" s="10" t="s">
        <v>722</v>
      </c>
      <c r="L863" s="4">
        <v>0.22</v>
      </c>
    </row>
    <row r="864" spans="11:12" x14ac:dyDescent="0.35">
      <c r="K864" s="10" t="s">
        <v>138</v>
      </c>
      <c r="L864" s="4">
        <v>0.22</v>
      </c>
    </row>
    <row r="865" spans="11:12" x14ac:dyDescent="0.35">
      <c r="K865" s="10" t="s">
        <v>264</v>
      </c>
      <c r="L865" s="4">
        <v>0.22</v>
      </c>
    </row>
    <row r="866" spans="11:12" x14ac:dyDescent="0.35">
      <c r="K866" s="10" t="s">
        <v>591</v>
      </c>
      <c r="L866" s="4">
        <v>0.21</v>
      </c>
    </row>
    <row r="867" spans="11:12" x14ac:dyDescent="0.35">
      <c r="K867" s="10" t="s">
        <v>157</v>
      </c>
      <c r="L867" s="4">
        <v>0.21</v>
      </c>
    </row>
    <row r="868" spans="11:12" x14ac:dyDescent="0.35">
      <c r="K868" s="10" t="s">
        <v>690</v>
      </c>
      <c r="L868" s="4">
        <v>0.21</v>
      </c>
    </row>
    <row r="869" spans="11:12" x14ac:dyDescent="0.35">
      <c r="K869" s="10" t="s">
        <v>935</v>
      </c>
      <c r="L869" s="4">
        <v>0.21</v>
      </c>
    </row>
    <row r="870" spans="11:12" x14ac:dyDescent="0.35">
      <c r="K870" s="10" t="s">
        <v>550</v>
      </c>
      <c r="L870" s="4">
        <v>0.21</v>
      </c>
    </row>
    <row r="871" spans="11:12" x14ac:dyDescent="0.35">
      <c r="K871" s="10" t="s">
        <v>945</v>
      </c>
      <c r="L871" s="4">
        <v>0.21</v>
      </c>
    </row>
    <row r="872" spans="11:12" x14ac:dyDescent="0.35">
      <c r="K872" s="10" t="s">
        <v>850</v>
      </c>
      <c r="L872" s="4">
        <v>0.21</v>
      </c>
    </row>
    <row r="873" spans="11:12" x14ac:dyDescent="0.35">
      <c r="K873" s="10" t="s">
        <v>254</v>
      </c>
      <c r="L873" s="4">
        <v>0.2</v>
      </c>
    </row>
    <row r="874" spans="11:12" x14ac:dyDescent="0.35">
      <c r="K874" s="10" t="s">
        <v>977</v>
      </c>
      <c r="L874" s="4">
        <v>0.2</v>
      </c>
    </row>
    <row r="875" spans="11:12" x14ac:dyDescent="0.35">
      <c r="K875" s="10" t="s">
        <v>519</v>
      </c>
      <c r="L875" s="4">
        <v>0.2</v>
      </c>
    </row>
    <row r="876" spans="11:12" x14ac:dyDescent="0.35">
      <c r="K876" s="10" t="s">
        <v>479</v>
      </c>
      <c r="L876" s="4">
        <v>0.2</v>
      </c>
    </row>
    <row r="877" spans="11:12" x14ac:dyDescent="0.35">
      <c r="K877" s="10" t="s">
        <v>596</v>
      </c>
      <c r="L877" s="4">
        <v>0.2</v>
      </c>
    </row>
    <row r="878" spans="11:12" x14ac:dyDescent="0.35">
      <c r="K878" s="10" t="s">
        <v>368</v>
      </c>
      <c r="L878" s="4">
        <v>0.2</v>
      </c>
    </row>
    <row r="879" spans="11:12" x14ac:dyDescent="0.35">
      <c r="K879" s="10" t="s">
        <v>172</v>
      </c>
      <c r="L879" s="4">
        <v>0.2</v>
      </c>
    </row>
    <row r="880" spans="11:12" x14ac:dyDescent="0.35">
      <c r="K880" s="10" t="s">
        <v>824</v>
      </c>
      <c r="L880" s="4">
        <v>0.2</v>
      </c>
    </row>
    <row r="881" spans="11:12" x14ac:dyDescent="0.35">
      <c r="K881" s="10" t="s">
        <v>711</v>
      </c>
      <c r="L881" s="4">
        <v>0.2</v>
      </c>
    </row>
    <row r="882" spans="11:12" x14ac:dyDescent="0.35">
      <c r="K882" s="10" t="s">
        <v>229</v>
      </c>
      <c r="L882" s="4">
        <v>0.2</v>
      </c>
    </row>
    <row r="883" spans="11:12" x14ac:dyDescent="0.35">
      <c r="K883" s="10" t="s">
        <v>100</v>
      </c>
      <c r="L883" s="4">
        <v>0.19</v>
      </c>
    </row>
    <row r="884" spans="11:12" x14ac:dyDescent="0.35">
      <c r="K884" s="10" t="s">
        <v>241</v>
      </c>
      <c r="L884" s="4">
        <v>0.19</v>
      </c>
    </row>
    <row r="885" spans="11:12" x14ac:dyDescent="0.35">
      <c r="K885" s="10" t="s">
        <v>572</v>
      </c>
      <c r="L885" s="4">
        <v>0.19</v>
      </c>
    </row>
    <row r="886" spans="11:12" x14ac:dyDescent="0.35">
      <c r="K886" s="10" t="s">
        <v>180</v>
      </c>
      <c r="L886" s="4">
        <v>0.19</v>
      </c>
    </row>
    <row r="887" spans="11:12" x14ac:dyDescent="0.35">
      <c r="K887" s="10" t="s">
        <v>971</v>
      </c>
      <c r="L887" s="4">
        <v>0.19</v>
      </c>
    </row>
    <row r="888" spans="11:12" x14ac:dyDescent="0.35">
      <c r="K888" s="10" t="s">
        <v>904</v>
      </c>
      <c r="L888" s="4">
        <v>0.19</v>
      </c>
    </row>
    <row r="889" spans="11:12" x14ac:dyDescent="0.35">
      <c r="K889" s="10" t="s">
        <v>367</v>
      </c>
      <c r="L889" s="4">
        <v>0.19</v>
      </c>
    </row>
    <row r="890" spans="11:12" x14ac:dyDescent="0.35">
      <c r="K890" s="10" t="s">
        <v>563</v>
      </c>
      <c r="L890" s="4">
        <v>0.19</v>
      </c>
    </row>
    <row r="891" spans="11:12" x14ac:dyDescent="0.35">
      <c r="K891" s="10" t="s">
        <v>270</v>
      </c>
      <c r="L891" s="4">
        <v>0.19</v>
      </c>
    </row>
    <row r="892" spans="11:12" x14ac:dyDescent="0.35">
      <c r="K892" s="10" t="s">
        <v>116</v>
      </c>
      <c r="L892" s="4">
        <v>0.19</v>
      </c>
    </row>
    <row r="893" spans="11:12" x14ac:dyDescent="0.35">
      <c r="K893" s="10" t="s">
        <v>641</v>
      </c>
      <c r="L893" s="4">
        <v>0.19</v>
      </c>
    </row>
    <row r="894" spans="11:12" x14ac:dyDescent="0.35">
      <c r="K894" s="10" t="s">
        <v>323</v>
      </c>
      <c r="L894" s="4">
        <v>0.19</v>
      </c>
    </row>
    <row r="895" spans="11:12" x14ac:dyDescent="0.35">
      <c r="K895" s="10" t="s">
        <v>215</v>
      </c>
      <c r="L895" s="4">
        <v>0.19</v>
      </c>
    </row>
    <row r="896" spans="11:12" x14ac:dyDescent="0.35">
      <c r="K896" s="10" t="s">
        <v>462</v>
      </c>
      <c r="L896" s="4">
        <v>0.19</v>
      </c>
    </row>
    <row r="897" spans="11:12" x14ac:dyDescent="0.35">
      <c r="K897" s="10" t="s">
        <v>221</v>
      </c>
      <c r="L897" s="4">
        <v>0.19</v>
      </c>
    </row>
    <row r="898" spans="11:12" x14ac:dyDescent="0.35">
      <c r="K898" s="10" t="s">
        <v>458</v>
      </c>
      <c r="L898" s="4">
        <v>0.19</v>
      </c>
    </row>
    <row r="899" spans="11:12" x14ac:dyDescent="0.35">
      <c r="K899" s="10" t="s">
        <v>640</v>
      </c>
      <c r="L899" s="4">
        <v>0.19</v>
      </c>
    </row>
    <row r="900" spans="11:12" x14ac:dyDescent="0.35">
      <c r="K900" s="10" t="s">
        <v>285</v>
      </c>
      <c r="L900" s="4">
        <v>0.19</v>
      </c>
    </row>
    <row r="901" spans="11:12" x14ac:dyDescent="0.35">
      <c r="K901" s="10" t="s">
        <v>439</v>
      </c>
      <c r="L901" s="4">
        <v>0.18</v>
      </c>
    </row>
    <row r="902" spans="11:12" x14ac:dyDescent="0.35">
      <c r="K902" s="10" t="s">
        <v>83</v>
      </c>
      <c r="L902" s="4">
        <v>0.18</v>
      </c>
    </row>
    <row r="903" spans="11:12" x14ac:dyDescent="0.35">
      <c r="K903" s="10" t="s">
        <v>341</v>
      </c>
      <c r="L903" s="4">
        <v>0.18</v>
      </c>
    </row>
    <row r="904" spans="11:12" x14ac:dyDescent="0.35">
      <c r="K904" s="10" t="s">
        <v>293</v>
      </c>
      <c r="L904" s="4">
        <v>0.18</v>
      </c>
    </row>
    <row r="905" spans="11:12" x14ac:dyDescent="0.35">
      <c r="K905" s="10" t="s">
        <v>583</v>
      </c>
      <c r="L905" s="4">
        <v>0.18</v>
      </c>
    </row>
    <row r="906" spans="11:12" x14ac:dyDescent="0.35">
      <c r="K906" s="10" t="s">
        <v>328</v>
      </c>
      <c r="L906" s="4">
        <v>0.18</v>
      </c>
    </row>
    <row r="907" spans="11:12" x14ac:dyDescent="0.35">
      <c r="K907" s="10" t="s">
        <v>849</v>
      </c>
      <c r="L907" s="4">
        <v>0.18</v>
      </c>
    </row>
    <row r="908" spans="11:12" x14ac:dyDescent="0.35">
      <c r="K908" s="10" t="s">
        <v>233</v>
      </c>
      <c r="L908" s="4">
        <v>0.17</v>
      </c>
    </row>
    <row r="909" spans="11:12" x14ac:dyDescent="0.35">
      <c r="K909" s="10" t="s">
        <v>165</v>
      </c>
      <c r="L909" s="4">
        <v>0.17</v>
      </c>
    </row>
    <row r="910" spans="11:12" x14ac:dyDescent="0.35">
      <c r="K910" s="10" t="s">
        <v>406</v>
      </c>
      <c r="L910" s="4">
        <v>0.17</v>
      </c>
    </row>
    <row r="911" spans="11:12" x14ac:dyDescent="0.35">
      <c r="K911" s="10" t="s">
        <v>161</v>
      </c>
      <c r="L911" s="4">
        <v>0.17</v>
      </c>
    </row>
    <row r="912" spans="11:12" x14ac:dyDescent="0.35">
      <c r="K912" s="10" t="s">
        <v>506</v>
      </c>
      <c r="L912" s="4">
        <v>0.17</v>
      </c>
    </row>
    <row r="913" spans="11:12" x14ac:dyDescent="0.35">
      <c r="K913" s="10" t="s">
        <v>171</v>
      </c>
      <c r="L913" s="4">
        <v>0.17</v>
      </c>
    </row>
    <row r="914" spans="11:12" x14ac:dyDescent="0.35">
      <c r="K914" s="10" t="s">
        <v>238</v>
      </c>
      <c r="L914" s="4">
        <v>0.17</v>
      </c>
    </row>
    <row r="915" spans="11:12" x14ac:dyDescent="0.35">
      <c r="K915" s="10" t="s">
        <v>520</v>
      </c>
      <c r="L915" s="4">
        <v>0.17</v>
      </c>
    </row>
    <row r="916" spans="11:12" x14ac:dyDescent="0.35">
      <c r="K916" s="10" t="s">
        <v>327</v>
      </c>
      <c r="L916" s="4">
        <v>0.17</v>
      </c>
    </row>
    <row r="917" spans="11:12" x14ac:dyDescent="0.35">
      <c r="K917" s="10" t="s">
        <v>251</v>
      </c>
      <c r="L917" s="4">
        <v>0.17</v>
      </c>
    </row>
    <row r="918" spans="11:12" x14ac:dyDescent="0.35">
      <c r="K918" s="10" t="s">
        <v>1007</v>
      </c>
      <c r="L918" s="4">
        <v>0.17</v>
      </c>
    </row>
    <row r="919" spans="11:12" x14ac:dyDescent="0.35">
      <c r="K919" s="10" t="s">
        <v>242</v>
      </c>
      <c r="L919" s="4">
        <v>0.17</v>
      </c>
    </row>
    <row r="920" spans="11:12" x14ac:dyDescent="0.35">
      <c r="K920" s="10" t="s">
        <v>542</v>
      </c>
      <c r="L920" s="4">
        <v>0.17</v>
      </c>
    </row>
    <row r="921" spans="11:12" x14ac:dyDescent="0.35">
      <c r="K921" s="10" t="s">
        <v>687</v>
      </c>
      <c r="L921" s="4">
        <v>0.16</v>
      </c>
    </row>
    <row r="922" spans="11:12" x14ac:dyDescent="0.35">
      <c r="K922" s="10" t="s">
        <v>899</v>
      </c>
      <c r="L922" s="4">
        <v>0.16</v>
      </c>
    </row>
    <row r="923" spans="11:12" x14ac:dyDescent="0.35">
      <c r="K923" s="10" t="s">
        <v>72</v>
      </c>
      <c r="L923" s="4">
        <v>0.16</v>
      </c>
    </row>
    <row r="924" spans="11:12" x14ac:dyDescent="0.35">
      <c r="K924" s="10" t="s">
        <v>721</v>
      </c>
      <c r="L924" s="4">
        <v>0.16</v>
      </c>
    </row>
    <row r="925" spans="11:12" x14ac:dyDescent="0.35">
      <c r="K925" s="10" t="s">
        <v>553</v>
      </c>
      <c r="L925" s="4">
        <v>0.16</v>
      </c>
    </row>
    <row r="926" spans="11:12" x14ac:dyDescent="0.35">
      <c r="K926" s="10" t="s">
        <v>793</v>
      </c>
      <c r="L926" s="4">
        <v>0.16</v>
      </c>
    </row>
    <row r="927" spans="11:12" x14ac:dyDescent="0.35">
      <c r="K927" s="10" t="s">
        <v>162</v>
      </c>
      <c r="L927" s="4">
        <v>0.16</v>
      </c>
    </row>
    <row r="928" spans="11:12" x14ac:dyDescent="0.35">
      <c r="K928" s="10" t="s">
        <v>280</v>
      </c>
      <c r="L928" s="4">
        <v>0.16</v>
      </c>
    </row>
    <row r="929" spans="11:12" x14ac:dyDescent="0.35">
      <c r="K929" s="10" t="s">
        <v>952</v>
      </c>
      <c r="L929" s="4">
        <v>0.16</v>
      </c>
    </row>
    <row r="930" spans="11:12" x14ac:dyDescent="0.35">
      <c r="K930" s="10" t="s">
        <v>871</v>
      </c>
      <c r="L930" s="4">
        <v>0.16</v>
      </c>
    </row>
    <row r="931" spans="11:12" x14ac:dyDescent="0.35">
      <c r="K931" s="10" t="s">
        <v>286</v>
      </c>
      <c r="L931" s="4">
        <v>0.15</v>
      </c>
    </row>
    <row r="932" spans="11:12" x14ac:dyDescent="0.35">
      <c r="K932" s="10" t="s">
        <v>732</v>
      </c>
      <c r="L932" s="4">
        <v>0.15</v>
      </c>
    </row>
    <row r="933" spans="11:12" x14ac:dyDescent="0.35">
      <c r="K933" s="10" t="s">
        <v>225</v>
      </c>
      <c r="L933" s="4">
        <v>0.15</v>
      </c>
    </row>
    <row r="934" spans="11:12" x14ac:dyDescent="0.35">
      <c r="K934" s="10" t="s">
        <v>728</v>
      </c>
      <c r="L934" s="4">
        <v>0.15</v>
      </c>
    </row>
    <row r="935" spans="11:12" x14ac:dyDescent="0.35">
      <c r="K935" s="10" t="s">
        <v>1008</v>
      </c>
      <c r="L935" s="4">
        <v>0.15</v>
      </c>
    </row>
    <row r="936" spans="11:12" x14ac:dyDescent="0.35">
      <c r="K936" s="10" t="s">
        <v>958</v>
      </c>
      <c r="L936" s="4">
        <v>0.15</v>
      </c>
    </row>
    <row r="937" spans="11:12" x14ac:dyDescent="0.35">
      <c r="K937" s="10" t="s">
        <v>294</v>
      </c>
      <c r="L937" s="4">
        <v>0.15</v>
      </c>
    </row>
    <row r="938" spans="11:12" x14ac:dyDescent="0.35">
      <c r="K938" s="10" t="s">
        <v>831</v>
      </c>
      <c r="L938" s="4">
        <v>0.15</v>
      </c>
    </row>
    <row r="939" spans="11:12" x14ac:dyDescent="0.35">
      <c r="K939" s="10" t="s">
        <v>972</v>
      </c>
      <c r="L939" s="4">
        <v>0.15</v>
      </c>
    </row>
    <row r="940" spans="11:12" x14ac:dyDescent="0.35">
      <c r="K940" s="10" t="s">
        <v>736</v>
      </c>
      <c r="L940" s="4">
        <v>0.15</v>
      </c>
    </row>
    <row r="941" spans="11:12" x14ac:dyDescent="0.35">
      <c r="K941" s="10" t="s">
        <v>246</v>
      </c>
      <c r="L941" s="4">
        <v>0.15</v>
      </c>
    </row>
    <row r="942" spans="11:12" x14ac:dyDescent="0.35">
      <c r="K942" s="10" t="s">
        <v>176</v>
      </c>
      <c r="L942" s="4">
        <v>0.15</v>
      </c>
    </row>
    <row r="943" spans="11:12" x14ac:dyDescent="0.35">
      <c r="K943" s="10" t="s">
        <v>339</v>
      </c>
      <c r="L943" s="4">
        <v>0.15</v>
      </c>
    </row>
    <row r="944" spans="11:12" x14ac:dyDescent="0.35">
      <c r="K944" s="10" t="s">
        <v>99</v>
      </c>
      <c r="L944" s="4">
        <v>0.15</v>
      </c>
    </row>
    <row r="945" spans="11:12" x14ac:dyDescent="0.35">
      <c r="K945" s="10" t="s">
        <v>196</v>
      </c>
      <c r="L945" s="4">
        <v>0.15</v>
      </c>
    </row>
    <row r="946" spans="11:12" x14ac:dyDescent="0.35">
      <c r="K946" s="10" t="s">
        <v>284</v>
      </c>
      <c r="L946" s="4">
        <v>0.15</v>
      </c>
    </row>
    <row r="947" spans="11:12" x14ac:dyDescent="0.35">
      <c r="K947" s="10" t="s">
        <v>1012</v>
      </c>
      <c r="L947" s="4">
        <v>0.15</v>
      </c>
    </row>
    <row r="948" spans="11:12" x14ac:dyDescent="0.35">
      <c r="K948" s="10" t="s">
        <v>160</v>
      </c>
      <c r="L948" s="4">
        <v>0.15</v>
      </c>
    </row>
    <row r="949" spans="11:12" x14ac:dyDescent="0.35">
      <c r="K949" s="10" t="s">
        <v>879</v>
      </c>
      <c r="L949" s="4">
        <v>0.14000000000000001</v>
      </c>
    </row>
    <row r="950" spans="11:12" x14ac:dyDescent="0.35">
      <c r="K950" s="10" t="s">
        <v>959</v>
      </c>
      <c r="L950" s="4">
        <v>0.14000000000000001</v>
      </c>
    </row>
    <row r="951" spans="11:12" x14ac:dyDescent="0.35">
      <c r="K951" s="10" t="s">
        <v>276</v>
      </c>
      <c r="L951" s="4">
        <v>0.14000000000000001</v>
      </c>
    </row>
    <row r="952" spans="11:12" x14ac:dyDescent="0.35">
      <c r="K952" s="10" t="s">
        <v>967</v>
      </c>
      <c r="L952" s="4">
        <v>0.14000000000000001</v>
      </c>
    </row>
    <row r="953" spans="11:12" x14ac:dyDescent="0.35">
      <c r="K953" s="10" t="s">
        <v>108</v>
      </c>
      <c r="L953" s="4">
        <v>0.14000000000000001</v>
      </c>
    </row>
    <row r="954" spans="11:12" x14ac:dyDescent="0.35">
      <c r="K954" s="10" t="s">
        <v>816</v>
      </c>
      <c r="L954" s="4">
        <v>0.14000000000000001</v>
      </c>
    </row>
    <row r="955" spans="11:12" x14ac:dyDescent="0.35">
      <c r="K955" s="10" t="s">
        <v>93</v>
      </c>
      <c r="L955" s="4">
        <v>0.14000000000000001</v>
      </c>
    </row>
    <row r="956" spans="11:12" x14ac:dyDescent="0.35">
      <c r="K956" s="10" t="s">
        <v>679</v>
      </c>
      <c r="L956" s="4">
        <v>0.14000000000000001</v>
      </c>
    </row>
    <row r="957" spans="11:12" x14ac:dyDescent="0.35">
      <c r="K957" s="10" t="s">
        <v>761</v>
      </c>
      <c r="L957" s="4">
        <v>0.14000000000000001</v>
      </c>
    </row>
    <row r="958" spans="11:12" x14ac:dyDescent="0.35">
      <c r="K958" s="10" t="s">
        <v>336</v>
      </c>
      <c r="L958" s="4">
        <v>0.14000000000000001</v>
      </c>
    </row>
    <row r="959" spans="11:12" x14ac:dyDescent="0.35">
      <c r="K959" s="10" t="s">
        <v>764</v>
      </c>
      <c r="L959" s="4">
        <v>0.14000000000000001</v>
      </c>
    </row>
    <row r="960" spans="11:12" x14ac:dyDescent="0.35">
      <c r="K960" s="10" t="s">
        <v>481</v>
      </c>
      <c r="L960" s="4">
        <v>0.14000000000000001</v>
      </c>
    </row>
    <row r="961" spans="11:12" x14ac:dyDescent="0.35">
      <c r="K961" s="10" t="s">
        <v>154</v>
      </c>
      <c r="L961" s="4">
        <v>0.14000000000000001</v>
      </c>
    </row>
    <row r="962" spans="11:12" x14ac:dyDescent="0.35">
      <c r="K962" s="10" t="s">
        <v>300</v>
      </c>
      <c r="L962" s="4">
        <v>0.14000000000000001</v>
      </c>
    </row>
    <row r="963" spans="11:12" x14ac:dyDescent="0.35">
      <c r="K963" s="10" t="s">
        <v>1004</v>
      </c>
      <c r="L963" s="4">
        <v>0.14000000000000001</v>
      </c>
    </row>
    <row r="964" spans="11:12" x14ac:dyDescent="0.35">
      <c r="K964" s="10" t="s">
        <v>459</v>
      </c>
      <c r="L964" s="4">
        <v>0.14000000000000001</v>
      </c>
    </row>
    <row r="965" spans="11:12" x14ac:dyDescent="0.35">
      <c r="K965" s="10" t="s">
        <v>629</v>
      </c>
      <c r="L965" s="4">
        <v>0.14000000000000001</v>
      </c>
    </row>
    <row r="966" spans="11:12" x14ac:dyDescent="0.35">
      <c r="K966" s="10" t="s">
        <v>627</v>
      </c>
      <c r="L966" s="4">
        <v>0.14000000000000001</v>
      </c>
    </row>
    <row r="967" spans="11:12" x14ac:dyDescent="0.35">
      <c r="K967" s="10" t="s">
        <v>1041</v>
      </c>
      <c r="L967" s="4">
        <v>0.14000000000000001</v>
      </c>
    </row>
    <row r="968" spans="11:12" x14ac:dyDescent="0.35">
      <c r="K968" s="10" t="s">
        <v>335</v>
      </c>
      <c r="L968" s="4">
        <v>0.14000000000000001</v>
      </c>
    </row>
    <row r="969" spans="11:12" x14ac:dyDescent="0.35">
      <c r="K969" s="10" t="s">
        <v>801</v>
      </c>
      <c r="L969" s="4">
        <v>0.14000000000000001</v>
      </c>
    </row>
    <row r="970" spans="11:12" x14ac:dyDescent="0.35">
      <c r="K970" s="10" t="s">
        <v>588</v>
      </c>
      <c r="L970" s="4">
        <v>0.13</v>
      </c>
    </row>
    <row r="971" spans="11:12" x14ac:dyDescent="0.35">
      <c r="K971" s="10" t="s">
        <v>271</v>
      </c>
      <c r="L971" s="4">
        <v>0.13</v>
      </c>
    </row>
    <row r="972" spans="11:12" x14ac:dyDescent="0.35">
      <c r="K972" s="10" t="s">
        <v>253</v>
      </c>
      <c r="L972" s="4">
        <v>0.13</v>
      </c>
    </row>
    <row r="973" spans="11:12" x14ac:dyDescent="0.35">
      <c r="K973" s="10" t="s">
        <v>624</v>
      </c>
      <c r="L973" s="4">
        <v>0.13</v>
      </c>
    </row>
    <row r="974" spans="11:12" x14ac:dyDescent="0.35">
      <c r="K974" s="10" t="s">
        <v>398</v>
      </c>
      <c r="L974" s="4">
        <v>0.13</v>
      </c>
    </row>
    <row r="975" spans="11:12" x14ac:dyDescent="0.35">
      <c r="K975" s="10" t="s">
        <v>1018</v>
      </c>
      <c r="L975" s="4">
        <v>0.13</v>
      </c>
    </row>
    <row r="976" spans="11:12" x14ac:dyDescent="0.35">
      <c r="K976" s="10" t="s">
        <v>1021</v>
      </c>
      <c r="L976" s="4">
        <v>0.13</v>
      </c>
    </row>
    <row r="977" spans="11:12" x14ac:dyDescent="0.35">
      <c r="K977" s="10" t="s">
        <v>498</v>
      </c>
      <c r="L977" s="4">
        <v>0.13</v>
      </c>
    </row>
    <row r="978" spans="11:12" x14ac:dyDescent="0.35">
      <c r="K978" s="10" t="s">
        <v>772</v>
      </c>
      <c r="L978" s="4">
        <v>0.13</v>
      </c>
    </row>
    <row r="979" spans="11:12" x14ac:dyDescent="0.35">
      <c r="K979" s="10" t="s">
        <v>978</v>
      </c>
      <c r="L979" s="4">
        <v>0.13</v>
      </c>
    </row>
    <row r="980" spans="11:12" x14ac:dyDescent="0.35">
      <c r="K980" s="10" t="s">
        <v>920</v>
      </c>
      <c r="L980" s="4">
        <v>0.12</v>
      </c>
    </row>
    <row r="981" spans="11:12" x14ac:dyDescent="0.35">
      <c r="K981" s="10" t="s">
        <v>68</v>
      </c>
      <c r="L981" s="4">
        <v>0.12</v>
      </c>
    </row>
    <row r="982" spans="11:12" x14ac:dyDescent="0.35">
      <c r="K982" s="10" t="s">
        <v>189</v>
      </c>
      <c r="L982" s="4">
        <v>0.12</v>
      </c>
    </row>
    <row r="983" spans="11:12" x14ac:dyDescent="0.35">
      <c r="K983" s="10" t="s">
        <v>401</v>
      </c>
      <c r="L983" s="4">
        <v>0.12</v>
      </c>
    </row>
    <row r="984" spans="11:12" x14ac:dyDescent="0.35">
      <c r="K984" s="10" t="s">
        <v>92</v>
      </c>
      <c r="L984" s="4">
        <v>0.12</v>
      </c>
    </row>
    <row r="985" spans="11:12" x14ac:dyDescent="0.35">
      <c r="K985" s="10" t="s">
        <v>841</v>
      </c>
      <c r="L985" s="4">
        <v>0.12</v>
      </c>
    </row>
    <row r="986" spans="11:12" x14ac:dyDescent="0.35">
      <c r="K986" s="10" t="s">
        <v>948</v>
      </c>
      <c r="L986" s="4">
        <v>0.12</v>
      </c>
    </row>
    <row r="987" spans="11:12" x14ac:dyDescent="0.35">
      <c r="K987" s="10" t="s">
        <v>817</v>
      </c>
      <c r="L987" s="4">
        <v>0.12</v>
      </c>
    </row>
    <row r="988" spans="11:12" x14ac:dyDescent="0.35">
      <c r="K988" s="10" t="s">
        <v>307</v>
      </c>
      <c r="L988" s="4">
        <v>0.11</v>
      </c>
    </row>
    <row r="989" spans="11:12" x14ac:dyDescent="0.35">
      <c r="K989" s="10" t="s">
        <v>616</v>
      </c>
      <c r="L989" s="4">
        <v>0.11</v>
      </c>
    </row>
    <row r="990" spans="11:12" x14ac:dyDescent="0.35">
      <c r="K990" s="10" t="s">
        <v>255</v>
      </c>
      <c r="L990" s="4">
        <v>0.11</v>
      </c>
    </row>
    <row r="991" spans="11:12" x14ac:dyDescent="0.35">
      <c r="K991" s="10" t="s">
        <v>426</v>
      </c>
      <c r="L991" s="4">
        <v>0.11</v>
      </c>
    </row>
    <row r="992" spans="11:12" x14ac:dyDescent="0.35">
      <c r="K992" s="10" t="s">
        <v>396</v>
      </c>
      <c r="L992" s="4">
        <v>0.11</v>
      </c>
    </row>
    <row r="993" spans="11:12" x14ac:dyDescent="0.35">
      <c r="K993" s="10" t="s">
        <v>1035</v>
      </c>
      <c r="L993" s="4">
        <v>0.11</v>
      </c>
    </row>
    <row r="994" spans="11:12" x14ac:dyDescent="0.35">
      <c r="K994" s="10" t="s">
        <v>650</v>
      </c>
      <c r="L994" s="4">
        <v>0.11</v>
      </c>
    </row>
    <row r="995" spans="11:12" x14ac:dyDescent="0.35">
      <c r="K995" s="10" t="s">
        <v>190</v>
      </c>
      <c r="L995" s="4">
        <v>0.11</v>
      </c>
    </row>
    <row r="996" spans="11:12" x14ac:dyDescent="0.35">
      <c r="K996" s="10" t="s">
        <v>797</v>
      </c>
      <c r="L996" s="4">
        <v>0.11</v>
      </c>
    </row>
    <row r="997" spans="11:12" x14ac:dyDescent="0.35">
      <c r="K997" s="10" t="s">
        <v>393</v>
      </c>
      <c r="L997" s="4">
        <v>0.11</v>
      </c>
    </row>
    <row r="998" spans="11:12" x14ac:dyDescent="0.35">
      <c r="K998" s="10" t="s">
        <v>691</v>
      </c>
      <c r="L998" s="4">
        <v>0.1</v>
      </c>
    </row>
    <row r="999" spans="11:12" x14ac:dyDescent="0.35">
      <c r="K999" s="10" t="s">
        <v>851</v>
      </c>
      <c r="L999" s="4">
        <v>0.1</v>
      </c>
    </row>
    <row r="1000" spans="11:12" x14ac:dyDescent="0.35">
      <c r="K1000" s="10" t="s">
        <v>63</v>
      </c>
      <c r="L1000" s="4">
        <v>0.1</v>
      </c>
    </row>
    <row r="1001" spans="11:12" x14ac:dyDescent="0.35">
      <c r="K1001" s="10" t="s">
        <v>685</v>
      </c>
      <c r="L1001" s="4">
        <v>0.1</v>
      </c>
    </row>
    <row r="1002" spans="11:12" x14ac:dyDescent="0.35">
      <c r="K1002" s="10" t="s">
        <v>483</v>
      </c>
      <c r="L1002" s="4">
        <v>0.1</v>
      </c>
    </row>
    <row r="1003" spans="11:12" x14ac:dyDescent="0.35">
      <c r="K1003" s="10" t="s">
        <v>800</v>
      </c>
      <c r="L1003" s="4">
        <v>0.09</v>
      </c>
    </row>
    <row r="1004" spans="11:12" x14ac:dyDescent="0.35">
      <c r="K1004" s="10" t="s">
        <v>453</v>
      </c>
      <c r="L1004" s="4">
        <v>0.09</v>
      </c>
    </row>
    <row r="1005" spans="11:12" x14ac:dyDescent="0.35">
      <c r="K1005" s="10" t="s">
        <v>692</v>
      </c>
      <c r="L1005" s="4">
        <v>0.09</v>
      </c>
    </row>
    <row r="1006" spans="11:12" x14ac:dyDescent="0.35">
      <c r="K1006" s="10" t="s">
        <v>243</v>
      </c>
      <c r="L1006" s="4">
        <v>0.09</v>
      </c>
    </row>
    <row r="1007" spans="11:12" x14ac:dyDescent="0.35">
      <c r="K1007" s="10" t="s">
        <v>538</v>
      </c>
      <c r="L1007" s="4">
        <v>0.09</v>
      </c>
    </row>
    <row r="1008" spans="11:12" x14ac:dyDescent="0.35">
      <c r="K1008" s="10" t="s">
        <v>310</v>
      </c>
      <c r="L1008" s="4">
        <v>0.09</v>
      </c>
    </row>
    <row r="1009" spans="11:12" x14ac:dyDescent="0.35">
      <c r="K1009" s="10" t="s">
        <v>1036</v>
      </c>
      <c r="L1009" s="4">
        <v>0.09</v>
      </c>
    </row>
    <row r="1010" spans="11:12" x14ac:dyDescent="0.35">
      <c r="K1010" s="10" t="s">
        <v>565</v>
      </c>
      <c r="L1010" s="4">
        <v>0.09</v>
      </c>
    </row>
    <row r="1011" spans="11:12" x14ac:dyDescent="0.35">
      <c r="K1011" s="10" t="s">
        <v>137</v>
      </c>
      <c r="L1011" s="4">
        <v>0.08</v>
      </c>
    </row>
    <row r="1012" spans="11:12" x14ac:dyDescent="0.35">
      <c r="K1012" s="10" t="s">
        <v>232</v>
      </c>
      <c r="L1012" s="4">
        <v>0.08</v>
      </c>
    </row>
    <row r="1013" spans="11:12" x14ac:dyDescent="0.35">
      <c r="K1013" s="10" t="s">
        <v>555</v>
      </c>
      <c r="L1013" s="4">
        <v>0.08</v>
      </c>
    </row>
    <row r="1014" spans="11:12" x14ac:dyDescent="0.35">
      <c r="K1014" s="10" t="s">
        <v>364</v>
      </c>
      <c r="L1014" s="4">
        <v>0.08</v>
      </c>
    </row>
    <row r="1015" spans="11:12" x14ac:dyDescent="0.35">
      <c r="K1015" s="10" t="s">
        <v>669</v>
      </c>
      <c r="L1015" s="4">
        <v>0.08</v>
      </c>
    </row>
    <row r="1016" spans="11:12" x14ac:dyDescent="0.35">
      <c r="K1016" s="10" t="s">
        <v>455</v>
      </c>
      <c r="L1016" s="4">
        <v>7.0000000000000007E-2</v>
      </c>
    </row>
    <row r="1017" spans="11:12" x14ac:dyDescent="0.35">
      <c r="K1017" s="10" t="s">
        <v>518</v>
      </c>
      <c r="L1017" s="4">
        <v>7.0000000000000007E-2</v>
      </c>
    </row>
    <row r="1018" spans="11:12" x14ac:dyDescent="0.35">
      <c r="K1018" s="10" t="s">
        <v>963</v>
      </c>
      <c r="L1018" s="4">
        <v>7.0000000000000007E-2</v>
      </c>
    </row>
    <row r="1019" spans="11:12" x14ac:dyDescent="0.35">
      <c r="K1019" s="10" t="s">
        <v>718</v>
      </c>
      <c r="L1019" s="4">
        <v>7.0000000000000007E-2</v>
      </c>
    </row>
    <row r="1020" spans="11:12" x14ac:dyDescent="0.35">
      <c r="K1020" s="10" t="s">
        <v>675</v>
      </c>
      <c r="L1020" s="4">
        <v>0.06</v>
      </c>
    </row>
    <row r="1021" spans="11:12" x14ac:dyDescent="0.35">
      <c r="K1021" s="10" t="s">
        <v>117</v>
      </c>
      <c r="L1021" s="4">
        <v>0.06</v>
      </c>
    </row>
    <row r="1022" spans="11:12" x14ac:dyDescent="0.35">
      <c r="K1022" s="10" t="s">
        <v>845</v>
      </c>
      <c r="L1022" s="4">
        <v>0.06</v>
      </c>
    </row>
    <row r="1023" spans="11:12" x14ac:dyDescent="0.35">
      <c r="K1023" s="10" t="s">
        <v>909</v>
      </c>
      <c r="L1023" s="4">
        <v>0.06</v>
      </c>
    </row>
    <row r="1024" spans="11:12" x14ac:dyDescent="0.35">
      <c r="K1024" s="10" t="s">
        <v>799</v>
      </c>
      <c r="L1024" s="4">
        <v>0.06</v>
      </c>
    </row>
    <row r="1025" spans="11:12" x14ac:dyDescent="0.35">
      <c r="K1025" s="10" t="s">
        <v>430</v>
      </c>
      <c r="L1025" s="4">
        <v>0.06</v>
      </c>
    </row>
    <row r="1026" spans="11:12" x14ac:dyDescent="0.35">
      <c r="K1026" s="10" t="s">
        <v>717</v>
      </c>
      <c r="L1026" s="4">
        <v>0.05</v>
      </c>
    </row>
    <row r="1027" spans="11:12" x14ac:dyDescent="0.35">
      <c r="K1027" s="10" t="s">
        <v>184</v>
      </c>
      <c r="L1027" s="4">
        <v>0.05</v>
      </c>
    </row>
    <row r="1028" spans="11:12" x14ac:dyDescent="0.35">
      <c r="K1028" s="10" t="s">
        <v>420</v>
      </c>
      <c r="L1028" s="4">
        <v>0.05</v>
      </c>
    </row>
    <row r="1029" spans="11:12" x14ac:dyDescent="0.35">
      <c r="K1029" s="10" t="s">
        <v>573</v>
      </c>
      <c r="L1029" s="4">
        <v>0.05</v>
      </c>
    </row>
    <row r="1030" spans="11:12" x14ac:dyDescent="0.35">
      <c r="K1030" s="10" t="s">
        <v>315</v>
      </c>
      <c r="L1030" s="4">
        <v>0.05</v>
      </c>
    </row>
    <row r="1031" spans="11:12" x14ac:dyDescent="0.35">
      <c r="K1031" s="10" t="s">
        <v>474</v>
      </c>
      <c r="L1031" s="4">
        <v>0.05</v>
      </c>
    </row>
    <row r="1032" spans="11:12" x14ac:dyDescent="0.35">
      <c r="K1032" s="10" t="s">
        <v>747</v>
      </c>
      <c r="L1032" s="4">
        <v>0.05</v>
      </c>
    </row>
    <row r="1033" spans="11:12" x14ac:dyDescent="0.35">
      <c r="K1033" s="10" t="s">
        <v>658</v>
      </c>
      <c r="L1033" s="4">
        <v>0.05</v>
      </c>
    </row>
    <row r="1034" spans="11:12" x14ac:dyDescent="0.35">
      <c r="K1034" s="10" t="s">
        <v>746</v>
      </c>
      <c r="L1034" s="4">
        <v>0.05</v>
      </c>
    </row>
    <row r="1035" spans="11:12" x14ac:dyDescent="0.35">
      <c r="K1035" s="10" t="s">
        <v>865</v>
      </c>
      <c r="L1035" s="4">
        <v>0.05</v>
      </c>
    </row>
    <row r="1036" spans="11:12" x14ac:dyDescent="0.35">
      <c r="K1036" s="10" t="s">
        <v>852</v>
      </c>
      <c r="L1036" s="4">
        <v>0.05</v>
      </c>
    </row>
    <row r="1037" spans="11:12" x14ac:dyDescent="0.35">
      <c r="K1037" s="10" t="s">
        <v>757</v>
      </c>
      <c r="L1037" s="4">
        <v>0.05</v>
      </c>
    </row>
    <row r="1038" spans="11:12" x14ac:dyDescent="0.35">
      <c r="K1038" s="10" t="s">
        <v>1045</v>
      </c>
      <c r="L1038" s="4">
        <v>898.5200000000001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A1:Q1001"/>
  <sheetViews>
    <sheetView topLeftCell="A856" zoomScale="97" workbookViewId="0">
      <selection activeCell="Q3" sqref="Q3"/>
    </sheetView>
  </sheetViews>
  <sheetFormatPr defaultRowHeight="14.5" x14ac:dyDescent="0.35"/>
  <cols>
    <col min="1" max="1" width="14.6328125" bestFit="1" customWidth="1"/>
    <col min="2" max="2" width="25.81640625" bestFit="1" customWidth="1"/>
    <col min="3" max="3" width="14.08984375" bestFit="1" customWidth="1"/>
    <col min="4" max="4" width="11.54296875" bestFit="1" customWidth="1"/>
    <col min="5" max="5" width="26.453125" bestFit="1" customWidth="1"/>
    <col min="6" max="6" width="18.81640625" bestFit="1" customWidth="1"/>
    <col min="7" max="7" width="18.08984375" bestFit="1" customWidth="1"/>
    <col min="8" max="8" width="27.1796875" style="4" bestFit="1" customWidth="1"/>
    <col min="9" max="9" width="36" style="4" bestFit="1" customWidth="1"/>
    <col min="10" max="10" width="27.81640625" style="4" bestFit="1" customWidth="1"/>
    <col min="11" max="12" width="26.54296875" style="4" bestFit="1" customWidth="1"/>
    <col min="13" max="13" width="20.453125" bestFit="1" customWidth="1"/>
    <col min="14" max="14" width="25.08984375" bestFit="1" customWidth="1"/>
  </cols>
  <sheetData>
    <row r="1" spans="1:17" s="8" customFormat="1" ht="17.5" thickBot="1" x14ac:dyDescent="0.45">
      <c r="A1" s="5" t="s">
        <v>0</v>
      </c>
      <c r="B1" s="5" t="s">
        <v>1</v>
      </c>
      <c r="C1" s="5" t="s">
        <v>2</v>
      </c>
      <c r="D1" s="5" t="s">
        <v>3</v>
      </c>
      <c r="E1" s="5" t="s">
        <v>4</v>
      </c>
      <c r="F1" s="6" t="s">
        <v>5</v>
      </c>
      <c r="G1" s="6" t="s">
        <v>6</v>
      </c>
      <c r="H1" s="7" t="s">
        <v>7</v>
      </c>
      <c r="I1" s="7" t="s">
        <v>8</v>
      </c>
      <c r="J1" s="7" t="s">
        <v>9</v>
      </c>
      <c r="K1" s="7" t="s">
        <v>10</v>
      </c>
      <c r="L1" s="7" t="s">
        <v>11</v>
      </c>
      <c r="M1" s="5" t="s">
        <v>12</v>
      </c>
      <c r="N1" s="5" t="s">
        <v>1043</v>
      </c>
    </row>
    <row r="2" spans="1:17" ht="15" thickTop="1" x14ac:dyDescent="0.35">
      <c r="A2" s="2">
        <v>1</v>
      </c>
      <c r="B2" s="2" t="s">
        <v>13</v>
      </c>
      <c r="C2" s="2" t="s">
        <v>14</v>
      </c>
      <c r="D2" s="2" t="s">
        <v>15</v>
      </c>
      <c r="E2" s="2" t="s">
        <v>16</v>
      </c>
      <c r="F2" s="2">
        <v>2013</v>
      </c>
      <c r="G2" s="2">
        <v>97</v>
      </c>
      <c r="H2" s="3">
        <v>0.74</v>
      </c>
      <c r="I2" s="3">
        <v>0.3</v>
      </c>
      <c r="J2" s="3">
        <v>0.17</v>
      </c>
      <c r="K2" s="3">
        <v>0.12</v>
      </c>
      <c r="L2" s="3">
        <v>0.15</v>
      </c>
      <c r="M2" s="2" t="s">
        <v>17</v>
      </c>
      <c r="N2" s="3" t="str" cm="1">
        <f t="array" ref="N2">_xlfn.IFS(G2&gt;=90,"Excellent",G2&gt;=80,"Good",G2&gt;=70,"Average",G2&lt;70,"Poor")</f>
        <v>Excellent</v>
      </c>
      <c r="P2" t="s">
        <v>1065</v>
      </c>
      <c r="Q2" t="s">
        <v>1066</v>
      </c>
    </row>
    <row r="3" spans="1:17" x14ac:dyDescent="0.35">
      <c r="A3" s="2">
        <v>2</v>
      </c>
      <c r="B3" s="2" t="s">
        <v>18</v>
      </c>
      <c r="C3" s="2" t="s">
        <v>19</v>
      </c>
      <c r="D3" s="2" t="s">
        <v>15</v>
      </c>
      <c r="E3" s="2" t="s">
        <v>20</v>
      </c>
      <c r="F3" s="2">
        <v>2018</v>
      </c>
      <c r="G3" s="2">
        <v>94</v>
      </c>
      <c r="H3" s="3">
        <v>10.18</v>
      </c>
      <c r="I3" s="3">
        <v>3.74</v>
      </c>
      <c r="J3" s="3">
        <v>2.68</v>
      </c>
      <c r="K3" s="3">
        <v>0.55000000000000004</v>
      </c>
      <c r="L3" s="3">
        <v>3.21</v>
      </c>
      <c r="M3" s="2" t="s">
        <v>21</v>
      </c>
      <c r="N3" s="3" t="str" cm="1">
        <f t="array" ref="N3">_xlfn.IFS(G3&gt;=90,"Excellent",G3&gt;=80,"Good",G3&gt;=70,"Average",G3&lt;70,"Poor")</f>
        <v>Excellent</v>
      </c>
      <c r="P3">
        <v>1</v>
      </c>
    </row>
    <row r="4" spans="1:17" x14ac:dyDescent="0.35">
      <c r="A4" s="2">
        <v>3</v>
      </c>
      <c r="B4" s="2" t="s">
        <v>22</v>
      </c>
      <c r="C4" s="2" t="s">
        <v>23</v>
      </c>
      <c r="D4" s="2" t="s">
        <v>15</v>
      </c>
      <c r="E4" s="2" t="s">
        <v>20</v>
      </c>
      <c r="F4" s="2">
        <v>2022</v>
      </c>
      <c r="G4" s="2">
        <v>94</v>
      </c>
      <c r="H4" s="3">
        <v>0.31</v>
      </c>
      <c r="I4" s="3">
        <v>0.11</v>
      </c>
      <c r="J4" s="3">
        <v>7.0000000000000007E-2</v>
      </c>
      <c r="K4" s="3">
        <v>0.05</v>
      </c>
      <c r="L4" s="3">
        <v>0.08</v>
      </c>
      <c r="M4" s="2" t="s">
        <v>24</v>
      </c>
      <c r="N4" s="3" t="str" cm="1">
        <f t="array" ref="N4">_xlfn.IFS(G4&gt;=90,"Excellent",G4&gt;=80,"Good",G4&gt;=70,"Average",G4&lt;70,"Poor")</f>
        <v>Excellent</v>
      </c>
    </row>
    <row r="5" spans="1:17" x14ac:dyDescent="0.35">
      <c r="A5" s="2">
        <v>4</v>
      </c>
      <c r="B5" s="2" t="s">
        <v>25</v>
      </c>
      <c r="C5" s="2" t="s">
        <v>14</v>
      </c>
      <c r="D5" s="2" t="s">
        <v>15</v>
      </c>
      <c r="E5" s="2" t="s">
        <v>20</v>
      </c>
      <c r="F5" s="2">
        <v>2013</v>
      </c>
      <c r="G5" s="2">
        <v>95</v>
      </c>
      <c r="H5" s="3">
        <v>0.64</v>
      </c>
      <c r="I5" s="3">
        <v>0.3</v>
      </c>
      <c r="J5" s="3">
        <v>0.21</v>
      </c>
      <c r="K5" s="3">
        <v>0.03</v>
      </c>
      <c r="L5" s="3">
        <v>0.1</v>
      </c>
      <c r="M5" s="2" t="s">
        <v>17</v>
      </c>
      <c r="N5" s="3" t="str" cm="1">
        <f t="array" ref="N5">_xlfn.IFS(G5&gt;=90,"Excellent",G5&gt;=80,"Good",G5&gt;=70,"Average",G5&lt;70,"Poor")</f>
        <v>Excellent</v>
      </c>
    </row>
    <row r="6" spans="1:17" x14ac:dyDescent="0.35">
      <c r="A6" s="2">
        <v>5</v>
      </c>
      <c r="B6" s="2" t="s">
        <v>26</v>
      </c>
      <c r="C6" s="2" t="s">
        <v>19</v>
      </c>
      <c r="D6" s="2" t="s">
        <v>15</v>
      </c>
      <c r="E6" s="2" t="s">
        <v>20</v>
      </c>
      <c r="F6" s="2">
        <v>2020</v>
      </c>
      <c r="G6" s="2">
        <v>93</v>
      </c>
      <c r="H6" s="3">
        <v>3.87</v>
      </c>
      <c r="I6" s="3">
        <v>1.62</v>
      </c>
      <c r="J6" s="3">
        <v>0.86</v>
      </c>
      <c r="K6" s="3">
        <v>0.75</v>
      </c>
      <c r="L6" s="3">
        <v>0.64</v>
      </c>
      <c r="M6" s="2" t="s">
        <v>27</v>
      </c>
      <c r="N6" s="3" t="str" cm="1">
        <f t="array" ref="N6">_xlfn.IFS(G6&gt;=90,"Excellent",G6&gt;=80,"Good",G6&gt;=70,"Average",G6&lt;70,"Poor")</f>
        <v>Excellent</v>
      </c>
    </row>
    <row r="7" spans="1:17" x14ac:dyDescent="0.35">
      <c r="A7" s="2">
        <v>6</v>
      </c>
      <c r="B7" s="2" t="s">
        <v>28</v>
      </c>
      <c r="C7" s="2" t="s">
        <v>23</v>
      </c>
      <c r="D7" s="2" t="s">
        <v>29</v>
      </c>
      <c r="E7" s="2" t="s">
        <v>20</v>
      </c>
      <c r="F7" s="2">
        <v>2022</v>
      </c>
      <c r="G7" s="2">
        <v>87</v>
      </c>
      <c r="H7" s="3">
        <v>0.56000000000000005</v>
      </c>
      <c r="I7" s="3">
        <v>0.21</v>
      </c>
      <c r="J7" s="3">
        <v>0.18</v>
      </c>
      <c r="K7" s="3">
        <v>0.08</v>
      </c>
      <c r="L7" s="3">
        <v>0.09</v>
      </c>
      <c r="M7" s="2" t="s">
        <v>17</v>
      </c>
      <c r="N7" s="3" t="str" cm="1">
        <f t="array" ref="N7">_xlfn.IFS(G7&gt;=90,"Excellent",G7&gt;=80,"Good",G7&gt;=70,"Average",G7&lt;70,"Poor")</f>
        <v>Good</v>
      </c>
    </row>
    <row r="8" spans="1:17" x14ac:dyDescent="0.35">
      <c r="A8" s="2">
        <v>7</v>
      </c>
      <c r="B8" s="2" t="s">
        <v>30</v>
      </c>
      <c r="C8" s="2" t="s">
        <v>31</v>
      </c>
      <c r="D8" s="2" t="s">
        <v>29</v>
      </c>
      <c r="E8" s="2" t="s">
        <v>20</v>
      </c>
      <c r="F8" s="2">
        <v>2004</v>
      </c>
      <c r="G8" s="2">
        <v>89</v>
      </c>
      <c r="H8" s="3">
        <v>3.83</v>
      </c>
      <c r="I8" s="3">
        <v>1.75</v>
      </c>
      <c r="J8" s="3">
        <v>1.33</v>
      </c>
      <c r="K8" s="3">
        <v>0.41</v>
      </c>
      <c r="L8" s="3">
        <v>0.34</v>
      </c>
      <c r="M8" s="2" t="s">
        <v>27</v>
      </c>
      <c r="N8" s="3" t="str" cm="1">
        <f t="array" ref="N8">_xlfn.IFS(G8&gt;=90,"Excellent",G8&gt;=80,"Good",G8&gt;=70,"Average",G8&lt;70,"Poor")</f>
        <v>Good</v>
      </c>
    </row>
    <row r="9" spans="1:17" x14ac:dyDescent="0.35">
      <c r="A9" s="2">
        <v>8</v>
      </c>
      <c r="B9" s="2" t="s">
        <v>32</v>
      </c>
      <c r="C9" s="2" t="s">
        <v>19</v>
      </c>
      <c r="D9" s="2" t="s">
        <v>33</v>
      </c>
      <c r="E9" s="2" t="s">
        <v>20</v>
      </c>
      <c r="F9" s="2">
        <v>2016</v>
      </c>
      <c r="G9" s="2">
        <v>93</v>
      </c>
      <c r="H9" s="3">
        <v>1.3</v>
      </c>
      <c r="I9" s="3">
        <v>0.62</v>
      </c>
      <c r="J9" s="3">
        <v>0.43</v>
      </c>
      <c r="K9" s="3">
        <v>0.18</v>
      </c>
      <c r="L9" s="3">
        <v>7.0000000000000007E-2</v>
      </c>
      <c r="M9" s="2" t="s">
        <v>17</v>
      </c>
      <c r="N9" s="3" t="str" cm="1">
        <f t="array" ref="N9">_xlfn.IFS(G9&gt;=90,"Excellent",G9&gt;=80,"Good",G9&gt;=70,"Average",G9&lt;70,"Poor")</f>
        <v>Excellent</v>
      </c>
    </row>
    <row r="10" spans="1:17" x14ac:dyDescent="0.35">
      <c r="A10" s="2">
        <v>9</v>
      </c>
      <c r="B10" s="2" t="s">
        <v>34</v>
      </c>
      <c r="C10" s="2" t="s">
        <v>19</v>
      </c>
      <c r="D10" s="2" t="s">
        <v>15</v>
      </c>
      <c r="E10" s="2" t="s">
        <v>20</v>
      </c>
      <c r="F10" s="2">
        <v>2018</v>
      </c>
      <c r="G10" s="2">
        <v>87</v>
      </c>
      <c r="H10" s="3">
        <v>1.1299999999999999</v>
      </c>
      <c r="I10" s="3">
        <v>0.45</v>
      </c>
      <c r="J10" s="3">
        <v>0.28000000000000003</v>
      </c>
      <c r="K10" s="3">
        <v>7.0000000000000007E-2</v>
      </c>
      <c r="L10" s="3">
        <v>0.33</v>
      </c>
      <c r="M10" s="2" t="s">
        <v>17</v>
      </c>
      <c r="N10" s="3" t="str" cm="1">
        <f t="array" ref="N10">_xlfn.IFS(G10&gt;=90,"Excellent",G10&gt;=80,"Good",G10&gt;=70,"Average",G10&lt;70,"Poor")</f>
        <v>Good</v>
      </c>
    </row>
    <row r="11" spans="1:17" x14ac:dyDescent="0.35">
      <c r="A11" s="2">
        <v>10</v>
      </c>
      <c r="B11" s="2" t="s">
        <v>35</v>
      </c>
      <c r="C11" s="2" t="s">
        <v>23</v>
      </c>
      <c r="D11" s="2" t="s">
        <v>15</v>
      </c>
      <c r="E11" s="2" t="s">
        <v>20</v>
      </c>
      <c r="F11" s="2">
        <v>2020</v>
      </c>
      <c r="G11" s="2">
        <v>85</v>
      </c>
      <c r="H11" s="3">
        <v>0.47</v>
      </c>
      <c r="I11" s="3">
        <v>0.19</v>
      </c>
      <c r="J11" s="3">
        <v>0.14000000000000001</v>
      </c>
      <c r="K11" s="3">
        <v>0.05</v>
      </c>
      <c r="L11" s="3">
        <v>0.09</v>
      </c>
      <c r="M11" s="2" t="s">
        <v>24</v>
      </c>
      <c r="N11" s="3" t="str" cm="1">
        <f t="array" ref="N11">_xlfn.IFS(G11&gt;=90,"Excellent",G11&gt;=80,"Good",G11&gt;=70,"Average",G11&lt;70,"Poor")</f>
        <v>Good</v>
      </c>
    </row>
    <row r="12" spans="1:17" x14ac:dyDescent="0.35">
      <c r="A12" s="2">
        <v>11</v>
      </c>
      <c r="B12" s="2" t="s">
        <v>36</v>
      </c>
      <c r="C12" s="2" t="s">
        <v>19</v>
      </c>
      <c r="D12" s="2" t="s">
        <v>37</v>
      </c>
      <c r="E12" s="2" t="s">
        <v>20</v>
      </c>
      <c r="F12" s="2">
        <v>2017</v>
      </c>
      <c r="G12" s="2">
        <v>89</v>
      </c>
      <c r="H12" s="3">
        <v>0.63</v>
      </c>
      <c r="I12" s="3">
        <v>0.25</v>
      </c>
      <c r="J12" s="3">
        <v>0.21</v>
      </c>
      <c r="K12" s="3">
        <v>0.09</v>
      </c>
      <c r="L12" s="3">
        <v>0.08</v>
      </c>
      <c r="M12" s="2" t="s">
        <v>17</v>
      </c>
      <c r="N12" s="3" t="str" cm="1">
        <f t="array" ref="N12">_xlfn.IFS(G12&gt;=90,"Excellent",G12&gt;=80,"Good",G12&gt;=70,"Average",G12&lt;70,"Poor")</f>
        <v>Good</v>
      </c>
    </row>
    <row r="13" spans="1:17" x14ac:dyDescent="0.35">
      <c r="A13" s="2">
        <v>12</v>
      </c>
      <c r="B13" s="2" t="s">
        <v>38</v>
      </c>
      <c r="C13" s="2" t="s">
        <v>19</v>
      </c>
      <c r="D13" s="2" t="s">
        <v>15</v>
      </c>
      <c r="E13" s="2" t="s">
        <v>20</v>
      </c>
      <c r="F13" s="2">
        <v>2020</v>
      </c>
      <c r="G13" s="2">
        <v>83</v>
      </c>
      <c r="H13" s="3">
        <v>0.99</v>
      </c>
      <c r="I13" s="3">
        <v>0.49</v>
      </c>
      <c r="J13" s="3">
        <v>0.22</v>
      </c>
      <c r="K13" s="3">
        <v>0.11</v>
      </c>
      <c r="L13" s="3">
        <v>0.17</v>
      </c>
      <c r="M13" s="2" t="s">
        <v>17</v>
      </c>
      <c r="N13" s="3" t="str" cm="1">
        <f t="array" ref="N13">_xlfn.IFS(G13&gt;=90,"Excellent",G13&gt;=80,"Good",G13&gt;=70,"Average",G13&lt;70,"Poor")</f>
        <v>Good</v>
      </c>
    </row>
    <row r="14" spans="1:17" x14ac:dyDescent="0.35">
      <c r="A14" s="2">
        <v>13</v>
      </c>
      <c r="B14" s="2" t="s">
        <v>39</v>
      </c>
      <c r="C14" s="2" t="s">
        <v>19</v>
      </c>
      <c r="D14" s="2" t="s">
        <v>37</v>
      </c>
      <c r="E14" s="2" t="s">
        <v>20</v>
      </c>
      <c r="F14" s="2">
        <v>2015</v>
      </c>
      <c r="G14" s="2">
        <v>92</v>
      </c>
      <c r="H14" s="3">
        <v>1.07</v>
      </c>
      <c r="I14" s="3">
        <v>0.55000000000000004</v>
      </c>
      <c r="J14" s="3">
        <v>0.34</v>
      </c>
      <c r="K14" s="3">
        <v>0.09</v>
      </c>
      <c r="L14" s="3">
        <v>0.09</v>
      </c>
      <c r="M14" s="2" t="s">
        <v>17</v>
      </c>
      <c r="N14" s="3" t="str" cm="1">
        <f t="array" ref="N14">_xlfn.IFS(G14&gt;=90,"Excellent",G14&gt;=80,"Good",G14&gt;=70,"Average",G14&lt;70,"Poor")</f>
        <v>Excellent</v>
      </c>
    </row>
    <row r="15" spans="1:17" x14ac:dyDescent="0.35">
      <c r="A15" s="2">
        <v>14</v>
      </c>
      <c r="B15" s="2" t="s">
        <v>40</v>
      </c>
      <c r="C15" s="2" t="s">
        <v>19</v>
      </c>
      <c r="D15" s="2" t="s">
        <v>37</v>
      </c>
      <c r="E15" s="2" t="s">
        <v>41</v>
      </c>
      <c r="F15" s="2">
        <v>2020</v>
      </c>
      <c r="G15" s="2">
        <v>87</v>
      </c>
      <c r="H15" s="3">
        <v>0.28000000000000003</v>
      </c>
      <c r="I15" s="3">
        <v>0.11</v>
      </c>
      <c r="J15" s="3">
        <v>0.06</v>
      </c>
      <c r="K15" s="3">
        <v>0.05</v>
      </c>
      <c r="L15" s="3">
        <v>0.06</v>
      </c>
      <c r="M15" s="2" t="s">
        <v>24</v>
      </c>
      <c r="N15" s="3" t="str" cm="1">
        <f t="array" ref="N15">_xlfn.IFS(G15&gt;=90,"Excellent",G15&gt;=80,"Good",G15&gt;=70,"Average",G15&lt;70,"Poor")</f>
        <v>Good</v>
      </c>
    </row>
    <row r="16" spans="1:17" x14ac:dyDescent="0.35">
      <c r="A16" s="2">
        <v>15</v>
      </c>
      <c r="B16" s="2" t="s">
        <v>42</v>
      </c>
      <c r="C16" s="2" t="s">
        <v>19</v>
      </c>
      <c r="D16" s="2" t="s">
        <v>15</v>
      </c>
      <c r="E16" s="2" t="s">
        <v>43</v>
      </c>
      <c r="F16" s="2">
        <v>2019</v>
      </c>
      <c r="G16" s="2">
        <v>91</v>
      </c>
      <c r="H16" s="3">
        <v>1.89</v>
      </c>
      <c r="I16" s="3">
        <v>0.91</v>
      </c>
      <c r="J16" s="3">
        <v>0.49</v>
      </c>
      <c r="K16" s="3">
        <v>0.35</v>
      </c>
      <c r="L16" s="3">
        <v>0.14000000000000001</v>
      </c>
      <c r="M16" s="2" t="s">
        <v>17</v>
      </c>
      <c r="N16" s="3" t="str" cm="1">
        <f t="array" ref="N16">_xlfn.IFS(G16&gt;=90,"Excellent",G16&gt;=80,"Good",G16&gt;=70,"Average",G16&lt;70,"Poor")</f>
        <v>Excellent</v>
      </c>
    </row>
    <row r="17" spans="1:14" x14ac:dyDescent="0.35">
      <c r="A17" s="2">
        <v>16</v>
      </c>
      <c r="B17" s="2" t="s">
        <v>44</v>
      </c>
      <c r="C17" s="2" t="s">
        <v>19</v>
      </c>
      <c r="D17" s="2" t="s">
        <v>45</v>
      </c>
      <c r="E17" s="2" t="s">
        <v>46</v>
      </c>
      <c r="F17" s="2">
        <v>2017</v>
      </c>
      <c r="G17" s="2">
        <v>82</v>
      </c>
      <c r="H17" s="3">
        <v>0.74</v>
      </c>
      <c r="I17" s="3">
        <v>0.3</v>
      </c>
      <c r="J17" s="3">
        <v>0.21</v>
      </c>
      <c r="K17" s="3">
        <v>7.0000000000000007E-2</v>
      </c>
      <c r="L17" s="3">
        <v>0.16</v>
      </c>
      <c r="M17" s="2" t="s">
        <v>17</v>
      </c>
      <c r="N17" s="3" t="str" cm="1">
        <f t="array" ref="N17">_xlfn.IFS(G17&gt;=90,"Excellent",G17&gt;=80,"Good",G17&gt;=70,"Average",G17&lt;70,"Poor")</f>
        <v>Good</v>
      </c>
    </row>
    <row r="18" spans="1:14" x14ac:dyDescent="0.35">
      <c r="A18" s="2">
        <v>17</v>
      </c>
      <c r="B18" s="2" t="s">
        <v>47</v>
      </c>
      <c r="C18" s="2" t="s">
        <v>23</v>
      </c>
      <c r="D18" s="2" t="s">
        <v>48</v>
      </c>
      <c r="E18" s="2" t="s">
        <v>49</v>
      </c>
      <c r="F18" s="2">
        <v>2022</v>
      </c>
      <c r="G18" s="2">
        <v>78</v>
      </c>
      <c r="H18" s="3">
        <v>2.65</v>
      </c>
      <c r="I18" s="3">
        <v>1.1399999999999999</v>
      </c>
      <c r="J18" s="3">
        <v>0.62</v>
      </c>
      <c r="K18" s="3">
        <v>0.53</v>
      </c>
      <c r="L18" s="3">
        <v>0.36</v>
      </c>
      <c r="M18" s="2" t="s">
        <v>27</v>
      </c>
      <c r="N18" s="3" t="str" cm="1">
        <f t="array" ref="N18">_xlfn.IFS(G18&gt;=90,"Excellent",G18&gt;=80,"Good",G18&gt;=70,"Average",G18&lt;70,"Poor")</f>
        <v>Average</v>
      </c>
    </row>
    <row r="19" spans="1:14" x14ac:dyDescent="0.35">
      <c r="A19" s="2">
        <v>18</v>
      </c>
      <c r="B19" s="2" t="s">
        <v>50</v>
      </c>
      <c r="C19" s="2" t="s">
        <v>19</v>
      </c>
      <c r="D19" s="2" t="s">
        <v>51</v>
      </c>
      <c r="E19" s="2" t="s">
        <v>52</v>
      </c>
      <c r="F19" s="2">
        <v>2019</v>
      </c>
      <c r="G19" s="2">
        <v>80</v>
      </c>
      <c r="H19" s="3">
        <v>0.82</v>
      </c>
      <c r="I19" s="3">
        <v>0.28999999999999998</v>
      </c>
      <c r="J19" s="3">
        <v>0.18</v>
      </c>
      <c r="K19" s="3">
        <v>0.12</v>
      </c>
      <c r="L19" s="3">
        <v>0.23</v>
      </c>
      <c r="M19" s="2" t="s">
        <v>17</v>
      </c>
      <c r="N19" s="3" t="str" cm="1">
        <f t="array" ref="N19">_xlfn.IFS(G19&gt;=90,"Excellent",G19&gt;=80,"Good",G19&gt;=70,"Average",G19&lt;70,"Poor")</f>
        <v>Good</v>
      </c>
    </row>
    <row r="20" spans="1:14" x14ac:dyDescent="0.35">
      <c r="A20" s="2">
        <v>19</v>
      </c>
      <c r="B20" s="2" t="s">
        <v>53</v>
      </c>
      <c r="C20" s="2" t="s">
        <v>19</v>
      </c>
      <c r="D20" s="2" t="s">
        <v>15</v>
      </c>
      <c r="E20" s="2" t="s">
        <v>54</v>
      </c>
      <c r="F20" s="2">
        <v>2018</v>
      </c>
      <c r="G20" s="2">
        <v>86</v>
      </c>
      <c r="H20" s="3">
        <v>1.77</v>
      </c>
      <c r="I20" s="3">
        <v>0.64</v>
      </c>
      <c r="J20" s="3">
        <v>0.46</v>
      </c>
      <c r="K20" s="3">
        <v>0.35</v>
      </c>
      <c r="L20" s="3">
        <v>0.32</v>
      </c>
      <c r="M20" s="2" t="s">
        <v>17</v>
      </c>
      <c r="N20" s="3" t="str" cm="1">
        <f t="array" ref="N20">_xlfn.IFS(G20&gt;=90,"Excellent",G20&gt;=80,"Good",G20&gt;=70,"Average",G20&lt;70,"Poor")</f>
        <v>Good</v>
      </c>
    </row>
    <row r="21" spans="1:14" x14ac:dyDescent="0.35">
      <c r="A21" s="2">
        <v>20</v>
      </c>
      <c r="B21" s="2" t="s">
        <v>55</v>
      </c>
      <c r="C21" s="2" t="s">
        <v>19</v>
      </c>
      <c r="D21" s="2" t="s">
        <v>15</v>
      </c>
      <c r="E21" s="2" t="s">
        <v>16</v>
      </c>
      <c r="F21" s="2">
        <v>2018</v>
      </c>
      <c r="G21" s="2">
        <v>97</v>
      </c>
      <c r="H21" s="3">
        <v>3.83</v>
      </c>
      <c r="I21" s="3">
        <v>2</v>
      </c>
      <c r="J21" s="3">
        <v>0.77</v>
      </c>
      <c r="K21" s="3">
        <v>0.61</v>
      </c>
      <c r="L21" s="3">
        <v>0.45</v>
      </c>
      <c r="M21" s="2" t="s">
        <v>27</v>
      </c>
      <c r="N21" s="3" t="str" cm="1">
        <f t="array" ref="N21">_xlfn.IFS(G21&gt;=90,"Excellent",G21&gt;=80,"Good",G21&gt;=70,"Average",G21&lt;70,"Poor")</f>
        <v>Excellent</v>
      </c>
    </row>
    <row r="22" spans="1:14" x14ac:dyDescent="0.35">
      <c r="A22" s="2">
        <v>21</v>
      </c>
      <c r="B22" s="2" t="s">
        <v>56</v>
      </c>
      <c r="C22" s="2" t="s">
        <v>57</v>
      </c>
      <c r="D22" s="2" t="s">
        <v>51</v>
      </c>
      <c r="E22" s="2" t="s">
        <v>43</v>
      </c>
      <c r="F22" s="2">
        <v>2012</v>
      </c>
      <c r="G22" s="2">
        <v>82</v>
      </c>
      <c r="H22" s="3">
        <v>1.63</v>
      </c>
      <c r="I22" s="3">
        <v>0.89</v>
      </c>
      <c r="J22" s="3">
        <v>0.51</v>
      </c>
      <c r="K22" s="3">
        <v>0.21</v>
      </c>
      <c r="L22" s="3">
        <v>0.02</v>
      </c>
      <c r="M22" s="2" t="s">
        <v>17</v>
      </c>
      <c r="N22" s="3" t="str" cm="1">
        <f t="array" ref="N22">_xlfn.IFS(G22&gt;=90,"Excellent",G22&gt;=80,"Good",G22&gt;=70,"Average",G22&lt;70,"Poor")</f>
        <v>Good</v>
      </c>
    </row>
    <row r="23" spans="1:14" x14ac:dyDescent="0.35">
      <c r="A23" s="2">
        <v>22</v>
      </c>
      <c r="B23" s="2" t="s">
        <v>58</v>
      </c>
      <c r="C23" s="2" t="s">
        <v>59</v>
      </c>
      <c r="D23" s="2" t="s">
        <v>51</v>
      </c>
      <c r="E23" s="2" t="s">
        <v>60</v>
      </c>
      <c r="F23" s="2">
        <v>2000</v>
      </c>
      <c r="G23" s="2">
        <v>64</v>
      </c>
      <c r="H23" s="3">
        <v>0.34</v>
      </c>
      <c r="I23" s="3">
        <v>0.17</v>
      </c>
      <c r="J23" s="3">
        <v>0.11</v>
      </c>
      <c r="K23" s="3">
        <v>0.06</v>
      </c>
      <c r="L23" s="3">
        <v>0</v>
      </c>
      <c r="M23" s="2" t="s">
        <v>24</v>
      </c>
      <c r="N23" s="3" t="str" cm="1">
        <f t="array" ref="N23">_xlfn.IFS(G23&gt;=90,"Excellent",G23&gt;=80,"Good",G23&gt;=70,"Average",G23&lt;70,"Poor")</f>
        <v>Poor</v>
      </c>
    </row>
    <row r="24" spans="1:14" x14ac:dyDescent="0.35">
      <c r="A24" s="2">
        <v>23</v>
      </c>
      <c r="B24" s="2" t="s">
        <v>61</v>
      </c>
      <c r="C24" s="2" t="s">
        <v>23</v>
      </c>
      <c r="D24" s="2" t="s">
        <v>62</v>
      </c>
      <c r="E24" s="2" t="s">
        <v>20</v>
      </c>
      <c r="F24" s="2">
        <v>2022</v>
      </c>
      <c r="G24" s="2">
        <v>74</v>
      </c>
      <c r="H24" s="3">
        <v>0.43</v>
      </c>
      <c r="I24" s="3">
        <v>0.2</v>
      </c>
      <c r="J24" s="3">
        <v>0.09</v>
      </c>
      <c r="K24" s="3">
        <v>7.0000000000000007E-2</v>
      </c>
      <c r="L24" s="3">
        <v>7.0000000000000007E-2</v>
      </c>
      <c r="M24" s="2" t="s">
        <v>24</v>
      </c>
      <c r="N24" s="3" t="str" cm="1">
        <f t="array" ref="N24">_xlfn.IFS(G24&gt;=90,"Excellent",G24&gt;=80,"Good",G24&gt;=70,"Average",G24&lt;70,"Poor")</f>
        <v>Average</v>
      </c>
    </row>
    <row r="25" spans="1:14" x14ac:dyDescent="0.35">
      <c r="A25" s="2">
        <v>24</v>
      </c>
      <c r="B25" s="2" t="s">
        <v>63</v>
      </c>
      <c r="C25" s="2" t="s">
        <v>64</v>
      </c>
      <c r="D25" s="2" t="s">
        <v>65</v>
      </c>
      <c r="E25" s="2" t="s">
        <v>54</v>
      </c>
      <c r="F25" s="2">
        <v>2012</v>
      </c>
      <c r="G25" s="2">
        <v>90</v>
      </c>
      <c r="H25" s="3">
        <v>0.1</v>
      </c>
      <c r="I25" s="3">
        <v>0.05</v>
      </c>
      <c r="J25" s="3">
        <v>0.03</v>
      </c>
      <c r="K25" s="3">
        <v>0.02</v>
      </c>
      <c r="L25" s="3">
        <v>0</v>
      </c>
      <c r="M25" s="2" t="s">
        <v>24</v>
      </c>
      <c r="N25" s="3" t="str" cm="1">
        <f t="array" ref="N25">_xlfn.IFS(G25&gt;=90,"Excellent",G25&gt;=80,"Good",G25&gt;=70,"Average",G25&lt;70,"Poor")</f>
        <v>Excellent</v>
      </c>
    </row>
    <row r="26" spans="1:14" x14ac:dyDescent="0.35">
      <c r="A26" s="2">
        <v>25</v>
      </c>
      <c r="B26" s="2" t="s">
        <v>66</v>
      </c>
      <c r="C26" s="2" t="s">
        <v>64</v>
      </c>
      <c r="D26" s="2" t="s">
        <v>51</v>
      </c>
      <c r="E26" s="2" t="s">
        <v>41</v>
      </c>
      <c r="F26" s="2">
        <v>2014</v>
      </c>
      <c r="G26" s="2">
        <v>88</v>
      </c>
      <c r="H26" s="3">
        <v>0.27</v>
      </c>
      <c r="I26" s="3">
        <v>0.1</v>
      </c>
      <c r="J26" s="3">
        <v>0.05</v>
      </c>
      <c r="K26" s="3">
        <v>0.04</v>
      </c>
      <c r="L26" s="3">
        <v>0.08</v>
      </c>
      <c r="M26" s="2" t="s">
        <v>24</v>
      </c>
      <c r="N26" s="3" t="str" cm="1">
        <f t="array" ref="N26">_xlfn.IFS(G26&gt;=90,"Excellent",G26&gt;=80,"Good",G26&gt;=70,"Average",G26&lt;70,"Poor")</f>
        <v>Good</v>
      </c>
    </row>
    <row r="27" spans="1:14" x14ac:dyDescent="0.35">
      <c r="A27" s="2">
        <v>26</v>
      </c>
      <c r="B27" s="2" t="s">
        <v>67</v>
      </c>
      <c r="C27" s="2" t="s">
        <v>23</v>
      </c>
      <c r="D27" s="2" t="s">
        <v>15</v>
      </c>
      <c r="E27" s="2" t="s">
        <v>49</v>
      </c>
      <c r="F27" s="2">
        <v>2021</v>
      </c>
      <c r="G27" s="2">
        <v>59</v>
      </c>
      <c r="H27" s="3">
        <v>0.31</v>
      </c>
      <c r="I27" s="3">
        <v>0.15</v>
      </c>
      <c r="J27" s="3">
        <v>7.0000000000000007E-2</v>
      </c>
      <c r="K27" s="3">
        <v>0.02</v>
      </c>
      <c r="L27" s="3">
        <v>7.0000000000000007E-2</v>
      </c>
      <c r="M27" s="2" t="s">
        <v>24</v>
      </c>
      <c r="N27" s="3" t="str" cm="1">
        <f t="array" ref="N27">_xlfn.IFS(G27&gt;=90,"Excellent",G27&gt;=80,"Good",G27&gt;=70,"Average",G27&lt;70,"Poor")</f>
        <v>Poor</v>
      </c>
    </row>
    <row r="28" spans="1:14" x14ac:dyDescent="0.35">
      <c r="A28" s="2">
        <v>27</v>
      </c>
      <c r="B28" s="2" t="s">
        <v>68</v>
      </c>
      <c r="C28" s="2" t="s">
        <v>23</v>
      </c>
      <c r="D28" s="2" t="s">
        <v>62</v>
      </c>
      <c r="E28" s="2" t="s">
        <v>52</v>
      </c>
      <c r="F28" s="2">
        <v>2024</v>
      </c>
      <c r="G28" s="2">
        <v>67</v>
      </c>
      <c r="H28" s="3">
        <v>0.12</v>
      </c>
      <c r="I28" s="3">
        <v>0.05</v>
      </c>
      <c r="J28" s="3">
        <v>0.03</v>
      </c>
      <c r="K28" s="3">
        <v>0.02</v>
      </c>
      <c r="L28" s="3">
        <v>0.02</v>
      </c>
      <c r="M28" s="2" t="s">
        <v>24</v>
      </c>
      <c r="N28" s="3" t="str" cm="1">
        <f t="array" ref="N28">_xlfn.IFS(G28&gt;=90,"Excellent",G28&gt;=80,"Good",G28&gt;=70,"Average",G28&lt;70,"Poor")</f>
        <v>Poor</v>
      </c>
    </row>
    <row r="29" spans="1:14" x14ac:dyDescent="0.35">
      <c r="A29" s="2">
        <v>28</v>
      </c>
      <c r="B29" s="2" t="s">
        <v>69</v>
      </c>
      <c r="C29" s="2" t="s">
        <v>59</v>
      </c>
      <c r="D29" s="2" t="s">
        <v>33</v>
      </c>
      <c r="E29" s="2" t="s">
        <v>20</v>
      </c>
      <c r="F29" s="2">
        <v>2000</v>
      </c>
      <c r="G29" s="2">
        <v>61</v>
      </c>
      <c r="H29" s="3">
        <v>0.25</v>
      </c>
      <c r="I29" s="3">
        <v>0.11</v>
      </c>
      <c r="J29" s="3">
        <v>7.0000000000000007E-2</v>
      </c>
      <c r="K29" s="3">
        <v>0.02</v>
      </c>
      <c r="L29" s="3">
        <v>0.05</v>
      </c>
      <c r="M29" s="2" t="s">
        <v>24</v>
      </c>
      <c r="N29" s="3" t="str" cm="1">
        <f t="array" ref="N29">_xlfn.IFS(G29&gt;=90,"Excellent",G29&gt;=80,"Good",G29&gt;=70,"Average",G29&lt;70,"Poor")</f>
        <v>Poor</v>
      </c>
    </row>
    <row r="30" spans="1:14" x14ac:dyDescent="0.35">
      <c r="A30" s="2">
        <v>29</v>
      </c>
      <c r="B30" s="2" t="s">
        <v>70</v>
      </c>
      <c r="C30" s="2" t="s">
        <v>31</v>
      </c>
      <c r="D30" s="2" t="s">
        <v>33</v>
      </c>
      <c r="E30" s="2" t="s">
        <v>16</v>
      </c>
      <c r="F30" s="2">
        <v>2006</v>
      </c>
      <c r="G30" s="2">
        <v>58</v>
      </c>
      <c r="H30" s="3">
        <v>1.1100000000000001</v>
      </c>
      <c r="I30" s="3">
        <v>0.39</v>
      </c>
      <c r="J30" s="3">
        <v>0.24</v>
      </c>
      <c r="K30" s="3">
        <v>0.18</v>
      </c>
      <c r="L30" s="3">
        <v>0.3</v>
      </c>
      <c r="M30" s="2" t="s">
        <v>17</v>
      </c>
      <c r="N30" s="3" t="str" cm="1">
        <f t="array" ref="N30">_xlfn.IFS(G30&gt;=90,"Excellent",G30&gt;=80,"Good",G30&gt;=70,"Average",G30&lt;70,"Poor")</f>
        <v>Poor</v>
      </c>
    </row>
    <row r="31" spans="1:14" x14ac:dyDescent="0.35">
      <c r="A31" s="2">
        <v>30</v>
      </c>
      <c r="B31" s="2" t="s">
        <v>71</v>
      </c>
      <c r="C31" s="2" t="s">
        <v>31</v>
      </c>
      <c r="D31" s="2" t="s">
        <v>45</v>
      </c>
      <c r="E31" s="2" t="s">
        <v>16</v>
      </c>
      <c r="F31" s="2">
        <v>2001</v>
      </c>
      <c r="G31" s="2">
        <v>80</v>
      </c>
      <c r="H31" s="3">
        <v>1.4</v>
      </c>
      <c r="I31" s="3">
        <v>0.49</v>
      </c>
      <c r="J31" s="3">
        <v>0.36</v>
      </c>
      <c r="K31" s="3">
        <v>0.26</v>
      </c>
      <c r="L31" s="3">
        <v>0.28999999999999998</v>
      </c>
      <c r="M31" s="2" t="s">
        <v>17</v>
      </c>
      <c r="N31" s="3" t="str" cm="1">
        <f t="array" ref="N31">_xlfn.IFS(G31&gt;=90,"Excellent",G31&gt;=80,"Good",G31&gt;=70,"Average",G31&lt;70,"Poor")</f>
        <v>Good</v>
      </c>
    </row>
    <row r="32" spans="1:14" x14ac:dyDescent="0.35">
      <c r="A32" s="2">
        <v>31</v>
      </c>
      <c r="B32" s="2" t="s">
        <v>72</v>
      </c>
      <c r="C32" s="2" t="s">
        <v>64</v>
      </c>
      <c r="D32" s="2" t="s">
        <v>51</v>
      </c>
      <c r="E32" s="2" t="s">
        <v>41</v>
      </c>
      <c r="F32" s="2">
        <v>2018</v>
      </c>
      <c r="G32" s="2">
        <v>64</v>
      </c>
      <c r="H32" s="3">
        <v>0.16</v>
      </c>
      <c r="I32" s="3">
        <v>0.06</v>
      </c>
      <c r="J32" s="3">
        <v>0.05</v>
      </c>
      <c r="K32" s="3">
        <v>0.01</v>
      </c>
      <c r="L32" s="3">
        <v>0.04</v>
      </c>
      <c r="M32" s="2" t="s">
        <v>24</v>
      </c>
      <c r="N32" s="3" t="str" cm="1">
        <f t="array" ref="N32">_xlfn.IFS(G32&gt;=90,"Excellent",G32&gt;=80,"Good",G32&gt;=70,"Average",G32&lt;70,"Poor")</f>
        <v>Poor</v>
      </c>
    </row>
    <row r="33" spans="1:14" x14ac:dyDescent="0.35">
      <c r="A33" s="2">
        <v>32</v>
      </c>
      <c r="B33" s="2" t="s">
        <v>73</v>
      </c>
      <c r="C33" s="2" t="s">
        <v>14</v>
      </c>
      <c r="D33" s="2" t="s">
        <v>15</v>
      </c>
      <c r="E33" s="2" t="s">
        <v>74</v>
      </c>
      <c r="F33" s="2">
        <v>2006</v>
      </c>
      <c r="G33" s="2">
        <v>88</v>
      </c>
      <c r="H33" s="3">
        <v>0.27</v>
      </c>
      <c r="I33" s="3">
        <v>0.13</v>
      </c>
      <c r="J33" s="3">
        <v>0.08</v>
      </c>
      <c r="K33" s="3">
        <v>0.02</v>
      </c>
      <c r="L33" s="3">
        <v>0.04</v>
      </c>
      <c r="M33" s="2" t="s">
        <v>24</v>
      </c>
      <c r="N33" s="3" t="str" cm="1">
        <f t="array" ref="N33">_xlfn.IFS(G33&gt;=90,"Excellent",G33&gt;=80,"Good",G33&gt;=70,"Average",G33&lt;70,"Poor")</f>
        <v>Good</v>
      </c>
    </row>
    <row r="34" spans="1:14" x14ac:dyDescent="0.35">
      <c r="A34" s="2">
        <v>33</v>
      </c>
      <c r="B34" s="2" t="s">
        <v>75</v>
      </c>
      <c r="C34" s="2" t="s">
        <v>59</v>
      </c>
      <c r="D34" s="2" t="s">
        <v>48</v>
      </c>
      <c r="E34" s="2" t="s">
        <v>74</v>
      </c>
      <c r="F34" s="2">
        <v>1999</v>
      </c>
      <c r="G34" s="2">
        <v>94</v>
      </c>
      <c r="H34" s="3">
        <v>0.47</v>
      </c>
      <c r="I34" s="3">
        <v>0.19</v>
      </c>
      <c r="J34" s="3">
        <v>0.14000000000000001</v>
      </c>
      <c r="K34" s="3">
        <v>0.05</v>
      </c>
      <c r="L34" s="3">
        <v>0.09</v>
      </c>
      <c r="M34" s="2" t="s">
        <v>24</v>
      </c>
      <c r="N34" s="3" t="str" cm="1">
        <f t="array" ref="N34">_xlfn.IFS(G34&gt;=90,"Excellent",G34&gt;=80,"Good",G34&gt;=70,"Average",G34&lt;70,"Poor")</f>
        <v>Excellent</v>
      </c>
    </row>
    <row r="35" spans="1:14" x14ac:dyDescent="0.35">
      <c r="A35" s="2">
        <v>34</v>
      </c>
      <c r="B35" s="2" t="s">
        <v>76</v>
      </c>
      <c r="C35" s="2" t="s">
        <v>14</v>
      </c>
      <c r="D35" s="2" t="s">
        <v>37</v>
      </c>
      <c r="E35" s="2" t="s">
        <v>46</v>
      </c>
      <c r="F35" s="2">
        <v>2012</v>
      </c>
      <c r="G35" s="2">
        <v>59</v>
      </c>
      <c r="H35" s="3">
        <v>0.66</v>
      </c>
      <c r="I35" s="3">
        <v>0.3</v>
      </c>
      <c r="J35" s="3">
        <v>0.18</v>
      </c>
      <c r="K35" s="3">
        <v>0.05</v>
      </c>
      <c r="L35" s="3">
        <v>0.13</v>
      </c>
      <c r="M35" s="2" t="s">
        <v>17</v>
      </c>
      <c r="N35" s="3" t="str" cm="1">
        <f t="array" ref="N35">_xlfn.IFS(G35&gt;=90,"Excellent",G35&gt;=80,"Good",G35&gt;=70,"Average",G35&lt;70,"Poor")</f>
        <v>Poor</v>
      </c>
    </row>
    <row r="36" spans="1:14" x14ac:dyDescent="0.35">
      <c r="A36" s="2">
        <v>35</v>
      </c>
      <c r="B36" s="2" t="s">
        <v>77</v>
      </c>
      <c r="C36" s="2" t="s">
        <v>14</v>
      </c>
      <c r="D36" s="2" t="s">
        <v>48</v>
      </c>
      <c r="E36" s="2" t="s">
        <v>43</v>
      </c>
      <c r="F36" s="2">
        <v>2007</v>
      </c>
      <c r="G36" s="2">
        <v>83</v>
      </c>
      <c r="H36" s="3">
        <v>3.35</v>
      </c>
      <c r="I36" s="3">
        <v>1.58</v>
      </c>
      <c r="J36" s="3">
        <v>1.17</v>
      </c>
      <c r="K36" s="3">
        <v>0.5</v>
      </c>
      <c r="L36" s="3">
        <v>0.1</v>
      </c>
      <c r="M36" s="2" t="s">
        <v>27</v>
      </c>
      <c r="N36" s="3" t="str" cm="1">
        <f t="array" ref="N36">_xlfn.IFS(G36&gt;=90,"Excellent",G36&gt;=80,"Good",G36&gt;=70,"Average",G36&lt;70,"Poor")</f>
        <v>Good</v>
      </c>
    </row>
    <row r="37" spans="1:14" x14ac:dyDescent="0.35">
      <c r="A37" s="2">
        <v>36</v>
      </c>
      <c r="B37" s="2" t="s">
        <v>78</v>
      </c>
      <c r="C37" s="2" t="s">
        <v>59</v>
      </c>
      <c r="D37" s="2" t="s">
        <v>65</v>
      </c>
      <c r="E37" s="2" t="s">
        <v>46</v>
      </c>
      <c r="F37" s="2">
        <v>2000</v>
      </c>
      <c r="G37" s="2">
        <v>71</v>
      </c>
      <c r="H37" s="3">
        <v>0.45</v>
      </c>
      <c r="I37" s="3">
        <v>0.21</v>
      </c>
      <c r="J37" s="3">
        <v>0.14000000000000001</v>
      </c>
      <c r="K37" s="3">
        <v>0.04</v>
      </c>
      <c r="L37" s="3">
        <v>0.06</v>
      </c>
      <c r="M37" s="2" t="s">
        <v>24</v>
      </c>
      <c r="N37" s="3" t="str" cm="1">
        <f t="array" ref="N37">_xlfn.IFS(G37&gt;=90,"Excellent",G37&gt;=80,"Good",G37&gt;=70,"Average",G37&lt;70,"Poor")</f>
        <v>Average</v>
      </c>
    </row>
    <row r="38" spans="1:14" x14ac:dyDescent="0.35">
      <c r="A38" s="2">
        <v>37</v>
      </c>
      <c r="B38" s="2" t="s">
        <v>79</v>
      </c>
      <c r="C38" s="2" t="s">
        <v>57</v>
      </c>
      <c r="D38" s="2" t="s">
        <v>65</v>
      </c>
      <c r="E38" s="2" t="s">
        <v>16</v>
      </c>
      <c r="F38" s="2">
        <v>2008</v>
      </c>
      <c r="G38" s="2">
        <v>60</v>
      </c>
      <c r="H38" s="3">
        <v>1.61</v>
      </c>
      <c r="I38" s="3">
        <v>0.57999999999999996</v>
      </c>
      <c r="J38" s="3">
        <v>0.4</v>
      </c>
      <c r="K38" s="3">
        <v>0.11</v>
      </c>
      <c r="L38" s="3">
        <v>0.52</v>
      </c>
      <c r="M38" s="2" t="s">
        <v>17</v>
      </c>
      <c r="N38" s="3" t="str" cm="1">
        <f t="array" ref="N38">_xlfn.IFS(G38&gt;=90,"Excellent",G38&gt;=80,"Good",G38&gt;=70,"Average",G38&lt;70,"Poor")</f>
        <v>Poor</v>
      </c>
    </row>
    <row r="39" spans="1:14" x14ac:dyDescent="0.35">
      <c r="A39" s="2">
        <v>38</v>
      </c>
      <c r="B39" s="2" t="s">
        <v>80</v>
      </c>
      <c r="C39" s="2" t="s">
        <v>14</v>
      </c>
      <c r="D39" s="2" t="s">
        <v>62</v>
      </c>
      <c r="E39" s="2" t="s">
        <v>60</v>
      </c>
      <c r="F39" s="2">
        <v>2008</v>
      </c>
      <c r="G39" s="2">
        <v>55</v>
      </c>
      <c r="H39" s="3">
        <v>0.83</v>
      </c>
      <c r="I39" s="3">
        <v>0.3</v>
      </c>
      <c r="J39" s="3">
        <v>0.21</v>
      </c>
      <c r="K39" s="3">
        <v>0.11</v>
      </c>
      <c r="L39" s="3">
        <v>0.21</v>
      </c>
      <c r="M39" s="2" t="s">
        <v>17</v>
      </c>
      <c r="N39" s="3" t="str" cm="1">
        <f t="array" ref="N39">_xlfn.IFS(G39&gt;=90,"Excellent",G39&gt;=80,"Good",G39&gt;=70,"Average",G39&lt;70,"Poor")</f>
        <v>Poor</v>
      </c>
    </row>
    <row r="40" spans="1:14" x14ac:dyDescent="0.35">
      <c r="A40" s="2">
        <v>39</v>
      </c>
      <c r="B40" s="2" t="s">
        <v>81</v>
      </c>
      <c r="C40" s="2" t="s">
        <v>19</v>
      </c>
      <c r="D40" s="2" t="s">
        <v>15</v>
      </c>
      <c r="E40" s="2" t="s">
        <v>46</v>
      </c>
      <c r="F40" s="2">
        <v>2015</v>
      </c>
      <c r="G40" s="2">
        <v>77</v>
      </c>
      <c r="H40" s="3">
        <v>0.45</v>
      </c>
      <c r="I40" s="3">
        <v>0.17</v>
      </c>
      <c r="J40" s="3">
        <v>0.14000000000000001</v>
      </c>
      <c r="K40" s="3">
        <v>0.08</v>
      </c>
      <c r="L40" s="3">
        <v>0.06</v>
      </c>
      <c r="M40" s="2" t="s">
        <v>24</v>
      </c>
      <c r="N40" s="3" t="str" cm="1">
        <f t="array" ref="N40">_xlfn.IFS(G40&gt;=90,"Excellent",G40&gt;=80,"Good",G40&gt;=70,"Average",G40&lt;70,"Poor")</f>
        <v>Average</v>
      </c>
    </row>
    <row r="41" spans="1:14" x14ac:dyDescent="0.35">
      <c r="A41" s="2">
        <v>40</v>
      </c>
      <c r="B41" s="2" t="s">
        <v>82</v>
      </c>
      <c r="C41" s="2" t="s">
        <v>19</v>
      </c>
      <c r="D41" s="2" t="s">
        <v>48</v>
      </c>
      <c r="E41" s="2" t="s">
        <v>54</v>
      </c>
      <c r="F41" s="2">
        <v>2015</v>
      </c>
      <c r="G41" s="2">
        <v>56</v>
      </c>
      <c r="H41" s="3">
        <v>1.7</v>
      </c>
      <c r="I41" s="3">
        <v>0.82</v>
      </c>
      <c r="J41" s="3">
        <v>0.53</v>
      </c>
      <c r="K41" s="3">
        <v>0.15</v>
      </c>
      <c r="L41" s="3">
        <v>0.2</v>
      </c>
      <c r="M41" s="2" t="s">
        <v>17</v>
      </c>
      <c r="N41" s="3" t="str" cm="1">
        <f t="array" ref="N41">_xlfn.IFS(G41&gt;=90,"Excellent",G41&gt;=80,"Good",G41&gt;=70,"Average",G41&lt;70,"Poor")</f>
        <v>Poor</v>
      </c>
    </row>
    <row r="42" spans="1:14" x14ac:dyDescent="0.35">
      <c r="A42" s="2">
        <v>41</v>
      </c>
      <c r="B42" s="2" t="s">
        <v>83</v>
      </c>
      <c r="C42" s="2" t="s">
        <v>31</v>
      </c>
      <c r="D42" s="2" t="s">
        <v>33</v>
      </c>
      <c r="E42" s="2" t="s">
        <v>41</v>
      </c>
      <c r="F42" s="2">
        <v>2006</v>
      </c>
      <c r="G42" s="2">
        <v>69</v>
      </c>
      <c r="H42" s="3">
        <v>0.18</v>
      </c>
      <c r="I42" s="3">
        <v>0.09</v>
      </c>
      <c r="J42" s="3">
        <v>0.04</v>
      </c>
      <c r="K42" s="3">
        <v>0.03</v>
      </c>
      <c r="L42" s="3">
        <v>0.02</v>
      </c>
      <c r="M42" s="2" t="s">
        <v>24</v>
      </c>
      <c r="N42" s="3" t="str" cm="1">
        <f t="array" ref="N42">_xlfn.IFS(G42&gt;=90,"Excellent",G42&gt;=80,"Good",G42&gt;=70,"Average",G42&lt;70,"Poor")</f>
        <v>Poor</v>
      </c>
    </row>
    <row r="43" spans="1:14" x14ac:dyDescent="0.35">
      <c r="A43" s="2">
        <v>42</v>
      </c>
      <c r="B43" s="2" t="s">
        <v>84</v>
      </c>
      <c r="C43" s="2" t="s">
        <v>19</v>
      </c>
      <c r="D43" s="2" t="s">
        <v>51</v>
      </c>
      <c r="E43" s="2" t="s">
        <v>49</v>
      </c>
      <c r="F43" s="2">
        <v>2018</v>
      </c>
      <c r="G43" s="2">
        <v>96</v>
      </c>
      <c r="H43" s="3">
        <v>0.85</v>
      </c>
      <c r="I43" s="3">
        <v>0.44</v>
      </c>
      <c r="J43" s="3">
        <v>0.21</v>
      </c>
      <c r="K43" s="3">
        <v>0.05</v>
      </c>
      <c r="L43" s="3">
        <v>0.15</v>
      </c>
      <c r="M43" s="2" t="s">
        <v>17</v>
      </c>
      <c r="N43" s="3" t="str" cm="1">
        <f t="array" ref="N43">_xlfn.IFS(G43&gt;=90,"Excellent",G43&gt;=80,"Good",G43&gt;=70,"Average",G43&lt;70,"Poor")</f>
        <v>Excellent</v>
      </c>
    </row>
    <row r="44" spans="1:14" x14ac:dyDescent="0.35">
      <c r="A44" s="2">
        <v>43</v>
      </c>
      <c r="B44" s="2" t="s">
        <v>85</v>
      </c>
      <c r="C44" s="2" t="s">
        <v>14</v>
      </c>
      <c r="D44" s="2" t="s">
        <v>2</v>
      </c>
      <c r="E44" s="2" t="s">
        <v>46</v>
      </c>
      <c r="F44" s="2">
        <v>2008</v>
      </c>
      <c r="G44" s="2">
        <v>93</v>
      </c>
      <c r="H44" s="3">
        <v>0.41</v>
      </c>
      <c r="I44" s="3">
        <v>0.17</v>
      </c>
      <c r="J44" s="3">
        <v>0.12</v>
      </c>
      <c r="K44" s="3">
        <v>0.05</v>
      </c>
      <c r="L44" s="3">
        <v>7.0000000000000007E-2</v>
      </c>
      <c r="M44" s="2" t="s">
        <v>24</v>
      </c>
      <c r="N44" s="3" t="str" cm="1">
        <f t="array" ref="N44">_xlfn.IFS(G44&gt;=90,"Excellent",G44&gt;=80,"Good",G44&gt;=70,"Average",G44&lt;70,"Poor")</f>
        <v>Excellent</v>
      </c>
    </row>
    <row r="45" spans="1:14" x14ac:dyDescent="0.35">
      <c r="A45" s="2">
        <v>44</v>
      </c>
      <c r="B45" s="2" t="s">
        <v>86</v>
      </c>
      <c r="C45" s="2" t="s">
        <v>19</v>
      </c>
      <c r="D45" s="2" t="s">
        <v>51</v>
      </c>
      <c r="E45" s="2" t="s">
        <v>20</v>
      </c>
      <c r="F45" s="2">
        <v>2016</v>
      </c>
      <c r="G45" s="2">
        <v>88</v>
      </c>
      <c r="H45" s="3">
        <v>3.37</v>
      </c>
      <c r="I45" s="3">
        <v>1.66</v>
      </c>
      <c r="J45" s="3">
        <v>1.05</v>
      </c>
      <c r="K45" s="3">
        <v>0.51</v>
      </c>
      <c r="L45" s="3">
        <v>0.15</v>
      </c>
      <c r="M45" s="2" t="s">
        <v>27</v>
      </c>
      <c r="N45" s="3" t="str" cm="1">
        <f t="array" ref="N45">_xlfn.IFS(G45&gt;=90,"Excellent",G45&gt;=80,"Good",G45&gt;=70,"Average",G45&lt;70,"Poor")</f>
        <v>Good</v>
      </c>
    </row>
    <row r="46" spans="1:14" x14ac:dyDescent="0.35">
      <c r="A46" s="2">
        <v>45</v>
      </c>
      <c r="B46" s="2" t="s">
        <v>87</v>
      </c>
      <c r="C46" s="2" t="s">
        <v>14</v>
      </c>
      <c r="D46" s="2" t="s">
        <v>33</v>
      </c>
      <c r="E46" s="2" t="s">
        <v>43</v>
      </c>
      <c r="F46" s="2">
        <v>2012</v>
      </c>
      <c r="G46" s="2">
        <v>97</v>
      </c>
      <c r="H46" s="3">
        <v>4.01</v>
      </c>
      <c r="I46" s="3">
        <v>1.64</v>
      </c>
      <c r="J46" s="3">
        <v>0.99</v>
      </c>
      <c r="K46" s="3">
        <v>0.45</v>
      </c>
      <c r="L46" s="3">
        <v>0.93</v>
      </c>
      <c r="M46" s="2" t="s">
        <v>27</v>
      </c>
      <c r="N46" s="3" t="str" cm="1">
        <f t="array" ref="N46">_xlfn.IFS(G46&gt;=90,"Excellent",G46&gt;=80,"Good",G46&gt;=70,"Average",G46&lt;70,"Poor")</f>
        <v>Excellent</v>
      </c>
    </row>
    <row r="47" spans="1:14" x14ac:dyDescent="0.35">
      <c r="A47" s="2">
        <v>46</v>
      </c>
      <c r="B47" s="2" t="s">
        <v>88</v>
      </c>
      <c r="C47" s="2" t="s">
        <v>19</v>
      </c>
      <c r="D47" s="2" t="s">
        <v>65</v>
      </c>
      <c r="E47" s="2" t="s">
        <v>54</v>
      </c>
      <c r="F47" s="2">
        <v>2017</v>
      </c>
      <c r="G47" s="2">
        <v>97</v>
      </c>
      <c r="H47" s="3">
        <v>4.09</v>
      </c>
      <c r="I47" s="3">
        <v>1.68</v>
      </c>
      <c r="J47" s="3">
        <v>1.1499999999999999</v>
      </c>
      <c r="K47" s="3">
        <v>0.2</v>
      </c>
      <c r="L47" s="3">
        <v>1.06</v>
      </c>
      <c r="M47" s="2" t="s">
        <v>27</v>
      </c>
      <c r="N47" s="3" t="str" cm="1">
        <f t="array" ref="N47">_xlfn.IFS(G47&gt;=90,"Excellent",G47&gt;=80,"Good",G47&gt;=70,"Average",G47&lt;70,"Poor")</f>
        <v>Excellent</v>
      </c>
    </row>
    <row r="48" spans="1:14" x14ac:dyDescent="0.35">
      <c r="A48" s="2">
        <v>47</v>
      </c>
      <c r="B48" s="2" t="s">
        <v>89</v>
      </c>
      <c r="C48" s="2" t="s">
        <v>14</v>
      </c>
      <c r="D48" s="2" t="s">
        <v>45</v>
      </c>
      <c r="E48" s="2" t="s">
        <v>74</v>
      </c>
      <c r="F48" s="2">
        <v>2009</v>
      </c>
      <c r="G48" s="2">
        <v>84</v>
      </c>
      <c r="H48" s="3">
        <v>0.45</v>
      </c>
      <c r="I48" s="3">
        <v>0.2</v>
      </c>
      <c r="J48" s="3">
        <v>0.14000000000000001</v>
      </c>
      <c r="K48" s="3">
        <v>0.09</v>
      </c>
      <c r="L48" s="3">
        <v>0.02</v>
      </c>
      <c r="M48" s="2" t="s">
        <v>24</v>
      </c>
      <c r="N48" s="3" t="str" cm="1">
        <f t="array" ref="N48">_xlfn.IFS(G48&gt;=90,"Excellent",G48&gt;=80,"Good",G48&gt;=70,"Average",G48&lt;70,"Poor")</f>
        <v>Good</v>
      </c>
    </row>
    <row r="49" spans="1:14" x14ac:dyDescent="0.35">
      <c r="A49" s="2">
        <v>48</v>
      </c>
      <c r="B49" s="2" t="s">
        <v>90</v>
      </c>
      <c r="C49" s="2" t="s">
        <v>57</v>
      </c>
      <c r="D49" s="2" t="s">
        <v>33</v>
      </c>
      <c r="E49" s="2" t="s">
        <v>46</v>
      </c>
      <c r="F49" s="2">
        <v>2006</v>
      </c>
      <c r="G49" s="2">
        <v>76</v>
      </c>
      <c r="H49" s="3">
        <v>0.26</v>
      </c>
      <c r="I49" s="3">
        <v>0.13</v>
      </c>
      <c r="J49" s="3">
        <v>0.06</v>
      </c>
      <c r="K49" s="3">
        <v>0.01</v>
      </c>
      <c r="L49" s="3">
        <v>0.06</v>
      </c>
      <c r="M49" s="2" t="s">
        <v>24</v>
      </c>
      <c r="N49" s="3" t="str" cm="1">
        <f t="array" ref="N49">_xlfn.IFS(G49&gt;=90,"Excellent",G49&gt;=80,"Good",G49&gt;=70,"Average",G49&lt;70,"Poor")</f>
        <v>Average</v>
      </c>
    </row>
    <row r="50" spans="1:14" x14ac:dyDescent="0.35">
      <c r="A50" s="2">
        <v>49</v>
      </c>
      <c r="B50" s="2" t="s">
        <v>91</v>
      </c>
      <c r="C50" s="2" t="s">
        <v>19</v>
      </c>
      <c r="D50" s="2" t="s">
        <v>62</v>
      </c>
      <c r="E50" s="2" t="s">
        <v>41</v>
      </c>
      <c r="F50" s="2">
        <v>2014</v>
      </c>
      <c r="G50" s="2">
        <v>79</v>
      </c>
      <c r="H50" s="3">
        <v>0.8</v>
      </c>
      <c r="I50" s="3">
        <v>0.38</v>
      </c>
      <c r="J50" s="3">
        <v>0.16</v>
      </c>
      <c r="K50" s="3">
        <v>0.13</v>
      </c>
      <c r="L50" s="3">
        <v>0.13</v>
      </c>
      <c r="M50" s="2" t="s">
        <v>17</v>
      </c>
      <c r="N50" s="3" t="str" cm="1">
        <f t="array" ref="N50">_xlfn.IFS(G50&gt;=90,"Excellent",G50&gt;=80,"Good",G50&gt;=70,"Average",G50&lt;70,"Poor")</f>
        <v>Average</v>
      </c>
    </row>
    <row r="51" spans="1:14" x14ac:dyDescent="0.35">
      <c r="A51" s="2">
        <v>50</v>
      </c>
      <c r="B51" s="2" t="s">
        <v>92</v>
      </c>
      <c r="C51" s="2" t="s">
        <v>64</v>
      </c>
      <c r="D51" s="2" t="s">
        <v>45</v>
      </c>
      <c r="E51" s="2" t="s">
        <v>52</v>
      </c>
      <c r="F51" s="2">
        <v>2012</v>
      </c>
      <c r="G51" s="2">
        <v>84</v>
      </c>
      <c r="H51" s="3">
        <v>0.12</v>
      </c>
      <c r="I51" s="3">
        <v>0.06</v>
      </c>
      <c r="J51" s="3">
        <v>0.03</v>
      </c>
      <c r="K51" s="3">
        <v>0.02</v>
      </c>
      <c r="L51" s="3">
        <v>0.01</v>
      </c>
      <c r="M51" s="2" t="s">
        <v>24</v>
      </c>
      <c r="N51" s="3" t="str" cm="1">
        <f t="array" ref="N51">_xlfn.IFS(G51&gt;=90,"Excellent",G51&gt;=80,"Good",G51&gt;=70,"Average",G51&lt;70,"Poor")</f>
        <v>Good</v>
      </c>
    </row>
    <row r="52" spans="1:14" x14ac:dyDescent="0.35">
      <c r="A52" s="2">
        <v>51</v>
      </c>
      <c r="B52" s="2" t="s">
        <v>93</v>
      </c>
      <c r="C52" s="2" t="s">
        <v>57</v>
      </c>
      <c r="D52" s="2" t="s">
        <v>65</v>
      </c>
      <c r="E52" s="2" t="s">
        <v>74</v>
      </c>
      <c r="F52" s="2">
        <v>2012</v>
      </c>
      <c r="G52" s="2">
        <v>94</v>
      </c>
      <c r="H52" s="3">
        <v>0.14000000000000001</v>
      </c>
      <c r="I52" s="3">
        <v>0.06</v>
      </c>
      <c r="J52" s="3">
        <v>0.03</v>
      </c>
      <c r="K52" s="3">
        <v>0.03</v>
      </c>
      <c r="L52" s="3">
        <v>0.02</v>
      </c>
      <c r="M52" s="2" t="s">
        <v>24</v>
      </c>
      <c r="N52" s="3" t="str" cm="1">
        <f t="array" ref="N52">_xlfn.IFS(G52&gt;=90,"Excellent",G52&gt;=80,"Good",G52&gt;=70,"Average",G52&lt;70,"Poor")</f>
        <v>Excellent</v>
      </c>
    </row>
    <row r="53" spans="1:14" x14ac:dyDescent="0.35">
      <c r="A53" s="2">
        <v>52</v>
      </c>
      <c r="B53" s="2" t="s">
        <v>94</v>
      </c>
      <c r="C53" s="2" t="s">
        <v>19</v>
      </c>
      <c r="D53" s="2" t="s">
        <v>48</v>
      </c>
      <c r="E53" s="2" t="s">
        <v>46</v>
      </c>
      <c r="F53" s="2">
        <v>2017</v>
      </c>
      <c r="G53" s="2">
        <v>95</v>
      </c>
      <c r="H53" s="3">
        <v>0.39</v>
      </c>
      <c r="I53" s="3">
        <v>0.19</v>
      </c>
      <c r="J53" s="3">
        <v>0.09</v>
      </c>
      <c r="K53" s="3">
        <v>0.04</v>
      </c>
      <c r="L53" s="3">
        <v>7.0000000000000007E-2</v>
      </c>
      <c r="M53" s="2" t="s">
        <v>24</v>
      </c>
      <c r="N53" s="3" t="str" cm="1">
        <f t="array" ref="N53">_xlfn.IFS(G53&gt;=90,"Excellent",G53&gt;=80,"Good",G53&gt;=70,"Average",G53&lt;70,"Poor")</f>
        <v>Excellent</v>
      </c>
    </row>
    <row r="54" spans="1:14" x14ac:dyDescent="0.35">
      <c r="A54" s="2">
        <v>53</v>
      </c>
      <c r="B54" s="2" t="s">
        <v>95</v>
      </c>
      <c r="C54" s="2" t="s">
        <v>23</v>
      </c>
      <c r="D54" s="2" t="s">
        <v>37</v>
      </c>
      <c r="E54" s="2" t="s">
        <v>54</v>
      </c>
      <c r="F54" s="2">
        <v>2020</v>
      </c>
      <c r="G54" s="2">
        <v>64</v>
      </c>
      <c r="H54" s="3">
        <v>1.04</v>
      </c>
      <c r="I54" s="3">
        <v>0.45</v>
      </c>
      <c r="J54" s="3">
        <v>0.28999999999999998</v>
      </c>
      <c r="K54" s="3">
        <v>0.12</v>
      </c>
      <c r="L54" s="3">
        <v>0.18</v>
      </c>
      <c r="M54" s="2" t="s">
        <v>17</v>
      </c>
      <c r="N54" s="3" t="str" cm="1">
        <f t="array" ref="N54">_xlfn.IFS(G54&gt;=90,"Excellent",G54&gt;=80,"Good",G54&gt;=70,"Average",G54&lt;70,"Poor")</f>
        <v>Poor</v>
      </c>
    </row>
    <row r="55" spans="1:14" x14ac:dyDescent="0.35">
      <c r="A55" s="2">
        <v>54</v>
      </c>
      <c r="B55" s="2" t="s">
        <v>96</v>
      </c>
      <c r="C55" s="2" t="s">
        <v>31</v>
      </c>
      <c r="D55" s="2" t="s">
        <v>45</v>
      </c>
      <c r="E55" s="2" t="s">
        <v>41</v>
      </c>
      <c r="F55" s="2">
        <v>2006</v>
      </c>
      <c r="G55" s="2">
        <v>91</v>
      </c>
      <c r="H55" s="3">
        <v>0.26</v>
      </c>
      <c r="I55" s="3">
        <v>0.14000000000000001</v>
      </c>
      <c r="J55" s="3">
        <v>0.09</v>
      </c>
      <c r="K55" s="3">
        <v>0.03</v>
      </c>
      <c r="L55" s="3">
        <v>0</v>
      </c>
      <c r="M55" s="2" t="s">
        <v>24</v>
      </c>
      <c r="N55" s="3" t="str" cm="1">
        <f t="array" ref="N55">_xlfn.IFS(G55&gt;=90,"Excellent",G55&gt;=80,"Good",G55&gt;=70,"Average",G55&lt;70,"Poor")</f>
        <v>Excellent</v>
      </c>
    </row>
    <row r="56" spans="1:14" x14ac:dyDescent="0.35">
      <c r="A56" s="2">
        <v>55</v>
      </c>
      <c r="B56" s="2" t="s">
        <v>97</v>
      </c>
      <c r="C56" s="2" t="s">
        <v>57</v>
      </c>
      <c r="D56" s="2" t="s">
        <v>2</v>
      </c>
      <c r="E56" s="2" t="s">
        <v>52</v>
      </c>
      <c r="F56" s="2">
        <v>2012</v>
      </c>
      <c r="G56" s="2">
        <v>72</v>
      </c>
      <c r="H56" s="3">
        <v>0.43</v>
      </c>
      <c r="I56" s="3">
        <v>0.18</v>
      </c>
      <c r="J56" s="3">
        <v>0.13</v>
      </c>
      <c r="K56" s="3">
        <v>0.05</v>
      </c>
      <c r="L56" s="3">
        <v>7.0000000000000007E-2</v>
      </c>
      <c r="M56" s="2" t="s">
        <v>24</v>
      </c>
      <c r="N56" s="3" t="str" cm="1">
        <f t="array" ref="N56">_xlfn.IFS(G56&gt;=90,"Excellent",G56&gt;=80,"Good",G56&gt;=70,"Average",G56&lt;70,"Poor")</f>
        <v>Average</v>
      </c>
    </row>
    <row r="57" spans="1:14" x14ac:dyDescent="0.35">
      <c r="A57" s="2">
        <v>56</v>
      </c>
      <c r="B57" s="2" t="s">
        <v>98</v>
      </c>
      <c r="C57" s="2" t="s">
        <v>31</v>
      </c>
      <c r="D57" s="2" t="s">
        <v>62</v>
      </c>
      <c r="E57" s="2" t="s">
        <v>54</v>
      </c>
      <c r="F57" s="2">
        <v>2006</v>
      </c>
      <c r="G57" s="2">
        <v>56</v>
      </c>
      <c r="H57" s="3">
        <v>3.09</v>
      </c>
      <c r="I57" s="3">
        <v>1.49</v>
      </c>
      <c r="J57" s="3">
        <v>0.66</v>
      </c>
      <c r="K57" s="3">
        <v>0.35</v>
      </c>
      <c r="L57" s="3">
        <v>0.59</v>
      </c>
      <c r="M57" s="2" t="s">
        <v>27</v>
      </c>
      <c r="N57" s="3" t="str" cm="1">
        <f t="array" ref="N57">_xlfn.IFS(G57&gt;=90,"Excellent",G57&gt;=80,"Good",G57&gt;=70,"Average",G57&lt;70,"Poor")</f>
        <v>Poor</v>
      </c>
    </row>
    <row r="58" spans="1:14" x14ac:dyDescent="0.35">
      <c r="A58" s="2">
        <v>57</v>
      </c>
      <c r="B58" s="2" t="s">
        <v>99</v>
      </c>
      <c r="C58" s="2" t="s">
        <v>64</v>
      </c>
      <c r="D58" s="2" t="s">
        <v>37</v>
      </c>
      <c r="E58" s="2" t="s">
        <v>20</v>
      </c>
      <c r="F58" s="2">
        <v>2018</v>
      </c>
      <c r="G58" s="2">
        <v>75</v>
      </c>
      <c r="H58" s="3">
        <v>0.15</v>
      </c>
      <c r="I58" s="3">
        <v>0.08</v>
      </c>
      <c r="J58" s="3">
        <v>0.04</v>
      </c>
      <c r="K58" s="3">
        <v>0.02</v>
      </c>
      <c r="L58" s="3">
        <v>0.01</v>
      </c>
      <c r="M58" s="2" t="s">
        <v>24</v>
      </c>
      <c r="N58" s="3" t="str" cm="1">
        <f t="array" ref="N58">_xlfn.IFS(G58&gt;=90,"Excellent",G58&gt;=80,"Good",G58&gt;=70,"Average",G58&lt;70,"Poor")</f>
        <v>Average</v>
      </c>
    </row>
    <row r="59" spans="1:14" x14ac:dyDescent="0.35">
      <c r="A59" s="2">
        <v>58</v>
      </c>
      <c r="B59" s="2" t="s">
        <v>100</v>
      </c>
      <c r="C59" s="2" t="s">
        <v>64</v>
      </c>
      <c r="D59" s="2" t="s">
        <v>51</v>
      </c>
      <c r="E59" s="2" t="s">
        <v>49</v>
      </c>
      <c r="F59" s="2">
        <v>2017</v>
      </c>
      <c r="G59" s="2">
        <v>89</v>
      </c>
      <c r="H59" s="3">
        <v>0.19</v>
      </c>
      <c r="I59" s="3">
        <v>0.1</v>
      </c>
      <c r="J59" s="3">
        <v>0.04</v>
      </c>
      <c r="K59" s="3">
        <v>0.01</v>
      </c>
      <c r="L59" s="3">
        <v>0.04</v>
      </c>
      <c r="M59" s="2" t="s">
        <v>24</v>
      </c>
      <c r="N59" s="3" t="str" cm="1">
        <f t="array" ref="N59">_xlfn.IFS(G59&gt;=90,"Excellent",G59&gt;=80,"Good",G59&gt;=70,"Average",G59&lt;70,"Poor")</f>
        <v>Good</v>
      </c>
    </row>
    <row r="60" spans="1:14" x14ac:dyDescent="0.35">
      <c r="A60" s="2">
        <v>59</v>
      </c>
      <c r="B60" s="2" t="s">
        <v>101</v>
      </c>
      <c r="C60" s="2" t="s">
        <v>31</v>
      </c>
      <c r="D60" s="2" t="s">
        <v>15</v>
      </c>
      <c r="E60" s="2" t="s">
        <v>74</v>
      </c>
      <c r="F60" s="2">
        <v>2001</v>
      </c>
      <c r="G60" s="2">
        <v>63</v>
      </c>
      <c r="H60" s="3">
        <v>0.63</v>
      </c>
      <c r="I60" s="3">
        <v>0.34</v>
      </c>
      <c r="J60" s="3">
        <v>0.17</v>
      </c>
      <c r="K60" s="3">
        <v>0.06</v>
      </c>
      <c r="L60" s="3">
        <v>0.06</v>
      </c>
      <c r="M60" s="2" t="s">
        <v>17</v>
      </c>
      <c r="N60" s="3" t="str" cm="1">
        <f t="array" ref="N60">_xlfn.IFS(G60&gt;=90,"Excellent",G60&gt;=80,"Good",G60&gt;=70,"Average",G60&lt;70,"Poor")</f>
        <v>Poor</v>
      </c>
    </row>
    <row r="61" spans="1:14" x14ac:dyDescent="0.35">
      <c r="A61" s="2">
        <v>60</v>
      </c>
      <c r="B61" s="2" t="s">
        <v>102</v>
      </c>
      <c r="C61" s="2" t="s">
        <v>14</v>
      </c>
      <c r="D61" s="2" t="s">
        <v>2</v>
      </c>
      <c r="E61" s="2" t="s">
        <v>74</v>
      </c>
      <c r="F61" s="2">
        <v>2008</v>
      </c>
      <c r="G61" s="2">
        <v>74</v>
      </c>
      <c r="H61" s="3">
        <v>0.24</v>
      </c>
      <c r="I61" s="3">
        <v>0.13</v>
      </c>
      <c r="J61" s="3">
        <v>0.06</v>
      </c>
      <c r="K61" s="3">
        <v>0.04</v>
      </c>
      <c r="L61" s="3">
        <v>0.01</v>
      </c>
      <c r="M61" s="2" t="s">
        <v>24</v>
      </c>
      <c r="N61" s="3" t="str" cm="1">
        <f t="array" ref="N61">_xlfn.IFS(G61&gt;=90,"Excellent",G61&gt;=80,"Good",G61&gt;=70,"Average",G61&lt;70,"Poor")</f>
        <v>Average</v>
      </c>
    </row>
    <row r="62" spans="1:14" x14ac:dyDescent="0.35">
      <c r="A62" s="2">
        <v>61</v>
      </c>
      <c r="B62" s="2" t="s">
        <v>103</v>
      </c>
      <c r="C62" s="2" t="s">
        <v>59</v>
      </c>
      <c r="D62" s="2" t="s">
        <v>48</v>
      </c>
      <c r="E62" s="2" t="s">
        <v>49</v>
      </c>
      <c r="F62" s="2">
        <v>1999</v>
      </c>
      <c r="G62" s="2">
        <v>62</v>
      </c>
      <c r="H62" s="3">
        <v>1.1599999999999999</v>
      </c>
      <c r="I62" s="3">
        <v>0.42</v>
      </c>
      <c r="J62" s="3">
        <v>0.32</v>
      </c>
      <c r="K62" s="3">
        <v>0.17</v>
      </c>
      <c r="L62" s="3">
        <v>0.25</v>
      </c>
      <c r="M62" s="2" t="s">
        <v>17</v>
      </c>
      <c r="N62" s="3" t="str" cm="1">
        <f t="array" ref="N62">_xlfn.IFS(G62&gt;=90,"Excellent",G62&gt;=80,"Good",G62&gt;=70,"Average",G62&lt;70,"Poor")</f>
        <v>Poor</v>
      </c>
    </row>
    <row r="63" spans="1:14" x14ac:dyDescent="0.35">
      <c r="A63" s="2">
        <v>62</v>
      </c>
      <c r="B63" s="2" t="s">
        <v>104</v>
      </c>
      <c r="C63" s="2" t="s">
        <v>59</v>
      </c>
      <c r="D63" s="2" t="s">
        <v>29</v>
      </c>
      <c r="E63" s="2" t="s">
        <v>20</v>
      </c>
      <c r="F63" s="2">
        <v>1999</v>
      </c>
      <c r="G63" s="2">
        <v>61</v>
      </c>
      <c r="H63" s="3">
        <v>0.34</v>
      </c>
      <c r="I63" s="3">
        <v>0.18</v>
      </c>
      <c r="J63" s="3">
        <v>0.09</v>
      </c>
      <c r="K63" s="3">
        <v>0.02</v>
      </c>
      <c r="L63" s="3">
        <v>0.05</v>
      </c>
      <c r="M63" s="2" t="s">
        <v>24</v>
      </c>
      <c r="N63" s="3" t="str" cm="1">
        <f t="array" ref="N63">_xlfn.IFS(G63&gt;=90,"Excellent",G63&gt;=80,"Good",G63&gt;=70,"Average",G63&lt;70,"Poor")</f>
        <v>Poor</v>
      </c>
    </row>
    <row r="64" spans="1:14" x14ac:dyDescent="0.35">
      <c r="A64" s="2">
        <v>63</v>
      </c>
      <c r="B64" s="2" t="s">
        <v>105</v>
      </c>
      <c r="C64" s="2" t="s">
        <v>31</v>
      </c>
      <c r="D64" s="2" t="s">
        <v>65</v>
      </c>
      <c r="E64" s="2" t="s">
        <v>46</v>
      </c>
      <c r="F64" s="2">
        <v>2005</v>
      </c>
      <c r="G64" s="2">
        <v>85</v>
      </c>
      <c r="H64" s="3">
        <v>0.49</v>
      </c>
      <c r="I64" s="3">
        <v>0.23</v>
      </c>
      <c r="J64" s="3">
        <v>0.12</v>
      </c>
      <c r="K64" s="3">
        <v>0.04</v>
      </c>
      <c r="L64" s="3">
        <v>0.1</v>
      </c>
      <c r="M64" s="2" t="s">
        <v>24</v>
      </c>
      <c r="N64" s="3" t="str" cm="1">
        <f t="array" ref="N64">_xlfn.IFS(G64&gt;=90,"Excellent",G64&gt;=80,"Good",G64&gt;=70,"Average",G64&lt;70,"Poor")</f>
        <v>Good</v>
      </c>
    </row>
    <row r="65" spans="1:14" x14ac:dyDescent="0.35">
      <c r="A65" s="2">
        <v>64</v>
      </c>
      <c r="B65" s="2" t="s">
        <v>106</v>
      </c>
      <c r="C65" s="2" t="s">
        <v>59</v>
      </c>
      <c r="D65" s="2" t="s">
        <v>62</v>
      </c>
      <c r="E65" s="2" t="s">
        <v>52</v>
      </c>
      <c r="F65" s="2">
        <v>1997</v>
      </c>
      <c r="G65" s="2">
        <v>94</v>
      </c>
      <c r="H65" s="3">
        <v>0.6</v>
      </c>
      <c r="I65" s="3">
        <v>0.27</v>
      </c>
      <c r="J65" s="3">
        <v>0.15</v>
      </c>
      <c r="K65" s="3">
        <v>7.0000000000000007E-2</v>
      </c>
      <c r="L65" s="3">
        <v>0.11</v>
      </c>
      <c r="M65" s="2" t="s">
        <v>17</v>
      </c>
      <c r="N65" s="3" t="str" cm="1">
        <f t="array" ref="N65">_xlfn.IFS(G65&gt;=90,"Excellent",G65&gt;=80,"Good",G65&gt;=70,"Average",G65&lt;70,"Poor")</f>
        <v>Excellent</v>
      </c>
    </row>
    <row r="66" spans="1:14" x14ac:dyDescent="0.35">
      <c r="A66" s="2">
        <v>65</v>
      </c>
      <c r="B66" s="2" t="s">
        <v>107</v>
      </c>
      <c r="C66" s="2" t="s">
        <v>14</v>
      </c>
      <c r="D66" s="2" t="s">
        <v>29</v>
      </c>
      <c r="E66" s="2" t="s">
        <v>46</v>
      </c>
      <c r="F66" s="2">
        <v>2010</v>
      </c>
      <c r="G66" s="2">
        <v>90</v>
      </c>
      <c r="H66" s="3">
        <v>0.55000000000000004</v>
      </c>
      <c r="I66" s="3">
        <v>0.27</v>
      </c>
      <c r="J66" s="3">
        <v>0.16</v>
      </c>
      <c r="K66" s="3">
        <v>7.0000000000000007E-2</v>
      </c>
      <c r="L66" s="3">
        <v>0.05</v>
      </c>
      <c r="M66" s="2" t="s">
        <v>17</v>
      </c>
      <c r="N66" s="3" t="str" cm="1">
        <f t="array" ref="N66">_xlfn.IFS(G66&gt;=90,"Excellent",G66&gt;=80,"Good",G66&gt;=70,"Average",G66&lt;70,"Poor")</f>
        <v>Excellent</v>
      </c>
    </row>
    <row r="67" spans="1:14" x14ac:dyDescent="0.35">
      <c r="A67" s="2">
        <v>66</v>
      </c>
      <c r="B67" s="2" t="s">
        <v>108</v>
      </c>
      <c r="C67" s="2" t="s">
        <v>64</v>
      </c>
      <c r="D67" s="2" t="s">
        <v>33</v>
      </c>
      <c r="E67" s="2" t="s">
        <v>46</v>
      </c>
      <c r="F67" s="2">
        <v>2011</v>
      </c>
      <c r="G67" s="2">
        <v>70</v>
      </c>
      <c r="H67" s="3">
        <v>0.14000000000000001</v>
      </c>
      <c r="I67" s="3">
        <v>0.06</v>
      </c>
      <c r="J67" s="3">
        <v>0.04</v>
      </c>
      <c r="K67" s="3">
        <v>0.02</v>
      </c>
      <c r="L67" s="3">
        <v>0.02</v>
      </c>
      <c r="M67" s="2" t="s">
        <v>24</v>
      </c>
      <c r="N67" s="3" t="str" cm="1">
        <f t="array" ref="N67">_xlfn.IFS(G67&gt;=90,"Excellent",G67&gt;=80,"Good",G67&gt;=70,"Average",G67&lt;70,"Poor")</f>
        <v>Average</v>
      </c>
    </row>
    <row r="68" spans="1:14" x14ac:dyDescent="0.35">
      <c r="A68" s="2">
        <v>67</v>
      </c>
      <c r="B68" s="2" t="s">
        <v>109</v>
      </c>
      <c r="C68" s="2" t="s">
        <v>57</v>
      </c>
      <c r="D68" s="2" t="s">
        <v>29</v>
      </c>
      <c r="E68" s="2" t="s">
        <v>43</v>
      </c>
      <c r="F68" s="2">
        <v>2012</v>
      </c>
      <c r="G68" s="2">
        <v>74</v>
      </c>
      <c r="H68" s="3">
        <v>0.31</v>
      </c>
      <c r="I68" s="3">
        <v>0.12</v>
      </c>
      <c r="J68" s="3">
        <v>7.0000000000000007E-2</v>
      </c>
      <c r="K68" s="3">
        <v>0.04</v>
      </c>
      <c r="L68" s="3">
        <v>0.08</v>
      </c>
      <c r="M68" s="2" t="s">
        <v>24</v>
      </c>
      <c r="N68" s="3" t="str" cm="1">
        <f t="array" ref="N68">_xlfn.IFS(G68&gt;=90,"Excellent",G68&gt;=80,"Good",G68&gt;=70,"Average",G68&lt;70,"Poor")</f>
        <v>Average</v>
      </c>
    </row>
    <row r="69" spans="1:14" x14ac:dyDescent="0.35">
      <c r="A69" s="2">
        <v>68</v>
      </c>
      <c r="B69" s="2" t="s">
        <v>110</v>
      </c>
      <c r="C69" s="2" t="s">
        <v>64</v>
      </c>
      <c r="D69" s="2" t="s">
        <v>48</v>
      </c>
      <c r="E69" s="2" t="s">
        <v>52</v>
      </c>
      <c r="F69" s="2">
        <v>2013</v>
      </c>
      <c r="G69" s="2">
        <v>92</v>
      </c>
      <c r="H69" s="3">
        <v>1.39</v>
      </c>
      <c r="I69" s="3">
        <v>0.56999999999999995</v>
      </c>
      <c r="J69" s="3">
        <v>0.3</v>
      </c>
      <c r="K69" s="3">
        <v>0.11</v>
      </c>
      <c r="L69" s="3">
        <v>0.41</v>
      </c>
      <c r="M69" s="2" t="s">
        <v>17</v>
      </c>
      <c r="N69" s="3" t="str" cm="1">
        <f t="array" ref="N69">_xlfn.IFS(G69&gt;=90,"Excellent",G69&gt;=80,"Good",G69&gt;=70,"Average",G69&lt;70,"Poor")</f>
        <v>Excellent</v>
      </c>
    </row>
    <row r="70" spans="1:14" x14ac:dyDescent="0.35">
      <c r="A70" s="2">
        <v>69</v>
      </c>
      <c r="B70" s="2" t="s">
        <v>111</v>
      </c>
      <c r="C70" s="2" t="s">
        <v>31</v>
      </c>
      <c r="D70" s="2" t="s">
        <v>37</v>
      </c>
      <c r="E70" s="2" t="s">
        <v>46</v>
      </c>
      <c r="F70" s="2">
        <v>2002</v>
      </c>
      <c r="G70" s="2">
        <v>63</v>
      </c>
      <c r="H70" s="3">
        <v>0.87</v>
      </c>
      <c r="I70" s="3">
        <v>0.33</v>
      </c>
      <c r="J70" s="3">
        <v>0.28999999999999998</v>
      </c>
      <c r="K70" s="3">
        <v>0.11</v>
      </c>
      <c r="L70" s="3">
        <v>0.14000000000000001</v>
      </c>
      <c r="M70" s="2" t="s">
        <v>17</v>
      </c>
      <c r="N70" s="3" t="str" cm="1">
        <f t="array" ref="N70">_xlfn.IFS(G70&gt;=90,"Excellent",G70&gt;=80,"Good",G70&gt;=70,"Average",G70&lt;70,"Poor")</f>
        <v>Poor</v>
      </c>
    </row>
    <row r="71" spans="1:14" x14ac:dyDescent="0.35">
      <c r="A71" s="2">
        <v>70</v>
      </c>
      <c r="B71" s="2" t="s">
        <v>112</v>
      </c>
      <c r="C71" s="2" t="s">
        <v>64</v>
      </c>
      <c r="D71" s="2" t="s">
        <v>2</v>
      </c>
      <c r="E71" s="2" t="s">
        <v>46</v>
      </c>
      <c r="F71" s="2">
        <v>2011</v>
      </c>
      <c r="G71" s="2">
        <v>83</v>
      </c>
      <c r="H71" s="3">
        <v>0.28999999999999998</v>
      </c>
      <c r="I71" s="3">
        <v>0.14000000000000001</v>
      </c>
      <c r="J71" s="3">
        <v>0.06</v>
      </c>
      <c r="K71" s="3">
        <v>0.05</v>
      </c>
      <c r="L71" s="3">
        <v>0.04</v>
      </c>
      <c r="M71" s="2" t="s">
        <v>24</v>
      </c>
      <c r="N71" s="3" t="str" cm="1">
        <f t="array" ref="N71">_xlfn.IFS(G71&gt;=90,"Excellent",G71&gt;=80,"Good",G71&gt;=70,"Average",G71&lt;70,"Poor")</f>
        <v>Good</v>
      </c>
    </row>
    <row r="72" spans="1:14" x14ac:dyDescent="0.35">
      <c r="A72" s="2">
        <v>71</v>
      </c>
      <c r="B72" s="2" t="s">
        <v>113</v>
      </c>
      <c r="C72" s="2" t="s">
        <v>14</v>
      </c>
      <c r="D72" s="2" t="s">
        <v>48</v>
      </c>
      <c r="E72" s="2" t="s">
        <v>49</v>
      </c>
      <c r="F72" s="2">
        <v>2007</v>
      </c>
      <c r="G72" s="2">
        <v>93</v>
      </c>
      <c r="H72" s="3">
        <v>0.87</v>
      </c>
      <c r="I72" s="3">
        <v>0.44</v>
      </c>
      <c r="J72" s="3">
        <v>0.22</v>
      </c>
      <c r="K72" s="3">
        <v>0.16</v>
      </c>
      <c r="L72" s="3">
        <v>0.05</v>
      </c>
      <c r="M72" s="2" t="s">
        <v>17</v>
      </c>
      <c r="N72" s="3" t="str" cm="1">
        <f t="array" ref="N72">_xlfn.IFS(G72&gt;=90,"Excellent",G72&gt;=80,"Good",G72&gt;=70,"Average",G72&lt;70,"Poor")</f>
        <v>Excellent</v>
      </c>
    </row>
    <row r="73" spans="1:14" x14ac:dyDescent="0.35">
      <c r="A73" s="2">
        <v>72</v>
      </c>
      <c r="B73" s="2" t="s">
        <v>114</v>
      </c>
      <c r="C73" s="2" t="s">
        <v>14</v>
      </c>
      <c r="D73" s="2" t="s">
        <v>51</v>
      </c>
      <c r="E73" s="2" t="s">
        <v>74</v>
      </c>
      <c r="F73" s="2">
        <v>2012</v>
      </c>
      <c r="G73" s="2">
        <v>94</v>
      </c>
      <c r="H73" s="3">
        <v>1.74</v>
      </c>
      <c r="I73" s="3">
        <v>0.7</v>
      </c>
      <c r="J73" s="3">
        <v>0.37</v>
      </c>
      <c r="K73" s="3">
        <v>0.15</v>
      </c>
      <c r="L73" s="3">
        <v>0.52</v>
      </c>
      <c r="M73" s="2" t="s">
        <v>17</v>
      </c>
      <c r="N73" s="3" t="str" cm="1">
        <f t="array" ref="N73">_xlfn.IFS(G73&gt;=90,"Excellent",G73&gt;=80,"Good",G73&gt;=70,"Average",G73&lt;70,"Poor")</f>
        <v>Excellent</v>
      </c>
    </row>
    <row r="74" spans="1:14" x14ac:dyDescent="0.35">
      <c r="A74" s="2">
        <v>73</v>
      </c>
      <c r="B74" s="2" t="s">
        <v>115</v>
      </c>
      <c r="C74" s="2" t="s">
        <v>23</v>
      </c>
      <c r="D74" s="2" t="s">
        <v>37</v>
      </c>
      <c r="E74" s="2" t="s">
        <v>20</v>
      </c>
      <c r="F74" s="2">
        <v>2020</v>
      </c>
      <c r="G74" s="2">
        <v>93</v>
      </c>
      <c r="H74" s="3">
        <v>0.7</v>
      </c>
      <c r="I74" s="3">
        <v>0.28999999999999998</v>
      </c>
      <c r="J74" s="3">
        <v>0.17</v>
      </c>
      <c r="K74" s="3">
        <v>0.13</v>
      </c>
      <c r="L74" s="3">
        <v>0.11</v>
      </c>
      <c r="M74" s="2" t="s">
        <v>17</v>
      </c>
      <c r="N74" s="3" t="str" cm="1">
        <f t="array" ref="N74">_xlfn.IFS(G74&gt;=90,"Excellent",G74&gt;=80,"Good",G74&gt;=70,"Average",G74&lt;70,"Poor")</f>
        <v>Excellent</v>
      </c>
    </row>
    <row r="75" spans="1:14" x14ac:dyDescent="0.35">
      <c r="A75" s="2">
        <v>74</v>
      </c>
      <c r="B75" s="2" t="s">
        <v>116</v>
      </c>
      <c r="C75" s="2" t="s">
        <v>59</v>
      </c>
      <c r="D75" s="2" t="s">
        <v>48</v>
      </c>
      <c r="E75" s="2" t="s">
        <v>46</v>
      </c>
      <c r="F75" s="2">
        <v>2000</v>
      </c>
      <c r="G75" s="2">
        <v>82</v>
      </c>
      <c r="H75" s="3">
        <v>0.19</v>
      </c>
      <c r="I75" s="3">
        <v>7.0000000000000007E-2</v>
      </c>
      <c r="J75" s="3">
        <v>0.05</v>
      </c>
      <c r="K75" s="3">
        <v>0.01</v>
      </c>
      <c r="L75" s="3">
        <v>0.06</v>
      </c>
      <c r="M75" s="2" t="s">
        <v>24</v>
      </c>
      <c r="N75" s="3" t="str" cm="1">
        <f t="array" ref="N75">_xlfn.IFS(G75&gt;=90,"Excellent",G75&gt;=80,"Good",G75&gt;=70,"Average",G75&lt;70,"Poor")</f>
        <v>Good</v>
      </c>
    </row>
    <row r="76" spans="1:14" x14ac:dyDescent="0.35">
      <c r="A76" s="2">
        <v>75</v>
      </c>
      <c r="B76" s="2" t="s">
        <v>117</v>
      </c>
      <c r="C76" s="2" t="s">
        <v>59</v>
      </c>
      <c r="D76" s="2" t="s">
        <v>51</v>
      </c>
      <c r="E76" s="2" t="s">
        <v>74</v>
      </c>
      <c r="F76" s="2">
        <v>1996</v>
      </c>
      <c r="G76" s="2">
        <v>83</v>
      </c>
      <c r="H76" s="3">
        <v>0.06</v>
      </c>
      <c r="I76" s="3">
        <v>0.03</v>
      </c>
      <c r="J76" s="3">
        <v>0.02</v>
      </c>
      <c r="K76" s="3">
        <v>0.01</v>
      </c>
      <c r="L76" s="3">
        <v>0</v>
      </c>
      <c r="M76" s="2" t="s">
        <v>24</v>
      </c>
      <c r="N76" s="3" t="str" cm="1">
        <f t="array" ref="N76">_xlfn.IFS(G76&gt;=90,"Excellent",G76&gt;=80,"Good",G76&gt;=70,"Average",G76&lt;70,"Poor")</f>
        <v>Good</v>
      </c>
    </row>
    <row r="77" spans="1:14" x14ac:dyDescent="0.35">
      <c r="A77" s="2">
        <v>76</v>
      </c>
      <c r="B77" s="2" t="s">
        <v>118</v>
      </c>
      <c r="C77" s="2" t="s">
        <v>19</v>
      </c>
      <c r="D77" s="2" t="s">
        <v>33</v>
      </c>
      <c r="E77" s="2" t="s">
        <v>74</v>
      </c>
      <c r="F77" s="2">
        <v>2020</v>
      </c>
      <c r="G77" s="2">
        <v>75</v>
      </c>
      <c r="H77" s="3">
        <v>0.96</v>
      </c>
      <c r="I77" s="3">
        <v>0.38</v>
      </c>
      <c r="J77" s="3">
        <v>0.28999999999999998</v>
      </c>
      <c r="K77" s="3">
        <v>0.17</v>
      </c>
      <c r="L77" s="3">
        <v>0.12</v>
      </c>
      <c r="M77" s="2" t="s">
        <v>17</v>
      </c>
      <c r="N77" s="3" t="str" cm="1">
        <f t="array" ref="N77">_xlfn.IFS(G77&gt;=90,"Excellent",G77&gt;=80,"Good",G77&gt;=70,"Average",G77&lt;70,"Poor")</f>
        <v>Average</v>
      </c>
    </row>
    <row r="78" spans="1:14" x14ac:dyDescent="0.35">
      <c r="A78" s="2">
        <v>77</v>
      </c>
      <c r="B78" s="2" t="s">
        <v>119</v>
      </c>
      <c r="C78" s="2" t="s">
        <v>23</v>
      </c>
      <c r="D78" s="2" t="s">
        <v>51</v>
      </c>
      <c r="E78" s="2" t="s">
        <v>74</v>
      </c>
      <c r="F78" s="2">
        <v>2020</v>
      </c>
      <c r="G78" s="2">
        <v>85</v>
      </c>
      <c r="H78" s="3">
        <v>0.78</v>
      </c>
      <c r="I78" s="3">
        <v>0.32</v>
      </c>
      <c r="J78" s="3">
        <v>0.27</v>
      </c>
      <c r="K78" s="3">
        <v>0.09</v>
      </c>
      <c r="L78" s="3">
        <v>0.1</v>
      </c>
      <c r="M78" s="2" t="s">
        <v>17</v>
      </c>
      <c r="N78" s="3" t="str" cm="1">
        <f t="array" ref="N78">_xlfn.IFS(G78&gt;=90,"Excellent",G78&gt;=80,"Good",G78&gt;=70,"Average",G78&lt;70,"Poor")</f>
        <v>Good</v>
      </c>
    </row>
    <row r="79" spans="1:14" x14ac:dyDescent="0.35">
      <c r="A79" s="2">
        <v>78</v>
      </c>
      <c r="B79" s="2" t="s">
        <v>120</v>
      </c>
      <c r="C79" s="2" t="s">
        <v>64</v>
      </c>
      <c r="D79" s="2" t="s">
        <v>33</v>
      </c>
      <c r="E79" s="2" t="s">
        <v>16</v>
      </c>
      <c r="F79" s="2">
        <v>2018</v>
      </c>
      <c r="G79" s="2">
        <v>76</v>
      </c>
      <c r="H79" s="3">
        <v>0.22</v>
      </c>
      <c r="I79" s="3">
        <v>0.08</v>
      </c>
      <c r="J79" s="3">
        <v>0.06</v>
      </c>
      <c r="K79" s="3">
        <v>0.03</v>
      </c>
      <c r="L79" s="3">
        <v>0.05</v>
      </c>
      <c r="M79" s="2" t="s">
        <v>24</v>
      </c>
      <c r="N79" s="3" t="str" cm="1">
        <f t="array" ref="N79">_xlfn.IFS(G79&gt;=90,"Excellent",G79&gt;=80,"Good",G79&gt;=70,"Average",G79&lt;70,"Poor")</f>
        <v>Average</v>
      </c>
    </row>
    <row r="80" spans="1:14" x14ac:dyDescent="0.35">
      <c r="A80" s="2">
        <v>79</v>
      </c>
      <c r="B80" s="2" t="s">
        <v>121</v>
      </c>
      <c r="C80" s="2" t="s">
        <v>57</v>
      </c>
      <c r="D80" s="2" t="s">
        <v>65</v>
      </c>
      <c r="E80" s="2" t="s">
        <v>20</v>
      </c>
      <c r="F80" s="2">
        <v>2010</v>
      </c>
      <c r="G80" s="2">
        <v>75</v>
      </c>
      <c r="H80" s="3">
        <v>0.31</v>
      </c>
      <c r="I80" s="3">
        <v>0.16</v>
      </c>
      <c r="J80" s="3">
        <v>0.1</v>
      </c>
      <c r="K80" s="3">
        <v>0.05</v>
      </c>
      <c r="L80" s="3">
        <v>0</v>
      </c>
      <c r="M80" s="2" t="s">
        <v>24</v>
      </c>
      <c r="N80" s="3" t="str" cm="1">
        <f t="array" ref="N80">_xlfn.IFS(G80&gt;=90,"Excellent",G80&gt;=80,"Good",G80&gt;=70,"Average",G80&lt;70,"Poor")</f>
        <v>Average</v>
      </c>
    </row>
    <row r="81" spans="1:14" x14ac:dyDescent="0.35">
      <c r="A81" s="2">
        <v>80</v>
      </c>
      <c r="B81" s="2" t="s">
        <v>122</v>
      </c>
      <c r="C81" s="2" t="s">
        <v>59</v>
      </c>
      <c r="D81" s="2" t="s">
        <v>65</v>
      </c>
      <c r="E81" s="2" t="s">
        <v>16</v>
      </c>
      <c r="F81" s="2">
        <v>2000</v>
      </c>
      <c r="G81" s="2">
        <v>67</v>
      </c>
      <c r="H81" s="3">
        <v>0.44</v>
      </c>
      <c r="I81" s="3">
        <v>0.2</v>
      </c>
      <c r="J81" s="3">
        <v>0.12</v>
      </c>
      <c r="K81" s="3">
        <v>0.03</v>
      </c>
      <c r="L81" s="3">
        <v>0.09</v>
      </c>
      <c r="M81" s="2" t="s">
        <v>24</v>
      </c>
      <c r="N81" s="3" t="str" cm="1">
        <f t="array" ref="N81">_xlfn.IFS(G81&gt;=90,"Excellent",G81&gt;=80,"Good",G81&gt;=70,"Average",G81&lt;70,"Poor")</f>
        <v>Poor</v>
      </c>
    </row>
    <row r="82" spans="1:14" x14ac:dyDescent="0.35">
      <c r="A82" s="2">
        <v>81</v>
      </c>
      <c r="B82" s="2" t="s">
        <v>123</v>
      </c>
      <c r="C82" s="2" t="s">
        <v>14</v>
      </c>
      <c r="D82" s="2" t="s">
        <v>51</v>
      </c>
      <c r="E82" s="2" t="s">
        <v>16</v>
      </c>
      <c r="F82" s="2">
        <v>2008</v>
      </c>
      <c r="G82" s="2">
        <v>56</v>
      </c>
      <c r="H82" s="3">
        <v>0.37</v>
      </c>
      <c r="I82" s="3">
        <v>0.17</v>
      </c>
      <c r="J82" s="3">
        <v>0.1</v>
      </c>
      <c r="K82" s="3">
        <v>0.02</v>
      </c>
      <c r="L82" s="3">
        <v>0.08</v>
      </c>
      <c r="M82" s="2" t="s">
        <v>24</v>
      </c>
      <c r="N82" s="3" t="str" cm="1">
        <f t="array" ref="N82">_xlfn.IFS(G82&gt;=90,"Excellent",G82&gt;=80,"Good",G82&gt;=70,"Average",G82&lt;70,"Poor")</f>
        <v>Poor</v>
      </c>
    </row>
    <row r="83" spans="1:14" x14ac:dyDescent="0.35">
      <c r="A83" s="2">
        <v>82</v>
      </c>
      <c r="B83" s="2" t="s">
        <v>124</v>
      </c>
      <c r="C83" s="2" t="s">
        <v>64</v>
      </c>
      <c r="D83" s="2" t="s">
        <v>62</v>
      </c>
      <c r="E83" s="2" t="s">
        <v>49</v>
      </c>
      <c r="F83" s="2">
        <v>2012</v>
      </c>
      <c r="G83" s="2">
        <v>73</v>
      </c>
      <c r="H83" s="3">
        <v>0.3</v>
      </c>
      <c r="I83" s="3">
        <v>0.16</v>
      </c>
      <c r="J83" s="3">
        <v>0.1</v>
      </c>
      <c r="K83" s="3">
        <v>0.03</v>
      </c>
      <c r="L83" s="3">
        <v>0.01</v>
      </c>
      <c r="M83" s="2" t="s">
        <v>24</v>
      </c>
      <c r="N83" s="3" t="str" cm="1">
        <f t="array" ref="N83">_xlfn.IFS(G83&gt;=90,"Excellent",G83&gt;=80,"Good",G83&gt;=70,"Average",G83&lt;70,"Poor")</f>
        <v>Average</v>
      </c>
    </row>
    <row r="84" spans="1:14" x14ac:dyDescent="0.35">
      <c r="A84" s="2">
        <v>83</v>
      </c>
      <c r="B84" s="2" t="s">
        <v>125</v>
      </c>
      <c r="C84" s="2" t="s">
        <v>23</v>
      </c>
      <c r="D84" s="2" t="s">
        <v>45</v>
      </c>
      <c r="E84" s="2" t="s">
        <v>52</v>
      </c>
      <c r="F84" s="2">
        <v>2021</v>
      </c>
      <c r="G84" s="2">
        <v>63</v>
      </c>
      <c r="H84" s="3">
        <v>1.6</v>
      </c>
      <c r="I84" s="3">
        <v>0.81</v>
      </c>
      <c r="J84" s="3">
        <v>0.42</v>
      </c>
      <c r="K84" s="3">
        <v>0.3</v>
      </c>
      <c r="L84" s="3">
        <v>7.0000000000000007E-2</v>
      </c>
      <c r="M84" s="2" t="s">
        <v>17</v>
      </c>
      <c r="N84" s="3" t="str" cm="1">
        <f t="array" ref="N84">_xlfn.IFS(G84&gt;=90,"Excellent",G84&gt;=80,"Good",G84&gt;=70,"Average",G84&lt;70,"Poor")</f>
        <v>Poor</v>
      </c>
    </row>
    <row r="85" spans="1:14" x14ac:dyDescent="0.35">
      <c r="A85" s="2">
        <v>84</v>
      </c>
      <c r="B85" s="2" t="s">
        <v>126</v>
      </c>
      <c r="C85" s="2" t="s">
        <v>23</v>
      </c>
      <c r="D85" s="2" t="s">
        <v>15</v>
      </c>
      <c r="E85" s="2" t="s">
        <v>46</v>
      </c>
      <c r="F85" s="2">
        <v>2022</v>
      </c>
      <c r="G85" s="2">
        <v>92</v>
      </c>
      <c r="H85" s="3">
        <v>0.23</v>
      </c>
      <c r="I85" s="3">
        <v>0.1</v>
      </c>
      <c r="J85" s="3">
        <v>7.0000000000000007E-2</v>
      </c>
      <c r="K85" s="3">
        <v>0.03</v>
      </c>
      <c r="L85" s="3">
        <v>0.03</v>
      </c>
      <c r="M85" s="2" t="s">
        <v>24</v>
      </c>
      <c r="N85" s="3" t="str" cm="1">
        <f t="array" ref="N85">_xlfn.IFS(G85&gt;=90,"Excellent",G85&gt;=80,"Good",G85&gt;=70,"Average",G85&lt;70,"Poor")</f>
        <v>Excellent</v>
      </c>
    </row>
    <row r="86" spans="1:14" x14ac:dyDescent="0.35">
      <c r="A86" s="2">
        <v>85</v>
      </c>
      <c r="B86" s="2" t="s">
        <v>127</v>
      </c>
      <c r="C86" s="2" t="s">
        <v>19</v>
      </c>
      <c r="D86" s="2" t="s">
        <v>48</v>
      </c>
      <c r="E86" s="2" t="s">
        <v>52</v>
      </c>
      <c r="F86" s="2">
        <v>2018</v>
      </c>
      <c r="G86" s="2">
        <v>69</v>
      </c>
      <c r="H86" s="3">
        <v>2.06</v>
      </c>
      <c r="I86" s="3">
        <v>0.85</v>
      </c>
      <c r="J86" s="3">
        <v>0.56000000000000005</v>
      </c>
      <c r="K86" s="3">
        <v>0.39</v>
      </c>
      <c r="L86" s="3">
        <v>0.26</v>
      </c>
      <c r="M86" s="2" t="s">
        <v>27</v>
      </c>
      <c r="N86" s="3" t="str" cm="1">
        <f t="array" ref="N86">_xlfn.IFS(G86&gt;=90,"Excellent",G86&gt;=80,"Good",G86&gt;=70,"Average",G86&lt;70,"Poor")</f>
        <v>Poor</v>
      </c>
    </row>
    <row r="87" spans="1:14" x14ac:dyDescent="0.35">
      <c r="A87" s="2">
        <v>86</v>
      </c>
      <c r="B87" s="2" t="s">
        <v>128</v>
      </c>
      <c r="C87" s="2" t="s">
        <v>19</v>
      </c>
      <c r="D87" s="2" t="s">
        <v>37</v>
      </c>
      <c r="E87" s="2" t="s">
        <v>16</v>
      </c>
      <c r="F87" s="2">
        <v>2019</v>
      </c>
      <c r="G87" s="2">
        <v>87</v>
      </c>
      <c r="H87" s="3">
        <v>2.38</v>
      </c>
      <c r="I87" s="3">
        <v>0.88</v>
      </c>
      <c r="J87" s="3">
        <v>0.78</v>
      </c>
      <c r="K87" s="3">
        <v>0.15</v>
      </c>
      <c r="L87" s="3">
        <v>0.56999999999999995</v>
      </c>
      <c r="M87" s="2" t="s">
        <v>27</v>
      </c>
      <c r="N87" s="3" t="str" cm="1">
        <f t="array" ref="N87">_xlfn.IFS(G87&gt;=90,"Excellent",G87&gt;=80,"Good",G87&gt;=70,"Average",G87&lt;70,"Poor")</f>
        <v>Good</v>
      </c>
    </row>
    <row r="88" spans="1:14" x14ac:dyDescent="0.35">
      <c r="A88" s="2">
        <v>87</v>
      </c>
      <c r="B88" s="2" t="s">
        <v>129</v>
      </c>
      <c r="C88" s="2" t="s">
        <v>19</v>
      </c>
      <c r="D88" s="2" t="s">
        <v>37</v>
      </c>
      <c r="E88" s="2" t="s">
        <v>41</v>
      </c>
      <c r="F88" s="2">
        <v>2013</v>
      </c>
      <c r="G88" s="2">
        <v>85</v>
      </c>
      <c r="H88" s="3">
        <v>1.46</v>
      </c>
      <c r="I88" s="3">
        <v>0.69</v>
      </c>
      <c r="J88" s="3">
        <v>0.38</v>
      </c>
      <c r="K88" s="3">
        <v>0.09</v>
      </c>
      <c r="L88" s="3">
        <v>0.3</v>
      </c>
      <c r="M88" s="2" t="s">
        <v>17</v>
      </c>
      <c r="N88" s="3" t="str" cm="1">
        <f t="array" ref="N88">_xlfn.IFS(G88&gt;=90,"Excellent",G88&gt;=80,"Good",G88&gt;=70,"Average",G88&lt;70,"Poor")</f>
        <v>Good</v>
      </c>
    </row>
    <row r="89" spans="1:14" x14ac:dyDescent="0.35">
      <c r="A89" s="2">
        <v>88</v>
      </c>
      <c r="B89" s="2" t="s">
        <v>130</v>
      </c>
      <c r="C89" s="2" t="s">
        <v>14</v>
      </c>
      <c r="D89" s="2" t="s">
        <v>29</v>
      </c>
      <c r="E89" s="2" t="s">
        <v>16</v>
      </c>
      <c r="F89" s="2">
        <v>2012</v>
      </c>
      <c r="G89" s="2">
        <v>94</v>
      </c>
      <c r="H89" s="3">
        <v>1.1599999999999999</v>
      </c>
      <c r="I89" s="3">
        <v>0.43</v>
      </c>
      <c r="J89" s="3">
        <v>0.34</v>
      </c>
      <c r="K89" s="3">
        <v>0.21</v>
      </c>
      <c r="L89" s="3">
        <v>0.18</v>
      </c>
      <c r="M89" s="2" t="s">
        <v>17</v>
      </c>
      <c r="N89" s="3" t="str" cm="1">
        <f t="array" ref="N89">_xlfn.IFS(G89&gt;=90,"Excellent",G89&gt;=80,"Good",G89&gt;=70,"Average",G89&lt;70,"Poor")</f>
        <v>Excellent</v>
      </c>
    </row>
    <row r="90" spans="1:14" x14ac:dyDescent="0.35">
      <c r="A90" s="2">
        <v>89</v>
      </c>
      <c r="B90" s="2" t="s">
        <v>131</v>
      </c>
      <c r="C90" s="2" t="s">
        <v>19</v>
      </c>
      <c r="D90" s="2" t="s">
        <v>51</v>
      </c>
      <c r="E90" s="2" t="s">
        <v>20</v>
      </c>
      <c r="F90" s="2">
        <v>2015</v>
      </c>
      <c r="G90" s="2">
        <v>58</v>
      </c>
      <c r="H90" s="3">
        <v>0.49</v>
      </c>
      <c r="I90" s="3">
        <v>0.19</v>
      </c>
      <c r="J90" s="3">
        <v>0.14000000000000001</v>
      </c>
      <c r="K90" s="3">
        <v>7.0000000000000007E-2</v>
      </c>
      <c r="L90" s="3">
        <v>0.09</v>
      </c>
      <c r="M90" s="2" t="s">
        <v>24</v>
      </c>
      <c r="N90" s="3" t="str" cm="1">
        <f t="array" ref="N90">_xlfn.IFS(G90&gt;=90,"Excellent",G90&gt;=80,"Good",G90&gt;=70,"Average",G90&lt;70,"Poor")</f>
        <v>Poor</v>
      </c>
    </row>
    <row r="91" spans="1:14" x14ac:dyDescent="0.35">
      <c r="A91" s="2">
        <v>90</v>
      </c>
      <c r="B91" s="2" t="s">
        <v>132</v>
      </c>
      <c r="C91" s="2" t="s">
        <v>64</v>
      </c>
      <c r="D91" s="2" t="s">
        <v>37</v>
      </c>
      <c r="E91" s="2" t="s">
        <v>54</v>
      </c>
      <c r="F91" s="2">
        <v>2013</v>
      </c>
      <c r="G91" s="2">
        <v>79</v>
      </c>
      <c r="H91" s="3">
        <v>0.38</v>
      </c>
      <c r="I91" s="3">
        <v>0.2</v>
      </c>
      <c r="J91" s="3">
        <v>0.08</v>
      </c>
      <c r="K91" s="3">
        <v>0.05</v>
      </c>
      <c r="L91" s="3">
        <v>0.05</v>
      </c>
      <c r="M91" s="2" t="s">
        <v>24</v>
      </c>
      <c r="N91" s="3" t="str" cm="1">
        <f t="array" ref="N91">_xlfn.IFS(G91&gt;=90,"Excellent",G91&gt;=80,"Good",G91&gt;=70,"Average",G91&lt;70,"Poor")</f>
        <v>Average</v>
      </c>
    </row>
    <row r="92" spans="1:14" x14ac:dyDescent="0.35">
      <c r="A92" s="2">
        <v>91</v>
      </c>
      <c r="B92" s="2" t="s">
        <v>133</v>
      </c>
      <c r="C92" s="2" t="s">
        <v>14</v>
      </c>
      <c r="D92" s="2" t="s">
        <v>51</v>
      </c>
      <c r="E92" s="2" t="s">
        <v>20</v>
      </c>
      <c r="F92" s="2">
        <v>2013</v>
      </c>
      <c r="G92" s="2">
        <v>98</v>
      </c>
      <c r="H92" s="3">
        <v>0.64</v>
      </c>
      <c r="I92" s="3">
        <v>0.34</v>
      </c>
      <c r="J92" s="3">
        <v>0.22</v>
      </c>
      <c r="K92" s="3">
        <v>0.06</v>
      </c>
      <c r="L92" s="3">
        <v>0.02</v>
      </c>
      <c r="M92" s="2" t="s">
        <v>17</v>
      </c>
      <c r="N92" s="3" t="str" cm="1">
        <f t="array" ref="N92">_xlfn.IFS(G92&gt;=90,"Excellent",G92&gt;=80,"Good",G92&gt;=70,"Average",G92&lt;70,"Poor")</f>
        <v>Excellent</v>
      </c>
    </row>
    <row r="93" spans="1:14" x14ac:dyDescent="0.35">
      <c r="A93" s="2">
        <v>92</v>
      </c>
      <c r="B93" s="2" t="s">
        <v>134</v>
      </c>
      <c r="C93" s="2" t="s">
        <v>19</v>
      </c>
      <c r="D93" s="2" t="s">
        <v>62</v>
      </c>
      <c r="E93" s="2" t="s">
        <v>46</v>
      </c>
      <c r="F93" s="2">
        <v>2017</v>
      </c>
      <c r="G93" s="2">
        <v>85</v>
      </c>
      <c r="H93" s="3">
        <v>0.3</v>
      </c>
      <c r="I93" s="3">
        <v>0.13</v>
      </c>
      <c r="J93" s="3">
        <v>7.0000000000000007E-2</v>
      </c>
      <c r="K93" s="3">
        <v>0.05</v>
      </c>
      <c r="L93" s="3">
        <v>0.05</v>
      </c>
      <c r="M93" s="2" t="s">
        <v>24</v>
      </c>
      <c r="N93" s="3" t="str" cm="1">
        <f t="array" ref="N93">_xlfn.IFS(G93&gt;=90,"Excellent",G93&gt;=80,"Good",G93&gt;=70,"Average",G93&lt;70,"Poor")</f>
        <v>Good</v>
      </c>
    </row>
    <row r="94" spans="1:14" x14ac:dyDescent="0.35">
      <c r="A94" s="2">
        <v>93</v>
      </c>
      <c r="B94" s="2" t="s">
        <v>135</v>
      </c>
      <c r="C94" s="2" t="s">
        <v>59</v>
      </c>
      <c r="D94" s="2" t="s">
        <v>45</v>
      </c>
      <c r="E94" s="2" t="s">
        <v>46</v>
      </c>
      <c r="F94" s="2">
        <v>2000</v>
      </c>
      <c r="G94" s="2">
        <v>98</v>
      </c>
      <c r="H94" s="3">
        <v>0.7</v>
      </c>
      <c r="I94" s="3">
        <v>0.36</v>
      </c>
      <c r="J94" s="3">
        <v>0.16</v>
      </c>
      <c r="K94" s="3">
        <v>0.05</v>
      </c>
      <c r="L94" s="3">
        <v>0.13</v>
      </c>
      <c r="M94" s="2" t="s">
        <v>17</v>
      </c>
      <c r="N94" s="3" t="str" cm="1">
        <f t="array" ref="N94">_xlfn.IFS(G94&gt;=90,"Excellent",G94&gt;=80,"Good",G94&gt;=70,"Average",G94&lt;70,"Poor")</f>
        <v>Excellent</v>
      </c>
    </row>
    <row r="95" spans="1:14" x14ac:dyDescent="0.35">
      <c r="A95" s="2">
        <v>94</v>
      </c>
      <c r="B95" s="2" t="s">
        <v>136</v>
      </c>
      <c r="C95" s="2" t="s">
        <v>14</v>
      </c>
      <c r="D95" s="2" t="s">
        <v>33</v>
      </c>
      <c r="E95" s="2" t="s">
        <v>20</v>
      </c>
      <c r="F95" s="2">
        <v>2008</v>
      </c>
      <c r="G95" s="2">
        <v>57</v>
      </c>
      <c r="H95" s="3">
        <v>0.93</v>
      </c>
      <c r="I95" s="3">
        <v>0.34</v>
      </c>
      <c r="J95" s="3">
        <v>0.23</v>
      </c>
      <c r="K95" s="3">
        <v>0.15</v>
      </c>
      <c r="L95" s="3">
        <v>0.21</v>
      </c>
      <c r="M95" s="2" t="s">
        <v>17</v>
      </c>
      <c r="N95" s="3" t="str" cm="1">
        <f t="array" ref="N95">_xlfn.IFS(G95&gt;=90,"Excellent",G95&gt;=80,"Good",G95&gt;=70,"Average",G95&lt;70,"Poor")</f>
        <v>Poor</v>
      </c>
    </row>
    <row r="96" spans="1:14" x14ac:dyDescent="0.35">
      <c r="A96" s="2">
        <v>95</v>
      </c>
      <c r="B96" s="2" t="s">
        <v>137</v>
      </c>
      <c r="C96" s="2" t="s">
        <v>31</v>
      </c>
      <c r="D96" s="2" t="s">
        <v>37</v>
      </c>
      <c r="E96" s="2" t="s">
        <v>60</v>
      </c>
      <c r="F96" s="2">
        <v>2001</v>
      </c>
      <c r="G96" s="2">
        <v>87</v>
      </c>
      <c r="H96" s="3">
        <v>0.08</v>
      </c>
      <c r="I96" s="3">
        <v>0.04</v>
      </c>
      <c r="J96" s="3">
        <v>0.03</v>
      </c>
      <c r="K96" s="3">
        <v>0.01</v>
      </c>
      <c r="L96" s="3">
        <v>0</v>
      </c>
      <c r="M96" s="2" t="s">
        <v>24</v>
      </c>
      <c r="N96" s="3" t="str" cm="1">
        <f t="array" ref="N96">_xlfn.IFS(G96&gt;=90,"Excellent",G96&gt;=80,"Good",G96&gt;=70,"Average",G96&lt;70,"Poor")</f>
        <v>Good</v>
      </c>
    </row>
    <row r="97" spans="1:14" x14ac:dyDescent="0.35">
      <c r="A97" s="2">
        <v>96</v>
      </c>
      <c r="B97" s="2" t="s">
        <v>138</v>
      </c>
      <c r="C97" s="2" t="s">
        <v>14</v>
      </c>
      <c r="D97" s="2" t="s">
        <v>62</v>
      </c>
      <c r="E97" s="2" t="s">
        <v>49</v>
      </c>
      <c r="F97" s="2">
        <v>2007</v>
      </c>
      <c r="G97" s="2">
        <v>98</v>
      </c>
      <c r="H97" s="3">
        <v>0.22</v>
      </c>
      <c r="I97" s="3">
        <v>0.08</v>
      </c>
      <c r="J97" s="3">
        <v>0.06</v>
      </c>
      <c r="K97" s="3">
        <v>0.03</v>
      </c>
      <c r="L97" s="3">
        <v>0.05</v>
      </c>
      <c r="M97" s="2" t="s">
        <v>24</v>
      </c>
      <c r="N97" s="3" t="str" cm="1">
        <f t="array" ref="N97">_xlfn.IFS(G97&gt;=90,"Excellent",G97&gt;=80,"Good",G97&gt;=70,"Average",G97&lt;70,"Poor")</f>
        <v>Excellent</v>
      </c>
    </row>
    <row r="98" spans="1:14" x14ac:dyDescent="0.35">
      <c r="A98" s="2">
        <v>97</v>
      </c>
      <c r="B98" s="2" t="s">
        <v>139</v>
      </c>
      <c r="C98" s="2" t="s">
        <v>57</v>
      </c>
      <c r="D98" s="2" t="s">
        <v>51</v>
      </c>
      <c r="E98" s="2" t="s">
        <v>74</v>
      </c>
      <c r="F98" s="2">
        <v>2014</v>
      </c>
      <c r="G98" s="2">
        <v>61</v>
      </c>
      <c r="H98" s="3">
        <v>0.8</v>
      </c>
      <c r="I98" s="3">
        <v>0.38</v>
      </c>
      <c r="J98" s="3">
        <v>0.27</v>
      </c>
      <c r="K98" s="3">
        <v>0.08</v>
      </c>
      <c r="L98" s="3">
        <v>7.0000000000000007E-2</v>
      </c>
      <c r="M98" s="2" t="s">
        <v>17</v>
      </c>
      <c r="N98" s="3" t="str" cm="1">
        <f t="array" ref="N98">_xlfn.IFS(G98&gt;=90,"Excellent",G98&gt;=80,"Good",G98&gt;=70,"Average",G98&lt;70,"Poor")</f>
        <v>Poor</v>
      </c>
    </row>
    <row r="99" spans="1:14" x14ac:dyDescent="0.35">
      <c r="A99" s="2">
        <v>98</v>
      </c>
      <c r="B99" s="2" t="s">
        <v>140</v>
      </c>
      <c r="C99" s="2" t="s">
        <v>23</v>
      </c>
      <c r="D99" s="2" t="s">
        <v>33</v>
      </c>
      <c r="E99" s="2" t="s">
        <v>16</v>
      </c>
      <c r="F99" s="2">
        <v>2021</v>
      </c>
      <c r="G99" s="2">
        <v>62</v>
      </c>
      <c r="H99" s="3">
        <v>0.41</v>
      </c>
      <c r="I99" s="3">
        <v>0.15</v>
      </c>
      <c r="J99" s="3">
        <v>0.14000000000000001</v>
      </c>
      <c r="K99" s="3">
        <v>0.03</v>
      </c>
      <c r="L99" s="3">
        <v>0.09</v>
      </c>
      <c r="M99" s="2" t="s">
        <v>24</v>
      </c>
      <c r="N99" s="3" t="str" cm="1">
        <f t="array" ref="N99">_xlfn.IFS(G99&gt;=90,"Excellent",G99&gt;=80,"Good",G99&gt;=70,"Average",G99&lt;70,"Poor")</f>
        <v>Poor</v>
      </c>
    </row>
    <row r="100" spans="1:14" x14ac:dyDescent="0.35">
      <c r="A100" s="2">
        <v>99</v>
      </c>
      <c r="B100" s="2" t="s">
        <v>141</v>
      </c>
      <c r="C100" s="2" t="s">
        <v>19</v>
      </c>
      <c r="D100" s="2" t="s">
        <v>65</v>
      </c>
      <c r="E100" s="2" t="s">
        <v>41</v>
      </c>
      <c r="F100" s="2">
        <v>2018</v>
      </c>
      <c r="G100" s="2">
        <v>81</v>
      </c>
      <c r="H100" s="3">
        <v>3.41</v>
      </c>
      <c r="I100" s="3">
        <v>1.61</v>
      </c>
      <c r="J100" s="3">
        <v>1.1599999999999999</v>
      </c>
      <c r="K100" s="3">
        <v>0.31</v>
      </c>
      <c r="L100" s="3">
        <v>0.33</v>
      </c>
      <c r="M100" s="2" t="s">
        <v>27</v>
      </c>
      <c r="N100" s="3" t="str" cm="1">
        <f t="array" ref="N100">_xlfn.IFS(G100&gt;=90,"Excellent",G100&gt;=80,"Good",G100&gt;=70,"Average",G100&lt;70,"Poor")</f>
        <v>Good</v>
      </c>
    </row>
    <row r="101" spans="1:14" x14ac:dyDescent="0.35">
      <c r="A101" s="2">
        <v>100</v>
      </c>
      <c r="B101" s="2" t="s">
        <v>142</v>
      </c>
      <c r="C101" s="2" t="s">
        <v>57</v>
      </c>
      <c r="D101" s="2" t="s">
        <v>48</v>
      </c>
      <c r="E101" s="2" t="s">
        <v>16</v>
      </c>
      <c r="F101" s="2">
        <v>2009</v>
      </c>
      <c r="G101" s="2">
        <v>78</v>
      </c>
      <c r="H101" s="3">
        <v>10.61</v>
      </c>
      <c r="I101" s="3">
        <v>4.47</v>
      </c>
      <c r="J101" s="3">
        <v>2.76</v>
      </c>
      <c r="K101" s="3">
        <v>0.83</v>
      </c>
      <c r="L101" s="3">
        <v>2.5499999999999998</v>
      </c>
      <c r="M101" s="2" t="s">
        <v>21</v>
      </c>
      <c r="N101" s="3" t="str" cm="1">
        <f t="array" ref="N101">_xlfn.IFS(G101&gt;=90,"Excellent",G101&gt;=80,"Good",G101&gt;=70,"Average",G101&lt;70,"Poor")</f>
        <v>Average</v>
      </c>
    </row>
    <row r="102" spans="1:14" x14ac:dyDescent="0.35">
      <c r="A102" s="2">
        <v>101</v>
      </c>
      <c r="B102" s="2" t="s">
        <v>143</v>
      </c>
      <c r="C102" s="2" t="s">
        <v>59</v>
      </c>
      <c r="D102" s="2" t="s">
        <v>33</v>
      </c>
      <c r="E102" s="2" t="s">
        <v>52</v>
      </c>
      <c r="F102" s="2">
        <v>1998</v>
      </c>
      <c r="G102" s="2">
        <v>58</v>
      </c>
      <c r="H102" s="3">
        <v>0.73</v>
      </c>
      <c r="I102" s="3">
        <v>0.27</v>
      </c>
      <c r="J102" s="3">
        <v>0.21</v>
      </c>
      <c r="K102" s="3">
        <v>0.04</v>
      </c>
      <c r="L102" s="3">
        <v>0.21</v>
      </c>
      <c r="M102" s="2" t="s">
        <v>17</v>
      </c>
      <c r="N102" s="3" t="str" cm="1">
        <f t="array" ref="N102">_xlfn.IFS(G102&gt;=90,"Excellent",G102&gt;=80,"Good",G102&gt;=70,"Average",G102&lt;70,"Poor")</f>
        <v>Poor</v>
      </c>
    </row>
    <row r="103" spans="1:14" x14ac:dyDescent="0.35">
      <c r="A103" s="2">
        <v>102</v>
      </c>
      <c r="B103" s="2" t="s">
        <v>144</v>
      </c>
      <c r="C103" s="2" t="s">
        <v>64</v>
      </c>
      <c r="D103" s="2" t="s">
        <v>48</v>
      </c>
      <c r="E103" s="2" t="s">
        <v>74</v>
      </c>
      <c r="F103" s="2">
        <v>2019</v>
      </c>
      <c r="G103" s="2">
        <v>76</v>
      </c>
      <c r="H103" s="3">
        <v>2.19</v>
      </c>
      <c r="I103" s="3">
        <v>1.03</v>
      </c>
      <c r="J103" s="3">
        <v>0.53</v>
      </c>
      <c r="K103" s="3">
        <v>0.43</v>
      </c>
      <c r="L103" s="3">
        <v>0.2</v>
      </c>
      <c r="M103" s="2" t="s">
        <v>27</v>
      </c>
      <c r="N103" s="3" t="str" cm="1">
        <f t="array" ref="N103">_xlfn.IFS(G103&gt;=90,"Excellent",G103&gt;=80,"Good",G103&gt;=70,"Average",G103&lt;70,"Poor")</f>
        <v>Average</v>
      </c>
    </row>
    <row r="104" spans="1:14" x14ac:dyDescent="0.35">
      <c r="A104" s="2">
        <v>103</v>
      </c>
      <c r="B104" s="2" t="s">
        <v>145</v>
      </c>
      <c r="C104" s="2" t="s">
        <v>31</v>
      </c>
      <c r="D104" s="2" t="s">
        <v>51</v>
      </c>
      <c r="E104" s="2" t="s">
        <v>54</v>
      </c>
      <c r="F104" s="2">
        <v>2004</v>
      </c>
      <c r="G104" s="2">
        <v>63</v>
      </c>
      <c r="H104" s="3">
        <v>0.36</v>
      </c>
      <c r="I104" s="3">
        <v>0.14000000000000001</v>
      </c>
      <c r="J104" s="3">
        <v>7.0000000000000007E-2</v>
      </c>
      <c r="K104" s="3">
        <v>0.06</v>
      </c>
      <c r="L104" s="3">
        <v>0.09</v>
      </c>
      <c r="M104" s="2" t="s">
        <v>24</v>
      </c>
      <c r="N104" s="3" t="str" cm="1">
        <f t="array" ref="N104">_xlfn.IFS(G104&gt;=90,"Excellent",G104&gt;=80,"Good",G104&gt;=70,"Average",G104&lt;70,"Poor")</f>
        <v>Poor</v>
      </c>
    </row>
    <row r="105" spans="1:14" x14ac:dyDescent="0.35">
      <c r="A105" s="2">
        <v>104</v>
      </c>
      <c r="B105" s="2" t="s">
        <v>146</v>
      </c>
      <c r="C105" s="2" t="s">
        <v>23</v>
      </c>
      <c r="D105" s="2" t="s">
        <v>33</v>
      </c>
      <c r="E105" s="2" t="s">
        <v>16</v>
      </c>
      <c r="F105" s="2">
        <v>2020</v>
      </c>
      <c r="G105" s="2">
        <v>87</v>
      </c>
      <c r="H105" s="3">
        <v>0.96</v>
      </c>
      <c r="I105" s="3">
        <v>0.38</v>
      </c>
      <c r="J105" s="3">
        <v>0.28000000000000003</v>
      </c>
      <c r="K105" s="3">
        <v>0.15</v>
      </c>
      <c r="L105" s="3">
        <v>0.15</v>
      </c>
      <c r="M105" s="2" t="s">
        <v>17</v>
      </c>
      <c r="N105" s="3" t="str" cm="1">
        <f t="array" ref="N105">_xlfn.IFS(G105&gt;=90,"Excellent",G105&gt;=80,"Good",G105&gt;=70,"Average",G105&lt;70,"Poor")</f>
        <v>Good</v>
      </c>
    </row>
    <row r="106" spans="1:14" x14ac:dyDescent="0.35">
      <c r="A106" s="2">
        <v>105</v>
      </c>
      <c r="B106" s="2" t="s">
        <v>147</v>
      </c>
      <c r="C106" s="2" t="s">
        <v>64</v>
      </c>
      <c r="D106" s="2" t="s">
        <v>51</v>
      </c>
      <c r="E106" s="2" t="s">
        <v>16</v>
      </c>
      <c r="F106" s="2">
        <v>2019</v>
      </c>
      <c r="G106" s="2">
        <v>85</v>
      </c>
      <c r="H106" s="3">
        <v>0.75</v>
      </c>
      <c r="I106" s="3">
        <v>0.28000000000000003</v>
      </c>
      <c r="J106" s="3">
        <v>0.23</v>
      </c>
      <c r="K106" s="3">
        <v>0.09</v>
      </c>
      <c r="L106" s="3">
        <v>0.15</v>
      </c>
      <c r="M106" s="2" t="s">
        <v>17</v>
      </c>
      <c r="N106" s="3" t="str" cm="1">
        <f t="array" ref="N106">_xlfn.IFS(G106&gt;=90,"Excellent",G106&gt;=80,"Good",G106&gt;=70,"Average",G106&lt;70,"Poor")</f>
        <v>Good</v>
      </c>
    </row>
    <row r="107" spans="1:14" x14ac:dyDescent="0.35">
      <c r="A107" s="2">
        <v>106</v>
      </c>
      <c r="B107" s="2" t="s">
        <v>148</v>
      </c>
      <c r="C107" s="2" t="s">
        <v>59</v>
      </c>
      <c r="D107" s="2" t="s">
        <v>2</v>
      </c>
      <c r="E107" s="2" t="s">
        <v>54</v>
      </c>
      <c r="F107" s="2">
        <v>1997</v>
      </c>
      <c r="G107" s="2">
        <v>72</v>
      </c>
      <c r="H107" s="3">
        <v>0.64</v>
      </c>
      <c r="I107" s="3">
        <v>0.32</v>
      </c>
      <c r="J107" s="3">
        <v>0.16</v>
      </c>
      <c r="K107" s="3">
        <v>0.09</v>
      </c>
      <c r="L107" s="3">
        <v>7.0000000000000007E-2</v>
      </c>
      <c r="M107" s="2" t="s">
        <v>17</v>
      </c>
      <c r="N107" s="3" t="str" cm="1">
        <f t="array" ref="N107">_xlfn.IFS(G107&gt;=90,"Excellent",G107&gt;=80,"Good",G107&gt;=70,"Average",G107&lt;70,"Poor")</f>
        <v>Average</v>
      </c>
    </row>
    <row r="108" spans="1:14" x14ac:dyDescent="0.35">
      <c r="A108" s="2">
        <v>107</v>
      </c>
      <c r="B108" s="2" t="s">
        <v>149</v>
      </c>
      <c r="C108" s="2" t="s">
        <v>14</v>
      </c>
      <c r="D108" s="2" t="s">
        <v>65</v>
      </c>
      <c r="E108" s="2" t="s">
        <v>74</v>
      </c>
      <c r="F108" s="2">
        <v>2013</v>
      </c>
      <c r="G108" s="2">
        <v>62</v>
      </c>
      <c r="H108" s="3">
        <v>2.81</v>
      </c>
      <c r="I108" s="3">
        <v>1.42</v>
      </c>
      <c r="J108" s="3">
        <v>0.87</v>
      </c>
      <c r="K108" s="3">
        <v>0.23</v>
      </c>
      <c r="L108" s="3">
        <v>0.28999999999999998</v>
      </c>
      <c r="M108" s="2" t="s">
        <v>27</v>
      </c>
      <c r="N108" s="3" t="str" cm="1">
        <f t="array" ref="N108">_xlfn.IFS(G108&gt;=90,"Excellent",G108&gt;=80,"Good",G108&gt;=70,"Average",G108&lt;70,"Poor")</f>
        <v>Poor</v>
      </c>
    </row>
    <row r="109" spans="1:14" x14ac:dyDescent="0.35">
      <c r="A109" s="2">
        <v>108</v>
      </c>
      <c r="B109" s="2" t="s">
        <v>150</v>
      </c>
      <c r="C109" s="2" t="s">
        <v>19</v>
      </c>
      <c r="D109" s="2" t="s">
        <v>45</v>
      </c>
      <c r="E109" s="2" t="s">
        <v>43</v>
      </c>
      <c r="F109" s="2">
        <v>2016</v>
      </c>
      <c r="G109" s="2">
        <v>81</v>
      </c>
      <c r="H109" s="3">
        <v>1.36</v>
      </c>
      <c r="I109" s="3">
        <v>0.56000000000000005</v>
      </c>
      <c r="J109" s="3">
        <v>0.32</v>
      </c>
      <c r="K109" s="3">
        <v>0.26</v>
      </c>
      <c r="L109" s="3">
        <v>0.22</v>
      </c>
      <c r="M109" s="2" t="s">
        <v>17</v>
      </c>
      <c r="N109" s="3" t="str" cm="1">
        <f t="array" ref="N109">_xlfn.IFS(G109&gt;=90,"Excellent",G109&gt;=80,"Good",G109&gt;=70,"Average",G109&lt;70,"Poor")</f>
        <v>Good</v>
      </c>
    </row>
    <row r="110" spans="1:14" x14ac:dyDescent="0.35">
      <c r="A110" s="2">
        <v>109</v>
      </c>
      <c r="B110" s="2" t="s">
        <v>151</v>
      </c>
      <c r="C110" s="2" t="s">
        <v>57</v>
      </c>
      <c r="D110" s="2" t="s">
        <v>33</v>
      </c>
      <c r="E110" s="2" t="s">
        <v>49</v>
      </c>
      <c r="F110" s="2">
        <v>2011</v>
      </c>
      <c r="G110" s="2">
        <v>82</v>
      </c>
      <c r="H110" s="3">
        <v>1.42</v>
      </c>
      <c r="I110" s="3">
        <v>0.66</v>
      </c>
      <c r="J110" s="3">
        <v>0.4</v>
      </c>
      <c r="K110" s="3">
        <v>0.14000000000000001</v>
      </c>
      <c r="L110" s="3">
        <v>0.22</v>
      </c>
      <c r="M110" s="2" t="s">
        <v>17</v>
      </c>
      <c r="N110" s="3" t="str" cm="1">
        <f t="array" ref="N110">_xlfn.IFS(G110&gt;=90,"Excellent",G110&gt;=80,"Good",G110&gt;=70,"Average",G110&lt;70,"Poor")</f>
        <v>Good</v>
      </c>
    </row>
    <row r="111" spans="1:14" x14ac:dyDescent="0.35">
      <c r="A111" s="2">
        <v>110</v>
      </c>
      <c r="B111" s="2" t="s">
        <v>152</v>
      </c>
      <c r="C111" s="2" t="s">
        <v>59</v>
      </c>
      <c r="D111" s="2" t="s">
        <v>29</v>
      </c>
      <c r="E111" s="2" t="s">
        <v>41</v>
      </c>
      <c r="F111" s="2">
        <v>1998</v>
      </c>
      <c r="G111" s="2">
        <v>93</v>
      </c>
      <c r="H111" s="3">
        <v>0.28999999999999998</v>
      </c>
      <c r="I111" s="3">
        <v>0.13</v>
      </c>
      <c r="J111" s="3">
        <v>0.06</v>
      </c>
      <c r="K111" s="3">
        <v>0.04</v>
      </c>
      <c r="L111" s="3">
        <v>0.06</v>
      </c>
      <c r="M111" s="2" t="s">
        <v>24</v>
      </c>
      <c r="N111" s="3" t="str" cm="1">
        <f t="array" ref="N111">_xlfn.IFS(G111&gt;=90,"Excellent",G111&gt;=80,"Good",G111&gt;=70,"Average",G111&lt;70,"Poor")</f>
        <v>Excellent</v>
      </c>
    </row>
    <row r="112" spans="1:14" x14ac:dyDescent="0.35">
      <c r="A112" s="2">
        <v>111</v>
      </c>
      <c r="B112" s="2" t="s">
        <v>153</v>
      </c>
      <c r="C112" s="2" t="s">
        <v>64</v>
      </c>
      <c r="D112" s="2" t="s">
        <v>29</v>
      </c>
      <c r="E112" s="2" t="s">
        <v>60</v>
      </c>
      <c r="F112" s="2">
        <v>2012</v>
      </c>
      <c r="G112" s="2">
        <v>72</v>
      </c>
      <c r="H112" s="3">
        <v>0.55000000000000004</v>
      </c>
      <c r="I112" s="3">
        <v>0.28000000000000003</v>
      </c>
      <c r="J112" s="3">
        <v>0.18</v>
      </c>
      <c r="K112" s="3">
        <v>0.09</v>
      </c>
      <c r="L112" s="3">
        <v>0</v>
      </c>
      <c r="M112" s="2" t="s">
        <v>17</v>
      </c>
      <c r="N112" s="3" t="str" cm="1">
        <f t="array" ref="N112">_xlfn.IFS(G112&gt;=90,"Excellent",G112&gt;=80,"Good",G112&gt;=70,"Average",G112&lt;70,"Poor")</f>
        <v>Average</v>
      </c>
    </row>
    <row r="113" spans="1:14" x14ac:dyDescent="0.35">
      <c r="A113" s="2">
        <v>112</v>
      </c>
      <c r="B113" s="2" t="s">
        <v>154</v>
      </c>
      <c r="C113" s="2" t="s">
        <v>23</v>
      </c>
      <c r="D113" s="2" t="s">
        <v>65</v>
      </c>
      <c r="E113" s="2" t="s">
        <v>20</v>
      </c>
      <c r="F113" s="2">
        <v>2025</v>
      </c>
      <c r="G113" s="2">
        <v>56</v>
      </c>
      <c r="H113" s="3">
        <v>0.14000000000000001</v>
      </c>
      <c r="I113" s="3">
        <v>0.06</v>
      </c>
      <c r="J113" s="3">
        <v>0.04</v>
      </c>
      <c r="K113" s="3">
        <v>0.01</v>
      </c>
      <c r="L113" s="3">
        <v>0.03</v>
      </c>
      <c r="M113" s="2" t="s">
        <v>24</v>
      </c>
      <c r="N113" s="3" t="str" cm="1">
        <f t="array" ref="N113">_xlfn.IFS(G113&gt;=90,"Excellent",G113&gt;=80,"Good",G113&gt;=70,"Average",G113&lt;70,"Poor")</f>
        <v>Poor</v>
      </c>
    </row>
    <row r="114" spans="1:14" x14ac:dyDescent="0.35">
      <c r="A114" s="2">
        <v>113</v>
      </c>
      <c r="B114" s="2" t="s">
        <v>155</v>
      </c>
      <c r="C114" s="2" t="s">
        <v>64</v>
      </c>
      <c r="D114" s="2" t="s">
        <v>2</v>
      </c>
      <c r="E114" s="2" t="s">
        <v>41</v>
      </c>
      <c r="F114" s="2">
        <v>2013</v>
      </c>
      <c r="G114" s="2">
        <v>95</v>
      </c>
      <c r="H114" s="3">
        <v>0.32</v>
      </c>
      <c r="I114" s="3">
        <v>0.14000000000000001</v>
      </c>
      <c r="J114" s="3">
        <v>7.0000000000000007E-2</v>
      </c>
      <c r="K114" s="3">
        <v>0.03</v>
      </c>
      <c r="L114" s="3">
        <v>0.08</v>
      </c>
      <c r="M114" s="2" t="s">
        <v>24</v>
      </c>
      <c r="N114" s="3" t="str" cm="1">
        <f t="array" ref="N114">_xlfn.IFS(G114&gt;=90,"Excellent",G114&gt;=80,"Good",G114&gt;=70,"Average",G114&lt;70,"Poor")</f>
        <v>Excellent</v>
      </c>
    </row>
    <row r="115" spans="1:14" x14ac:dyDescent="0.35">
      <c r="A115" s="2">
        <v>114</v>
      </c>
      <c r="B115" s="2" t="s">
        <v>156</v>
      </c>
      <c r="C115" s="2" t="s">
        <v>14</v>
      </c>
      <c r="D115" s="2" t="s">
        <v>15</v>
      </c>
      <c r="E115" s="2" t="s">
        <v>54</v>
      </c>
      <c r="F115" s="2">
        <v>2007</v>
      </c>
      <c r="G115" s="2">
        <v>58</v>
      </c>
      <c r="H115" s="3">
        <v>0.85</v>
      </c>
      <c r="I115" s="3">
        <v>0.41</v>
      </c>
      <c r="J115" s="3">
        <v>0.23</v>
      </c>
      <c r="K115" s="3">
        <v>0.1</v>
      </c>
      <c r="L115" s="3">
        <v>0.11</v>
      </c>
      <c r="M115" s="2" t="s">
        <v>17</v>
      </c>
      <c r="N115" s="3" t="str" cm="1">
        <f t="array" ref="N115">_xlfn.IFS(G115&gt;=90,"Excellent",G115&gt;=80,"Good",G115&gt;=70,"Average",G115&lt;70,"Poor")</f>
        <v>Poor</v>
      </c>
    </row>
    <row r="116" spans="1:14" x14ac:dyDescent="0.35">
      <c r="A116" s="2">
        <v>115</v>
      </c>
      <c r="B116" s="2" t="s">
        <v>157</v>
      </c>
      <c r="C116" s="2" t="s">
        <v>14</v>
      </c>
      <c r="D116" s="2" t="s">
        <v>65</v>
      </c>
      <c r="E116" s="2" t="s">
        <v>49</v>
      </c>
      <c r="F116" s="2">
        <v>2009</v>
      </c>
      <c r="G116" s="2">
        <v>62</v>
      </c>
      <c r="H116" s="3">
        <v>0.21</v>
      </c>
      <c r="I116" s="3">
        <v>0.09</v>
      </c>
      <c r="J116" s="3">
        <v>0.06</v>
      </c>
      <c r="K116" s="3">
        <v>0.01</v>
      </c>
      <c r="L116" s="3">
        <v>0.05</v>
      </c>
      <c r="M116" s="2" t="s">
        <v>24</v>
      </c>
      <c r="N116" s="3" t="str" cm="1">
        <f t="array" ref="N116">_xlfn.IFS(G116&gt;=90,"Excellent",G116&gt;=80,"Good",G116&gt;=70,"Average",G116&lt;70,"Poor")</f>
        <v>Poor</v>
      </c>
    </row>
    <row r="117" spans="1:14" x14ac:dyDescent="0.35">
      <c r="A117" s="2">
        <v>116</v>
      </c>
      <c r="B117" s="2" t="s">
        <v>158</v>
      </c>
      <c r="C117" s="2" t="s">
        <v>19</v>
      </c>
      <c r="D117" s="2" t="s">
        <v>15</v>
      </c>
      <c r="E117" s="2" t="s">
        <v>52</v>
      </c>
      <c r="F117" s="2">
        <v>2013</v>
      </c>
      <c r="G117" s="2">
        <v>63</v>
      </c>
      <c r="H117" s="3">
        <v>1.44</v>
      </c>
      <c r="I117" s="3">
        <v>0.54</v>
      </c>
      <c r="J117" s="3">
        <v>0.4</v>
      </c>
      <c r="K117" s="3">
        <v>0.17</v>
      </c>
      <c r="L117" s="3">
        <v>0.33</v>
      </c>
      <c r="M117" s="2" t="s">
        <v>17</v>
      </c>
      <c r="N117" s="3" t="str" cm="1">
        <f t="array" ref="N117">_xlfn.IFS(G117&gt;=90,"Excellent",G117&gt;=80,"Good",G117&gt;=70,"Average",G117&lt;70,"Poor")</f>
        <v>Poor</v>
      </c>
    </row>
    <row r="118" spans="1:14" x14ac:dyDescent="0.35">
      <c r="A118" s="2">
        <v>117</v>
      </c>
      <c r="B118" s="2" t="s">
        <v>159</v>
      </c>
      <c r="C118" s="2" t="s">
        <v>31</v>
      </c>
      <c r="D118" s="2" t="s">
        <v>65</v>
      </c>
      <c r="E118" s="2" t="s">
        <v>52</v>
      </c>
      <c r="F118" s="2">
        <v>2003</v>
      </c>
      <c r="G118" s="2">
        <v>97</v>
      </c>
      <c r="H118" s="3">
        <v>2.48</v>
      </c>
      <c r="I118" s="3">
        <v>1.1499999999999999</v>
      </c>
      <c r="J118" s="3">
        <v>0.76</v>
      </c>
      <c r="K118" s="3">
        <v>0.28000000000000003</v>
      </c>
      <c r="L118" s="3">
        <v>0.28999999999999998</v>
      </c>
      <c r="M118" s="2" t="s">
        <v>27</v>
      </c>
      <c r="N118" s="3" t="str" cm="1">
        <f t="array" ref="N118">_xlfn.IFS(G118&gt;=90,"Excellent",G118&gt;=80,"Good",G118&gt;=70,"Average",G118&lt;70,"Poor")</f>
        <v>Excellent</v>
      </c>
    </row>
    <row r="119" spans="1:14" x14ac:dyDescent="0.35">
      <c r="A119" s="2">
        <v>118</v>
      </c>
      <c r="B119" s="2" t="s">
        <v>160</v>
      </c>
      <c r="C119" s="2" t="s">
        <v>59</v>
      </c>
      <c r="D119" s="2" t="s">
        <v>15</v>
      </c>
      <c r="E119" s="2" t="s">
        <v>43</v>
      </c>
      <c r="F119" s="2">
        <v>1998</v>
      </c>
      <c r="G119" s="2">
        <v>84</v>
      </c>
      <c r="H119" s="3">
        <v>0.15</v>
      </c>
      <c r="I119" s="3">
        <v>7.0000000000000007E-2</v>
      </c>
      <c r="J119" s="3">
        <v>0.04</v>
      </c>
      <c r="K119" s="3">
        <v>0.01</v>
      </c>
      <c r="L119" s="3">
        <v>0.03</v>
      </c>
      <c r="M119" s="2" t="s">
        <v>24</v>
      </c>
      <c r="N119" s="3" t="str" cm="1">
        <f t="array" ref="N119">_xlfn.IFS(G119&gt;=90,"Excellent",G119&gt;=80,"Good",G119&gt;=70,"Average",G119&lt;70,"Poor")</f>
        <v>Good</v>
      </c>
    </row>
    <row r="120" spans="1:14" x14ac:dyDescent="0.35">
      <c r="A120" s="2">
        <v>119</v>
      </c>
      <c r="B120" s="2" t="s">
        <v>161</v>
      </c>
      <c r="C120" s="2" t="s">
        <v>14</v>
      </c>
      <c r="D120" s="2" t="s">
        <v>29</v>
      </c>
      <c r="E120" s="2" t="s">
        <v>54</v>
      </c>
      <c r="F120" s="2">
        <v>2009</v>
      </c>
      <c r="G120" s="2">
        <v>95</v>
      </c>
      <c r="H120" s="3">
        <v>0.17</v>
      </c>
      <c r="I120" s="3">
        <v>0.09</v>
      </c>
      <c r="J120" s="3">
        <v>0.04</v>
      </c>
      <c r="K120" s="3">
        <v>0.03</v>
      </c>
      <c r="L120" s="3">
        <v>0.01</v>
      </c>
      <c r="M120" s="2" t="s">
        <v>24</v>
      </c>
      <c r="N120" s="3" t="str" cm="1">
        <f t="array" ref="N120">_xlfn.IFS(G120&gt;=90,"Excellent",G120&gt;=80,"Good",G120&gt;=70,"Average",G120&lt;70,"Poor")</f>
        <v>Excellent</v>
      </c>
    </row>
    <row r="121" spans="1:14" x14ac:dyDescent="0.35">
      <c r="A121" s="2">
        <v>120</v>
      </c>
      <c r="B121" s="2" t="s">
        <v>162</v>
      </c>
      <c r="C121" s="2" t="s">
        <v>64</v>
      </c>
      <c r="D121" s="2" t="s">
        <v>48</v>
      </c>
      <c r="E121" s="2" t="s">
        <v>49</v>
      </c>
      <c r="F121" s="2">
        <v>2013</v>
      </c>
      <c r="G121" s="2">
        <v>67</v>
      </c>
      <c r="H121" s="3">
        <v>0.16</v>
      </c>
      <c r="I121" s="3">
        <v>0.08</v>
      </c>
      <c r="J121" s="3">
        <v>0.03</v>
      </c>
      <c r="K121" s="3">
        <v>0.03</v>
      </c>
      <c r="L121" s="3">
        <v>0.02</v>
      </c>
      <c r="M121" s="2" t="s">
        <v>24</v>
      </c>
      <c r="N121" s="3" t="str" cm="1">
        <f t="array" ref="N121">_xlfn.IFS(G121&gt;=90,"Excellent",G121&gt;=80,"Good",G121&gt;=70,"Average",G121&lt;70,"Poor")</f>
        <v>Poor</v>
      </c>
    </row>
    <row r="122" spans="1:14" x14ac:dyDescent="0.35">
      <c r="A122" s="2">
        <v>121</v>
      </c>
      <c r="B122" s="2" t="s">
        <v>163</v>
      </c>
      <c r="C122" s="2" t="s">
        <v>57</v>
      </c>
      <c r="D122" s="2" t="s">
        <v>62</v>
      </c>
      <c r="E122" s="2" t="s">
        <v>74</v>
      </c>
      <c r="F122" s="2">
        <v>2011</v>
      </c>
      <c r="G122" s="2">
        <v>98</v>
      </c>
      <c r="H122" s="3">
        <v>2.15</v>
      </c>
      <c r="I122" s="3">
        <v>1.03</v>
      </c>
      <c r="J122" s="3">
        <v>0.63</v>
      </c>
      <c r="K122" s="3">
        <v>0.39</v>
      </c>
      <c r="L122" s="3">
        <v>0.1</v>
      </c>
      <c r="M122" s="2" t="s">
        <v>27</v>
      </c>
      <c r="N122" s="3" t="str" cm="1">
        <f t="array" ref="N122">_xlfn.IFS(G122&gt;=90,"Excellent",G122&gt;=80,"Good",G122&gt;=70,"Average",G122&lt;70,"Poor")</f>
        <v>Excellent</v>
      </c>
    </row>
    <row r="123" spans="1:14" x14ac:dyDescent="0.35">
      <c r="A123" s="2">
        <v>122</v>
      </c>
      <c r="B123" s="2" t="s">
        <v>164</v>
      </c>
      <c r="C123" s="2" t="s">
        <v>57</v>
      </c>
      <c r="D123" s="2" t="s">
        <v>37</v>
      </c>
      <c r="E123" s="2" t="s">
        <v>16</v>
      </c>
      <c r="F123" s="2">
        <v>2009</v>
      </c>
      <c r="G123" s="2">
        <v>83</v>
      </c>
      <c r="H123" s="3">
        <v>1.3</v>
      </c>
      <c r="I123" s="3">
        <v>0.61</v>
      </c>
      <c r="J123" s="3">
        <v>0.33</v>
      </c>
      <c r="K123" s="3">
        <v>0.08</v>
      </c>
      <c r="L123" s="3">
        <v>0.28000000000000003</v>
      </c>
      <c r="M123" s="2" t="s">
        <v>17</v>
      </c>
      <c r="N123" s="3" t="str" cm="1">
        <f t="array" ref="N123">_xlfn.IFS(G123&gt;=90,"Excellent",G123&gt;=80,"Good",G123&gt;=70,"Average",G123&lt;70,"Poor")</f>
        <v>Good</v>
      </c>
    </row>
    <row r="124" spans="1:14" x14ac:dyDescent="0.35">
      <c r="A124" s="2">
        <v>123</v>
      </c>
      <c r="B124" s="2" t="s">
        <v>165</v>
      </c>
      <c r="C124" s="2" t="s">
        <v>19</v>
      </c>
      <c r="D124" s="2" t="s">
        <v>15</v>
      </c>
      <c r="E124" s="2" t="s">
        <v>20</v>
      </c>
      <c r="F124" s="2">
        <v>2020</v>
      </c>
      <c r="G124" s="2">
        <v>59</v>
      </c>
      <c r="H124" s="3">
        <v>0.17</v>
      </c>
      <c r="I124" s="3">
        <v>7.0000000000000007E-2</v>
      </c>
      <c r="J124" s="3">
        <v>0.05</v>
      </c>
      <c r="K124" s="3">
        <v>0.03</v>
      </c>
      <c r="L124" s="3">
        <v>0.02</v>
      </c>
      <c r="M124" s="2" t="s">
        <v>24</v>
      </c>
      <c r="N124" s="3" t="str" cm="1">
        <f t="array" ref="N124">_xlfn.IFS(G124&gt;=90,"Excellent",G124&gt;=80,"Good",G124&gt;=70,"Average",G124&lt;70,"Poor")</f>
        <v>Poor</v>
      </c>
    </row>
    <row r="125" spans="1:14" x14ac:dyDescent="0.35">
      <c r="A125" s="2">
        <v>124</v>
      </c>
      <c r="B125" s="2" t="s">
        <v>166</v>
      </c>
      <c r="C125" s="2" t="s">
        <v>57</v>
      </c>
      <c r="D125" s="2" t="s">
        <v>62</v>
      </c>
      <c r="E125" s="2" t="s">
        <v>74</v>
      </c>
      <c r="F125" s="2">
        <v>2004</v>
      </c>
      <c r="G125" s="2">
        <v>93</v>
      </c>
      <c r="H125" s="3">
        <v>0.46</v>
      </c>
      <c r="I125" s="3">
        <v>0.17</v>
      </c>
      <c r="J125" s="3">
        <v>0.1</v>
      </c>
      <c r="K125" s="3">
        <v>0.09</v>
      </c>
      <c r="L125" s="3">
        <v>0.1</v>
      </c>
      <c r="M125" s="2" t="s">
        <v>24</v>
      </c>
      <c r="N125" s="3" t="str" cm="1">
        <f t="array" ref="N125">_xlfn.IFS(G125&gt;=90,"Excellent",G125&gt;=80,"Good",G125&gt;=70,"Average",G125&lt;70,"Poor")</f>
        <v>Excellent</v>
      </c>
    </row>
    <row r="126" spans="1:14" x14ac:dyDescent="0.35">
      <c r="A126" s="2">
        <v>125</v>
      </c>
      <c r="B126" s="2" t="s">
        <v>167</v>
      </c>
      <c r="C126" s="2" t="s">
        <v>14</v>
      </c>
      <c r="D126" s="2" t="s">
        <v>65</v>
      </c>
      <c r="E126" s="2" t="s">
        <v>54</v>
      </c>
      <c r="F126" s="2">
        <v>2007</v>
      </c>
      <c r="G126" s="2">
        <v>83</v>
      </c>
      <c r="H126" s="3">
        <v>0.77</v>
      </c>
      <c r="I126" s="3">
        <v>0.41</v>
      </c>
      <c r="J126" s="3">
        <v>0.2</v>
      </c>
      <c r="K126" s="3">
        <v>0.13</v>
      </c>
      <c r="L126" s="3">
        <v>0.03</v>
      </c>
      <c r="M126" s="2" t="s">
        <v>17</v>
      </c>
      <c r="N126" s="3" t="str" cm="1">
        <f t="array" ref="N126">_xlfn.IFS(G126&gt;=90,"Excellent",G126&gt;=80,"Good",G126&gt;=70,"Average",G126&lt;70,"Poor")</f>
        <v>Good</v>
      </c>
    </row>
    <row r="127" spans="1:14" x14ac:dyDescent="0.35">
      <c r="A127" s="2">
        <v>126</v>
      </c>
      <c r="B127" s="2" t="s">
        <v>168</v>
      </c>
      <c r="C127" s="2" t="s">
        <v>57</v>
      </c>
      <c r="D127" s="2" t="s">
        <v>15</v>
      </c>
      <c r="E127" s="2" t="s">
        <v>43</v>
      </c>
      <c r="F127" s="2">
        <v>2013</v>
      </c>
      <c r="G127" s="2">
        <v>61</v>
      </c>
      <c r="H127" s="3">
        <v>0.55000000000000004</v>
      </c>
      <c r="I127" s="3">
        <v>0.22</v>
      </c>
      <c r="J127" s="3">
        <v>0.18</v>
      </c>
      <c r="K127" s="3">
        <v>0.11</v>
      </c>
      <c r="L127" s="3">
        <v>0.04</v>
      </c>
      <c r="M127" s="2" t="s">
        <v>17</v>
      </c>
      <c r="N127" s="3" t="str" cm="1">
        <f t="array" ref="N127">_xlfn.IFS(G127&gt;=90,"Excellent",G127&gt;=80,"Good",G127&gt;=70,"Average",G127&lt;70,"Poor")</f>
        <v>Poor</v>
      </c>
    </row>
    <row r="128" spans="1:14" x14ac:dyDescent="0.35">
      <c r="A128" s="2">
        <v>127</v>
      </c>
      <c r="B128" s="2" t="s">
        <v>169</v>
      </c>
      <c r="C128" s="2" t="s">
        <v>23</v>
      </c>
      <c r="D128" s="2" t="s">
        <v>37</v>
      </c>
      <c r="E128" s="2" t="s">
        <v>43</v>
      </c>
      <c r="F128" s="2">
        <v>2026</v>
      </c>
      <c r="G128" s="2">
        <v>97</v>
      </c>
      <c r="H128" s="3">
        <v>0.31</v>
      </c>
      <c r="I128" s="3">
        <v>0.17</v>
      </c>
      <c r="J128" s="3">
        <v>0.09</v>
      </c>
      <c r="K128" s="3">
        <v>0.03</v>
      </c>
      <c r="L128" s="3">
        <v>0.02</v>
      </c>
      <c r="M128" s="2" t="s">
        <v>24</v>
      </c>
      <c r="N128" s="3" t="str" cm="1">
        <f t="array" ref="N128">_xlfn.IFS(G128&gt;=90,"Excellent",G128&gt;=80,"Good",G128&gt;=70,"Average",G128&lt;70,"Poor")</f>
        <v>Excellent</v>
      </c>
    </row>
    <row r="129" spans="1:14" x14ac:dyDescent="0.35">
      <c r="A129" s="2">
        <v>128</v>
      </c>
      <c r="B129" s="2" t="s">
        <v>170</v>
      </c>
      <c r="C129" s="2" t="s">
        <v>23</v>
      </c>
      <c r="D129" s="2" t="s">
        <v>33</v>
      </c>
      <c r="E129" s="2" t="s">
        <v>46</v>
      </c>
      <c r="F129" s="2">
        <v>2025</v>
      </c>
      <c r="G129" s="2">
        <v>96</v>
      </c>
      <c r="H129" s="3">
        <v>3.42</v>
      </c>
      <c r="I129" s="3">
        <v>1.7</v>
      </c>
      <c r="J129" s="3">
        <v>1.04</v>
      </c>
      <c r="K129" s="3">
        <v>0.44</v>
      </c>
      <c r="L129" s="3">
        <v>0.24</v>
      </c>
      <c r="M129" s="2" t="s">
        <v>27</v>
      </c>
      <c r="N129" s="3" t="str" cm="1">
        <f t="array" ref="N129">_xlfn.IFS(G129&gt;=90,"Excellent",G129&gt;=80,"Good",G129&gt;=70,"Average",G129&lt;70,"Poor")</f>
        <v>Excellent</v>
      </c>
    </row>
    <row r="130" spans="1:14" x14ac:dyDescent="0.35">
      <c r="A130" s="2">
        <v>129</v>
      </c>
      <c r="B130" s="2" t="s">
        <v>171</v>
      </c>
      <c r="C130" s="2" t="s">
        <v>57</v>
      </c>
      <c r="D130" s="2" t="s">
        <v>45</v>
      </c>
      <c r="E130" s="2" t="s">
        <v>60</v>
      </c>
      <c r="F130" s="2">
        <v>2014</v>
      </c>
      <c r="G130" s="2">
        <v>78</v>
      </c>
      <c r="H130" s="3">
        <v>0.17</v>
      </c>
      <c r="I130" s="3">
        <v>7.0000000000000007E-2</v>
      </c>
      <c r="J130" s="3">
        <v>0.06</v>
      </c>
      <c r="K130" s="3">
        <v>0.01</v>
      </c>
      <c r="L130" s="3">
        <v>0.03</v>
      </c>
      <c r="M130" s="2" t="s">
        <v>24</v>
      </c>
      <c r="N130" s="3" t="str" cm="1">
        <f t="array" ref="N130">_xlfn.IFS(G130&gt;=90,"Excellent",G130&gt;=80,"Good",G130&gt;=70,"Average",G130&lt;70,"Poor")</f>
        <v>Average</v>
      </c>
    </row>
    <row r="131" spans="1:14" x14ac:dyDescent="0.35">
      <c r="A131" s="2">
        <v>130</v>
      </c>
      <c r="B131" s="2" t="s">
        <v>172</v>
      </c>
      <c r="C131" s="2" t="s">
        <v>14</v>
      </c>
      <c r="D131" s="2" t="s">
        <v>65</v>
      </c>
      <c r="E131" s="2" t="s">
        <v>60</v>
      </c>
      <c r="F131" s="2">
        <v>2007</v>
      </c>
      <c r="G131" s="2">
        <v>97</v>
      </c>
      <c r="H131" s="3">
        <v>0.2</v>
      </c>
      <c r="I131" s="3">
        <v>0.08</v>
      </c>
      <c r="J131" s="3">
        <v>0.05</v>
      </c>
      <c r="K131" s="3">
        <v>0.01</v>
      </c>
      <c r="L131" s="3">
        <v>0.06</v>
      </c>
      <c r="M131" s="2" t="s">
        <v>24</v>
      </c>
      <c r="N131" s="3" t="str" cm="1">
        <f t="array" ref="N131">_xlfn.IFS(G131&gt;=90,"Excellent",G131&gt;=80,"Good",G131&gt;=70,"Average",G131&lt;70,"Poor")</f>
        <v>Excellent</v>
      </c>
    </row>
    <row r="132" spans="1:14" x14ac:dyDescent="0.35">
      <c r="A132" s="2">
        <v>131</v>
      </c>
      <c r="B132" s="2" t="s">
        <v>173</v>
      </c>
      <c r="C132" s="2" t="s">
        <v>64</v>
      </c>
      <c r="D132" s="2" t="s">
        <v>62</v>
      </c>
      <c r="E132" s="2" t="s">
        <v>20</v>
      </c>
      <c r="F132" s="2">
        <v>2013</v>
      </c>
      <c r="G132" s="2">
        <v>98</v>
      </c>
      <c r="H132" s="3">
        <v>0.59</v>
      </c>
      <c r="I132" s="3">
        <v>0.3</v>
      </c>
      <c r="J132" s="3">
        <v>0.14000000000000001</v>
      </c>
      <c r="K132" s="3">
        <v>0.05</v>
      </c>
      <c r="L132" s="3">
        <v>0.1</v>
      </c>
      <c r="M132" s="2" t="s">
        <v>17</v>
      </c>
      <c r="N132" s="3" t="str" cm="1">
        <f t="array" ref="N132">_xlfn.IFS(G132&gt;=90,"Excellent",G132&gt;=80,"Good",G132&gt;=70,"Average",G132&lt;70,"Poor")</f>
        <v>Excellent</v>
      </c>
    </row>
    <row r="133" spans="1:14" x14ac:dyDescent="0.35">
      <c r="A133" s="2">
        <v>132</v>
      </c>
      <c r="B133" s="2" t="s">
        <v>174</v>
      </c>
      <c r="C133" s="2" t="s">
        <v>64</v>
      </c>
      <c r="D133" s="2" t="s">
        <v>48</v>
      </c>
      <c r="E133" s="2" t="s">
        <v>43</v>
      </c>
      <c r="F133" s="2">
        <v>2018</v>
      </c>
      <c r="G133" s="2">
        <v>84</v>
      </c>
      <c r="H133" s="3">
        <v>1.92</v>
      </c>
      <c r="I133" s="3">
        <v>0.87</v>
      </c>
      <c r="J133" s="3">
        <v>0.5</v>
      </c>
      <c r="K133" s="3">
        <v>0.14000000000000001</v>
      </c>
      <c r="L133" s="3">
        <v>0.41</v>
      </c>
      <c r="M133" s="2" t="s">
        <v>17</v>
      </c>
      <c r="N133" s="3" t="str" cm="1">
        <f t="array" ref="N133">_xlfn.IFS(G133&gt;=90,"Excellent",G133&gt;=80,"Good",G133&gt;=70,"Average",G133&lt;70,"Poor")</f>
        <v>Good</v>
      </c>
    </row>
    <row r="134" spans="1:14" x14ac:dyDescent="0.35">
      <c r="A134" s="2">
        <v>133</v>
      </c>
      <c r="B134" s="2" t="s">
        <v>175</v>
      </c>
      <c r="C134" s="2" t="s">
        <v>31</v>
      </c>
      <c r="D134" s="2" t="s">
        <v>2</v>
      </c>
      <c r="E134" s="2" t="s">
        <v>54</v>
      </c>
      <c r="F134" s="2">
        <v>2006</v>
      </c>
      <c r="G134" s="2">
        <v>96</v>
      </c>
      <c r="H134" s="3">
        <v>0.63</v>
      </c>
      <c r="I134" s="3">
        <v>0.34</v>
      </c>
      <c r="J134" s="3">
        <v>0.19</v>
      </c>
      <c r="K134" s="3">
        <v>0.08</v>
      </c>
      <c r="L134" s="3">
        <v>0.02</v>
      </c>
      <c r="M134" s="2" t="s">
        <v>17</v>
      </c>
      <c r="N134" s="3" t="str" cm="1">
        <f t="array" ref="N134">_xlfn.IFS(G134&gt;=90,"Excellent",G134&gt;=80,"Good",G134&gt;=70,"Average",G134&lt;70,"Poor")</f>
        <v>Excellent</v>
      </c>
    </row>
    <row r="135" spans="1:14" x14ac:dyDescent="0.35">
      <c r="A135" s="2">
        <v>134</v>
      </c>
      <c r="B135" s="2" t="s">
        <v>176</v>
      </c>
      <c r="C135" s="2" t="s">
        <v>59</v>
      </c>
      <c r="D135" s="2" t="s">
        <v>33</v>
      </c>
      <c r="E135" s="2" t="s">
        <v>54</v>
      </c>
      <c r="F135" s="2">
        <v>1997</v>
      </c>
      <c r="G135" s="2">
        <v>87</v>
      </c>
      <c r="H135" s="3">
        <v>0.15</v>
      </c>
      <c r="I135" s="3">
        <v>0.08</v>
      </c>
      <c r="J135" s="3">
        <v>0.03</v>
      </c>
      <c r="K135" s="3">
        <v>0.02</v>
      </c>
      <c r="L135" s="3">
        <v>0.02</v>
      </c>
      <c r="M135" s="2" t="s">
        <v>24</v>
      </c>
      <c r="N135" s="3" t="str" cm="1">
        <f t="array" ref="N135">_xlfn.IFS(G135&gt;=90,"Excellent",G135&gt;=80,"Good",G135&gt;=70,"Average",G135&lt;70,"Poor")</f>
        <v>Good</v>
      </c>
    </row>
    <row r="136" spans="1:14" x14ac:dyDescent="0.35">
      <c r="A136" s="2">
        <v>135</v>
      </c>
      <c r="B136" s="2" t="s">
        <v>177</v>
      </c>
      <c r="C136" s="2" t="s">
        <v>14</v>
      </c>
      <c r="D136" s="2" t="s">
        <v>45</v>
      </c>
      <c r="E136" s="2" t="s">
        <v>20</v>
      </c>
      <c r="F136" s="2">
        <v>2006</v>
      </c>
      <c r="G136" s="2">
        <v>78</v>
      </c>
      <c r="H136" s="3">
        <v>0.49</v>
      </c>
      <c r="I136" s="3">
        <v>0.26</v>
      </c>
      <c r="J136" s="3">
        <v>0.16</v>
      </c>
      <c r="K136" s="3">
        <v>7.0000000000000007E-2</v>
      </c>
      <c r="L136" s="3">
        <v>0</v>
      </c>
      <c r="M136" s="2" t="s">
        <v>24</v>
      </c>
      <c r="N136" s="3" t="str" cm="1">
        <f t="array" ref="N136">_xlfn.IFS(G136&gt;=90,"Excellent",G136&gt;=80,"Good",G136&gt;=70,"Average",G136&lt;70,"Poor")</f>
        <v>Average</v>
      </c>
    </row>
    <row r="137" spans="1:14" x14ac:dyDescent="0.35">
      <c r="A137" s="2">
        <v>136</v>
      </c>
      <c r="B137" s="2" t="s">
        <v>178</v>
      </c>
      <c r="C137" s="2" t="s">
        <v>64</v>
      </c>
      <c r="D137" s="2" t="s">
        <v>37</v>
      </c>
      <c r="E137" s="2" t="s">
        <v>20</v>
      </c>
      <c r="F137" s="2">
        <v>2013</v>
      </c>
      <c r="G137" s="2">
        <v>63</v>
      </c>
      <c r="H137" s="3">
        <v>0.63</v>
      </c>
      <c r="I137" s="3">
        <v>0.3</v>
      </c>
      <c r="J137" s="3">
        <v>0.21</v>
      </c>
      <c r="K137" s="3">
        <v>0.03</v>
      </c>
      <c r="L137" s="3">
        <v>0.09</v>
      </c>
      <c r="M137" s="2" t="s">
        <v>17</v>
      </c>
      <c r="N137" s="3" t="str" cm="1">
        <f t="array" ref="N137">_xlfn.IFS(G137&gt;=90,"Excellent",G137&gt;=80,"Good",G137&gt;=70,"Average",G137&lt;70,"Poor")</f>
        <v>Poor</v>
      </c>
    </row>
    <row r="138" spans="1:14" x14ac:dyDescent="0.35">
      <c r="A138" s="2">
        <v>137</v>
      </c>
      <c r="B138" s="2" t="s">
        <v>179</v>
      </c>
      <c r="C138" s="2" t="s">
        <v>31</v>
      </c>
      <c r="D138" s="2" t="s">
        <v>37</v>
      </c>
      <c r="E138" s="2" t="s">
        <v>60</v>
      </c>
      <c r="F138" s="2">
        <v>2006</v>
      </c>
      <c r="G138" s="2">
        <v>82</v>
      </c>
      <c r="H138" s="3">
        <v>0.28999999999999998</v>
      </c>
      <c r="I138" s="3">
        <v>0.12</v>
      </c>
      <c r="J138" s="3">
        <v>0.06</v>
      </c>
      <c r="K138" s="3">
        <v>0.03</v>
      </c>
      <c r="L138" s="3">
        <v>0.08</v>
      </c>
      <c r="M138" s="2" t="s">
        <v>24</v>
      </c>
      <c r="N138" s="3" t="str" cm="1">
        <f t="array" ref="N138">_xlfn.IFS(G138&gt;=90,"Excellent",G138&gt;=80,"Good",G138&gt;=70,"Average",G138&lt;70,"Poor")</f>
        <v>Good</v>
      </c>
    </row>
    <row r="139" spans="1:14" x14ac:dyDescent="0.35">
      <c r="A139" s="2">
        <v>138</v>
      </c>
      <c r="B139" s="2" t="s">
        <v>180</v>
      </c>
      <c r="C139" s="2" t="s">
        <v>64</v>
      </c>
      <c r="D139" s="2" t="s">
        <v>33</v>
      </c>
      <c r="E139" s="2" t="s">
        <v>49</v>
      </c>
      <c r="F139" s="2">
        <v>2018</v>
      </c>
      <c r="G139" s="2">
        <v>89</v>
      </c>
      <c r="H139" s="3">
        <v>0.19</v>
      </c>
      <c r="I139" s="3">
        <v>0.08</v>
      </c>
      <c r="J139" s="3">
        <v>0.06</v>
      </c>
      <c r="K139" s="3">
        <v>0.02</v>
      </c>
      <c r="L139" s="3">
        <v>0.03</v>
      </c>
      <c r="M139" s="2" t="s">
        <v>24</v>
      </c>
      <c r="N139" s="3" t="str" cm="1">
        <f t="array" ref="N139">_xlfn.IFS(G139&gt;=90,"Excellent",G139&gt;=80,"Good",G139&gt;=70,"Average",G139&lt;70,"Poor")</f>
        <v>Good</v>
      </c>
    </row>
    <row r="140" spans="1:14" x14ac:dyDescent="0.35">
      <c r="A140" s="2">
        <v>139</v>
      </c>
      <c r="B140" s="2" t="s">
        <v>181</v>
      </c>
      <c r="C140" s="2" t="s">
        <v>19</v>
      </c>
      <c r="D140" s="2" t="s">
        <v>33</v>
      </c>
      <c r="E140" s="2" t="s">
        <v>60</v>
      </c>
      <c r="F140" s="2">
        <v>2015</v>
      </c>
      <c r="G140" s="2">
        <v>88</v>
      </c>
      <c r="H140" s="3">
        <v>1.1100000000000001</v>
      </c>
      <c r="I140" s="3">
        <v>0.5</v>
      </c>
      <c r="J140" s="3">
        <v>0.23</v>
      </c>
      <c r="K140" s="3">
        <v>0.2</v>
      </c>
      <c r="L140" s="3">
        <v>0.18</v>
      </c>
      <c r="M140" s="2" t="s">
        <v>17</v>
      </c>
      <c r="N140" s="3" t="str" cm="1">
        <f t="array" ref="N140">_xlfn.IFS(G140&gt;=90,"Excellent",G140&gt;=80,"Good",G140&gt;=70,"Average",G140&lt;70,"Poor")</f>
        <v>Good</v>
      </c>
    </row>
    <row r="141" spans="1:14" x14ac:dyDescent="0.35">
      <c r="A141" s="2">
        <v>140</v>
      </c>
      <c r="B141" s="2" t="s">
        <v>182</v>
      </c>
      <c r="C141" s="2" t="s">
        <v>59</v>
      </c>
      <c r="D141" s="2" t="s">
        <v>45</v>
      </c>
      <c r="E141" s="2" t="s">
        <v>43</v>
      </c>
      <c r="F141" s="2">
        <v>2000</v>
      </c>
      <c r="G141" s="2">
        <v>77</v>
      </c>
      <c r="H141" s="3">
        <v>0.8</v>
      </c>
      <c r="I141" s="3">
        <v>0.4</v>
      </c>
      <c r="J141" s="3">
        <v>0.24</v>
      </c>
      <c r="K141" s="3">
        <v>0.13</v>
      </c>
      <c r="L141" s="3">
        <v>0.03</v>
      </c>
      <c r="M141" s="2" t="s">
        <v>17</v>
      </c>
      <c r="N141" s="3" t="str" cm="1">
        <f t="array" ref="N141">_xlfn.IFS(G141&gt;=90,"Excellent",G141&gt;=80,"Good",G141&gt;=70,"Average",G141&lt;70,"Poor")</f>
        <v>Average</v>
      </c>
    </row>
    <row r="142" spans="1:14" x14ac:dyDescent="0.35">
      <c r="A142" s="2">
        <v>141</v>
      </c>
      <c r="B142" s="2" t="s">
        <v>183</v>
      </c>
      <c r="C142" s="2" t="s">
        <v>57</v>
      </c>
      <c r="D142" s="2" t="s">
        <v>37</v>
      </c>
      <c r="E142" s="2" t="s">
        <v>20</v>
      </c>
      <c r="F142" s="2">
        <v>2009</v>
      </c>
      <c r="G142" s="2">
        <v>76</v>
      </c>
      <c r="H142" s="3">
        <v>0.86</v>
      </c>
      <c r="I142" s="3">
        <v>0.44</v>
      </c>
      <c r="J142" s="3">
        <v>0.23</v>
      </c>
      <c r="K142" s="3">
        <v>0.13</v>
      </c>
      <c r="L142" s="3">
        <v>0.06</v>
      </c>
      <c r="M142" s="2" t="s">
        <v>17</v>
      </c>
      <c r="N142" s="3" t="str" cm="1">
        <f t="array" ref="N142">_xlfn.IFS(G142&gt;=90,"Excellent",G142&gt;=80,"Good",G142&gt;=70,"Average",G142&lt;70,"Poor")</f>
        <v>Average</v>
      </c>
    </row>
    <row r="143" spans="1:14" x14ac:dyDescent="0.35">
      <c r="A143" s="2">
        <v>142</v>
      </c>
      <c r="B143" s="2" t="s">
        <v>184</v>
      </c>
      <c r="C143" s="2" t="s">
        <v>57</v>
      </c>
      <c r="D143" s="2" t="s">
        <v>37</v>
      </c>
      <c r="E143" s="2" t="s">
        <v>49</v>
      </c>
      <c r="F143" s="2">
        <v>2006</v>
      </c>
      <c r="G143" s="2">
        <v>73</v>
      </c>
      <c r="H143" s="3">
        <v>0.05</v>
      </c>
      <c r="I143" s="3">
        <v>0.03</v>
      </c>
      <c r="J143" s="3">
        <v>0.01</v>
      </c>
      <c r="K143" s="3">
        <v>0</v>
      </c>
      <c r="L143" s="3">
        <v>0.01</v>
      </c>
      <c r="M143" s="2" t="s">
        <v>24</v>
      </c>
      <c r="N143" s="3" t="str" cm="1">
        <f t="array" ref="N143">_xlfn.IFS(G143&gt;=90,"Excellent",G143&gt;=80,"Good",G143&gt;=70,"Average",G143&lt;70,"Poor")</f>
        <v>Average</v>
      </c>
    </row>
    <row r="144" spans="1:14" x14ac:dyDescent="0.35">
      <c r="A144" s="2">
        <v>143</v>
      </c>
      <c r="B144" s="2" t="s">
        <v>185</v>
      </c>
      <c r="C144" s="2" t="s">
        <v>19</v>
      </c>
      <c r="D144" s="2" t="s">
        <v>62</v>
      </c>
      <c r="E144" s="2" t="s">
        <v>46</v>
      </c>
      <c r="F144" s="2">
        <v>2021</v>
      </c>
      <c r="G144" s="2">
        <v>73</v>
      </c>
      <c r="H144" s="3">
        <v>0.3</v>
      </c>
      <c r="I144" s="3">
        <v>0.16</v>
      </c>
      <c r="J144" s="3">
        <v>7.0000000000000007E-2</v>
      </c>
      <c r="K144" s="3">
        <v>0.02</v>
      </c>
      <c r="L144" s="3">
        <v>0.05</v>
      </c>
      <c r="M144" s="2" t="s">
        <v>24</v>
      </c>
      <c r="N144" s="3" t="str" cm="1">
        <f t="array" ref="N144">_xlfn.IFS(G144&gt;=90,"Excellent",G144&gt;=80,"Good",G144&gt;=70,"Average",G144&lt;70,"Poor")</f>
        <v>Average</v>
      </c>
    </row>
    <row r="145" spans="1:14" x14ac:dyDescent="0.35">
      <c r="A145" s="2">
        <v>144</v>
      </c>
      <c r="B145" s="2" t="s">
        <v>186</v>
      </c>
      <c r="C145" s="2" t="s">
        <v>14</v>
      </c>
      <c r="D145" s="2" t="s">
        <v>45</v>
      </c>
      <c r="E145" s="2" t="s">
        <v>16</v>
      </c>
      <c r="F145" s="2">
        <v>2012</v>
      </c>
      <c r="G145" s="2">
        <v>66</v>
      </c>
      <c r="H145" s="3">
        <v>0.57999999999999996</v>
      </c>
      <c r="I145" s="3">
        <v>0.31</v>
      </c>
      <c r="J145" s="3">
        <v>0.16</v>
      </c>
      <c r="K145" s="3">
        <v>0.1</v>
      </c>
      <c r="L145" s="3">
        <v>0.01</v>
      </c>
      <c r="M145" s="2" t="s">
        <v>17</v>
      </c>
      <c r="N145" s="3" t="str" cm="1">
        <f t="array" ref="N145">_xlfn.IFS(G145&gt;=90,"Excellent",G145&gt;=80,"Good",G145&gt;=70,"Average",G145&lt;70,"Poor")</f>
        <v>Poor</v>
      </c>
    </row>
    <row r="146" spans="1:14" x14ac:dyDescent="0.35">
      <c r="A146" s="2">
        <v>145</v>
      </c>
      <c r="B146" s="2" t="s">
        <v>187</v>
      </c>
      <c r="C146" s="2" t="s">
        <v>57</v>
      </c>
      <c r="D146" s="2" t="s">
        <v>33</v>
      </c>
      <c r="E146" s="2" t="s">
        <v>41</v>
      </c>
      <c r="F146" s="2">
        <v>2010</v>
      </c>
      <c r="G146" s="2">
        <v>89</v>
      </c>
      <c r="H146" s="3">
        <v>0.34</v>
      </c>
      <c r="I146" s="3">
        <v>0.14000000000000001</v>
      </c>
      <c r="J146" s="3">
        <v>0.08</v>
      </c>
      <c r="K146" s="3">
        <v>0.04</v>
      </c>
      <c r="L146" s="3">
        <v>0.08</v>
      </c>
      <c r="M146" s="2" t="s">
        <v>24</v>
      </c>
      <c r="N146" s="3" t="str" cm="1">
        <f t="array" ref="N146">_xlfn.IFS(G146&gt;=90,"Excellent",G146&gt;=80,"Good",G146&gt;=70,"Average",G146&lt;70,"Poor")</f>
        <v>Good</v>
      </c>
    </row>
    <row r="147" spans="1:14" x14ac:dyDescent="0.35">
      <c r="A147" s="2">
        <v>146</v>
      </c>
      <c r="B147" s="2" t="s">
        <v>188</v>
      </c>
      <c r="C147" s="2" t="s">
        <v>57</v>
      </c>
      <c r="D147" s="2" t="s">
        <v>37</v>
      </c>
      <c r="E147" s="2" t="s">
        <v>16</v>
      </c>
      <c r="F147" s="2">
        <v>2010</v>
      </c>
      <c r="G147" s="2">
        <v>57</v>
      </c>
      <c r="H147" s="3">
        <v>0.66</v>
      </c>
      <c r="I147" s="3">
        <v>0.32</v>
      </c>
      <c r="J147" s="3">
        <v>0.21</v>
      </c>
      <c r="K147" s="3">
        <v>0.04</v>
      </c>
      <c r="L147" s="3">
        <v>0.09</v>
      </c>
      <c r="M147" s="2" t="s">
        <v>17</v>
      </c>
      <c r="N147" s="3" t="str" cm="1">
        <f t="array" ref="N147">_xlfn.IFS(G147&gt;=90,"Excellent",G147&gt;=80,"Good",G147&gt;=70,"Average",G147&lt;70,"Poor")</f>
        <v>Poor</v>
      </c>
    </row>
    <row r="148" spans="1:14" x14ac:dyDescent="0.35">
      <c r="A148" s="2">
        <v>147</v>
      </c>
      <c r="B148" s="2" t="s">
        <v>189</v>
      </c>
      <c r="C148" s="2" t="s">
        <v>57</v>
      </c>
      <c r="D148" s="2" t="s">
        <v>45</v>
      </c>
      <c r="E148" s="2" t="s">
        <v>43</v>
      </c>
      <c r="F148" s="2">
        <v>2014</v>
      </c>
      <c r="G148" s="2">
        <v>56</v>
      </c>
      <c r="H148" s="3">
        <v>0.12</v>
      </c>
      <c r="I148" s="3">
        <v>0.06</v>
      </c>
      <c r="J148" s="3">
        <v>0.02</v>
      </c>
      <c r="K148" s="3">
        <v>0.01</v>
      </c>
      <c r="L148" s="3">
        <v>0.03</v>
      </c>
      <c r="M148" s="2" t="s">
        <v>24</v>
      </c>
      <c r="N148" s="3" t="str" cm="1">
        <f t="array" ref="N148">_xlfn.IFS(G148&gt;=90,"Excellent",G148&gt;=80,"Good",G148&gt;=70,"Average",G148&lt;70,"Poor")</f>
        <v>Poor</v>
      </c>
    </row>
    <row r="149" spans="1:14" x14ac:dyDescent="0.35">
      <c r="A149" s="2">
        <v>148</v>
      </c>
      <c r="B149" s="2" t="s">
        <v>190</v>
      </c>
      <c r="C149" s="2" t="s">
        <v>64</v>
      </c>
      <c r="D149" s="2" t="s">
        <v>29</v>
      </c>
      <c r="E149" s="2" t="s">
        <v>41</v>
      </c>
      <c r="F149" s="2">
        <v>2016</v>
      </c>
      <c r="G149" s="2">
        <v>93</v>
      </c>
      <c r="H149" s="3">
        <v>0.11</v>
      </c>
      <c r="I149" s="3">
        <v>0.05</v>
      </c>
      <c r="J149" s="3">
        <v>0.03</v>
      </c>
      <c r="K149" s="3">
        <v>0.01</v>
      </c>
      <c r="L149" s="3">
        <v>0.02</v>
      </c>
      <c r="M149" s="2" t="s">
        <v>24</v>
      </c>
      <c r="N149" s="3" t="str" cm="1">
        <f t="array" ref="N149">_xlfn.IFS(G149&gt;=90,"Excellent",G149&gt;=80,"Good",G149&gt;=70,"Average",G149&lt;70,"Poor")</f>
        <v>Excellent</v>
      </c>
    </row>
    <row r="150" spans="1:14" x14ac:dyDescent="0.35">
      <c r="A150" s="2">
        <v>149</v>
      </c>
      <c r="B150" s="2" t="s">
        <v>191</v>
      </c>
      <c r="C150" s="2" t="s">
        <v>31</v>
      </c>
      <c r="D150" s="2" t="s">
        <v>29</v>
      </c>
      <c r="E150" s="2" t="s">
        <v>41</v>
      </c>
      <c r="F150" s="2">
        <v>2004</v>
      </c>
      <c r="G150" s="2">
        <v>70</v>
      </c>
      <c r="H150" s="3">
        <v>0.24</v>
      </c>
      <c r="I150" s="3">
        <v>0.13</v>
      </c>
      <c r="J150" s="3">
        <v>0.05</v>
      </c>
      <c r="K150" s="3">
        <v>0.04</v>
      </c>
      <c r="L150" s="3">
        <v>0.02</v>
      </c>
      <c r="M150" s="2" t="s">
        <v>24</v>
      </c>
      <c r="N150" s="3" t="str" cm="1">
        <f t="array" ref="N150">_xlfn.IFS(G150&gt;=90,"Excellent",G150&gt;=80,"Good",G150&gt;=70,"Average",G150&lt;70,"Poor")</f>
        <v>Average</v>
      </c>
    </row>
    <row r="151" spans="1:14" x14ac:dyDescent="0.35">
      <c r="A151" s="2">
        <v>150</v>
      </c>
      <c r="B151" s="2" t="s">
        <v>192</v>
      </c>
      <c r="C151" s="2" t="s">
        <v>57</v>
      </c>
      <c r="D151" s="2" t="s">
        <v>48</v>
      </c>
      <c r="E151" s="2" t="s">
        <v>74</v>
      </c>
      <c r="F151" s="2">
        <v>2011</v>
      </c>
      <c r="G151" s="2">
        <v>67</v>
      </c>
      <c r="H151" s="3">
        <v>0.23</v>
      </c>
      <c r="I151" s="3">
        <v>0.1</v>
      </c>
      <c r="J151" s="3">
        <v>0.05</v>
      </c>
      <c r="K151" s="3">
        <v>0.04</v>
      </c>
      <c r="L151" s="3">
        <v>0.04</v>
      </c>
      <c r="M151" s="2" t="s">
        <v>24</v>
      </c>
      <c r="N151" s="3" t="str" cm="1">
        <f t="array" ref="N151">_xlfn.IFS(G151&gt;=90,"Excellent",G151&gt;=80,"Good",G151&gt;=70,"Average",G151&lt;70,"Poor")</f>
        <v>Poor</v>
      </c>
    </row>
    <row r="152" spans="1:14" x14ac:dyDescent="0.35">
      <c r="A152" s="2">
        <v>151</v>
      </c>
      <c r="B152" s="2" t="s">
        <v>193</v>
      </c>
      <c r="C152" s="2" t="s">
        <v>64</v>
      </c>
      <c r="D152" s="2" t="s">
        <v>29</v>
      </c>
      <c r="E152" s="2" t="s">
        <v>49</v>
      </c>
      <c r="F152" s="2">
        <v>2016</v>
      </c>
      <c r="G152" s="2">
        <v>73</v>
      </c>
      <c r="H152" s="3">
        <v>0.83</v>
      </c>
      <c r="I152" s="3">
        <v>0.37</v>
      </c>
      <c r="J152" s="3">
        <v>0.18</v>
      </c>
      <c r="K152" s="3">
        <v>7.0000000000000007E-2</v>
      </c>
      <c r="L152" s="3">
        <v>0.21</v>
      </c>
      <c r="M152" s="2" t="s">
        <v>17</v>
      </c>
      <c r="N152" s="3" t="str" cm="1">
        <f t="array" ref="N152">_xlfn.IFS(G152&gt;=90,"Excellent",G152&gt;=80,"Good",G152&gt;=70,"Average",G152&lt;70,"Poor")</f>
        <v>Average</v>
      </c>
    </row>
    <row r="153" spans="1:14" x14ac:dyDescent="0.35">
      <c r="A153" s="2">
        <v>152</v>
      </c>
      <c r="B153" s="2" t="s">
        <v>194</v>
      </c>
      <c r="C153" s="2" t="s">
        <v>31</v>
      </c>
      <c r="D153" s="2" t="s">
        <v>62</v>
      </c>
      <c r="E153" s="2" t="s">
        <v>20</v>
      </c>
      <c r="F153" s="2">
        <v>2001</v>
      </c>
      <c r="G153" s="2">
        <v>91</v>
      </c>
      <c r="H153" s="3">
        <v>0.24</v>
      </c>
      <c r="I153" s="3">
        <v>0.11</v>
      </c>
      <c r="J153" s="3">
        <v>7.0000000000000007E-2</v>
      </c>
      <c r="K153" s="3">
        <v>0.02</v>
      </c>
      <c r="L153" s="3">
        <v>0.04</v>
      </c>
      <c r="M153" s="2" t="s">
        <v>24</v>
      </c>
      <c r="N153" s="3" t="str" cm="1">
        <f t="array" ref="N153">_xlfn.IFS(G153&gt;=90,"Excellent",G153&gt;=80,"Good",G153&gt;=70,"Average",G153&lt;70,"Poor")</f>
        <v>Excellent</v>
      </c>
    </row>
    <row r="154" spans="1:14" x14ac:dyDescent="0.35">
      <c r="A154" s="2">
        <v>153</v>
      </c>
      <c r="B154" s="2" t="s">
        <v>195</v>
      </c>
      <c r="C154" s="2" t="s">
        <v>14</v>
      </c>
      <c r="D154" s="2" t="s">
        <v>62</v>
      </c>
      <c r="E154" s="2" t="s">
        <v>60</v>
      </c>
      <c r="F154" s="2">
        <v>2012</v>
      </c>
      <c r="G154" s="2">
        <v>91</v>
      </c>
      <c r="H154" s="3">
        <v>0.88</v>
      </c>
      <c r="I154" s="3">
        <v>0.43</v>
      </c>
      <c r="J154" s="3">
        <v>0.22</v>
      </c>
      <c r="K154" s="3">
        <v>0.16</v>
      </c>
      <c r="L154" s="3">
        <v>7.0000000000000007E-2</v>
      </c>
      <c r="M154" s="2" t="s">
        <v>17</v>
      </c>
      <c r="N154" s="3" t="str" cm="1">
        <f t="array" ref="N154">_xlfn.IFS(G154&gt;=90,"Excellent",G154&gt;=80,"Good",G154&gt;=70,"Average",G154&lt;70,"Poor")</f>
        <v>Excellent</v>
      </c>
    </row>
    <row r="155" spans="1:14" x14ac:dyDescent="0.35">
      <c r="A155" s="2">
        <v>154</v>
      </c>
      <c r="B155" s="2" t="s">
        <v>196</v>
      </c>
      <c r="C155" s="2" t="s">
        <v>64</v>
      </c>
      <c r="D155" s="2" t="s">
        <v>2</v>
      </c>
      <c r="E155" s="2" t="s">
        <v>54</v>
      </c>
      <c r="F155" s="2">
        <v>2019</v>
      </c>
      <c r="G155" s="2">
        <v>87</v>
      </c>
      <c r="H155" s="3">
        <v>0.15</v>
      </c>
      <c r="I155" s="3">
        <v>0.06</v>
      </c>
      <c r="J155" s="3">
        <v>0.04</v>
      </c>
      <c r="K155" s="3">
        <v>0.02</v>
      </c>
      <c r="L155" s="3">
        <v>0.03</v>
      </c>
      <c r="M155" s="2" t="s">
        <v>24</v>
      </c>
      <c r="N155" s="3" t="str" cm="1">
        <f t="array" ref="N155">_xlfn.IFS(G155&gt;=90,"Excellent",G155&gt;=80,"Good",G155&gt;=70,"Average",G155&lt;70,"Poor")</f>
        <v>Good</v>
      </c>
    </row>
    <row r="156" spans="1:14" x14ac:dyDescent="0.35">
      <c r="A156" s="2">
        <v>155</v>
      </c>
      <c r="B156" s="2" t="s">
        <v>197</v>
      </c>
      <c r="C156" s="2" t="s">
        <v>14</v>
      </c>
      <c r="D156" s="2" t="s">
        <v>33</v>
      </c>
      <c r="E156" s="2" t="s">
        <v>46</v>
      </c>
      <c r="F156" s="2">
        <v>2010</v>
      </c>
      <c r="G156" s="2">
        <v>72</v>
      </c>
      <c r="H156" s="3">
        <v>0.26</v>
      </c>
      <c r="I156" s="3">
        <v>0.12</v>
      </c>
      <c r="J156" s="3">
        <v>7.0000000000000007E-2</v>
      </c>
      <c r="K156" s="3">
        <v>0.02</v>
      </c>
      <c r="L156" s="3">
        <v>0.05</v>
      </c>
      <c r="M156" s="2" t="s">
        <v>24</v>
      </c>
      <c r="N156" s="3" t="str" cm="1">
        <f t="array" ref="N156">_xlfn.IFS(G156&gt;=90,"Excellent",G156&gt;=80,"Good",G156&gt;=70,"Average",G156&lt;70,"Poor")</f>
        <v>Average</v>
      </c>
    </row>
    <row r="157" spans="1:14" x14ac:dyDescent="0.35">
      <c r="A157" s="2">
        <v>156</v>
      </c>
      <c r="B157" s="2" t="s">
        <v>198</v>
      </c>
      <c r="C157" s="2" t="s">
        <v>23</v>
      </c>
      <c r="D157" s="2" t="s">
        <v>37</v>
      </c>
      <c r="E157" s="2" t="s">
        <v>74</v>
      </c>
      <c r="F157" s="2">
        <v>2021</v>
      </c>
      <c r="G157" s="2">
        <v>91</v>
      </c>
      <c r="H157" s="3">
        <v>1.3</v>
      </c>
      <c r="I157" s="3">
        <v>0.51</v>
      </c>
      <c r="J157" s="3">
        <v>0.37</v>
      </c>
      <c r="K157" s="3">
        <v>0.19</v>
      </c>
      <c r="L157" s="3">
        <v>0.23</v>
      </c>
      <c r="M157" s="2" t="s">
        <v>17</v>
      </c>
      <c r="N157" s="3" t="str" cm="1">
        <f t="array" ref="N157">_xlfn.IFS(G157&gt;=90,"Excellent",G157&gt;=80,"Good",G157&gt;=70,"Average",G157&lt;70,"Poor")</f>
        <v>Excellent</v>
      </c>
    </row>
    <row r="158" spans="1:14" x14ac:dyDescent="0.35">
      <c r="A158" s="2">
        <v>157</v>
      </c>
      <c r="B158" s="2" t="s">
        <v>199</v>
      </c>
      <c r="C158" s="2" t="s">
        <v>59</v>
      </c>
      <c r="D158" s="2" t="s">
        <v>65</v>
      </c>
      <c r="E158" s="2" t="s">
        <v>46</v>
      </c>
      <c r="F158" s="2">
        <v>1998</v>
      </c>
      <c r="G158" s="2">
        <v>70</v>
      </c>
      <c r="H158" s="3">
        <v>1.8</v>
      </c>
      <c r="I158" s="3">
        <v>0.74</v>
      </c>
      <c r="J158" s="3">
        <v>0.38</v>
      </c>
      <c r="K158" s="3">
        <v>0.11</v>
      </c>
      <c r="L158" s="3">
        <v>0.56999999999999995</v>
      </c>
      <c r="M158" s="2" t="s">
        <v>17</v>
      </c>
      <c r="N158" s="3" t="str" cm="1">
        <f t="array" ref="N158">_xlfn.IFS(G158&gt;=90,"Excellent",G158&gt;=80,"Good",G158&gt;=70,"Average",G158&lt;70,"Poor")</f>
        <v>Average</v>
      </c>
    </row>
    <row r="159" spans="1:14" x14ac:dyDescent="0.35">
      <c r="A159" s="2">
        <v>158</v>
      </c>
      <c r="B159" s="2" t="s">
        <v>200</v>
      </c>
      <c r="C159" s="2" t="s">
        <v>19</v>
      </c>
      <c r="D159" s="2" t="s">
        <v>62</v>
      </c>
      <c r="E159" s="2" t="s">
        <v>16</v>
      </c>
      <c r="F159" s="2">
        <v>2019</v>
      </c>
      <c r="G159" s="2">
        <v>93</v>
      </c>
      <c r="H159" s="3">
        <v>0.54</v>
      </c>
      <c r="I159" s="3">
        <v>0.27</v>
      </c>
      <c r="J159" s="3">
        <v>0.15</v>
      </c>
      <c r="K159" s="3">
        <v>0.04</v>
      </c>
      <c r="L159" s="3">
        <v>0.08</v>
      </c>
      <c r="M159" s="2" t="s">
        <v>17</v>
      </c>
      <c r="N159" s="3" t="str" cm="1">
        <f t="array" ref="N159">_xlfn.IFS(G159&gt;=90,"Excellent",G159&gt;=80,"Good",G159&gt;=70,"Average",G159&lt;70,"Poor")</f>
        <v>Excellent</v>
      </c>
    </row>
    <row r="160" spans="1:14" x14ac:dyDescent="0.35">
      <c r="A160" s="2">
        <v>159</v>
      </c>
      <c r="B160" s="2" t="s">
        <v>201</v>
      </c>
      <c r="C160" s="2" t="s">
        <v>31</v>
      </c>
      <c r="D160" s="2" t="s">
        <v>33</v>
      </c>
      <c r="E160" s="2" t="s">
        <v>46</v>
      </c>
      <c r="F160" s="2">
        <v>2003</v>
      </c>
      <c r="G160" s="2">
        <v>64</v>
      </c>
      <c r="H160" s="3">
        <v>0.28000000000000003</v>
      </c>
      <c r="I160" s="3">
        <v>0.12</v>
      </c>
      <c r="J160" s="3">
        <v>0.08</v>
      </c>
      <c r="K160" s="3">
        <v>0.02</v>
      </c>
      <c r="L160" s="3">
        <v>0.06</v>
      </c>
      <c r="M160" s="2" t="s">
        <v>24</v>
      </c>
      <c r="N160" s="3" t="str" cm="1">
        <f t="array" ref="N160">_xlfn.IFS(G160&gt;=90,"Excellent",G160&gt;=80,"Good",G160&gt;=70,"Average",G160&lt;70,"Poor")</f>
        <v>Poor</v>
      </c>
    </row>
    <row r="161" spans="1:14" x14ac:dyDescent="0.35">
      <c r="A161" s="2">
        <v>160</v>
      </c>
      <c r="B161" s="2" t="s">
        <v>202</v>
      </c>
      <c r="C161" s="2" t="s">
        <v>64</v>
      </c>
      <c r="D161" s="2" t="s">
        <v>29</v>
      </c>
      <c r="E161" s="2" t="s">
        <v>74</v>
      </c>
      <c r="F161" s="2">
        <v>2013</v>
      </c>
      <c r="G161" s="2">
        <v>65</v>
      </c>
      <c r="H161" s="3">
        <v>0.28999999999999998</v>
      </c>
      <c r="I161" s="3">
        <v>0.13</v>
      </c>
      <c r="J161" s="3">
        <v>7.0000000000000007E-2</v>
      </c>
      <c r="K161" s="3">
        <v>0.02</v>
      </c>
      <c r="L161" s="3">
        <v>7.0000000000000007E-2</v>
      </c>
      <c r="M161" s="2" t="s">
        <v>24</v>
      </c>
      <c r="N161" s="3" t="str" cm="1">
        <f t="array" ref="N161">_xlfn.IFS(G161&gt;=90,"Excellent",G161&gt;=80,"Good",G161&gt;=70,"Average",G161&lt;70,"Poor")</f>
        <v>Poor</v>
      </c>
    </row>
    <row r="162" spans="1:14" x14ac:dyDescent="0.35">
      <c r="A162" s="2">
        <v>161</v>
      </c>
      <c r="B162" s="2" t="s">
        <v>203</v>
      </c>
      <c r="C162" s="2" t="s">
        <v>19</v>
      </c>
      <c r="D162" s="2" t="s">
        <v>62</v>
      </c>
      <c r="E162" s="2" t="s">
        <v>52</v>
      </c>
      <c r="F162" s="2">
        <v>2021</v>
      </c>
      <c r="G162" s="2">
        <v>77</v>
      </c>
      <c r="H162" s="3">
        <v>0.31</v>
      </c>
      <c r="I162" s="3">
        <v>0.15</v>
      </c>
      <c r="J162" s="3">
        <v>0.1</v>
      </c>
      <c r="K162" s="3">
        <v>0.05</v>
      </c>
      <c r="L162" s="3">
        <v>0.01</v>
      </c>
      <c r="M162" s="2" t="s">
        <v>24</v>
      </c>
      <c r="N162" s="3" t="str" cm="1">
        <f t="array" ref="N162">_xlfn.IFS(G162&gt;=90,"Excellent",G162&gt;=80,"Good",G162&gt;=70,"Average",G162&lt;70,"Poor")</f>
        <v>Average</v>
      </c>
    </row>
    <row r="163" spans="1:14" x14ac:dyDescent="0.35">
      <c r="A163" s="2">
        <v>162</v>
      </c>
      <c r="B163" s="2" t="s">
        <v>204</v>
      </c>
      <c r="C163" s="2" t="s">
        <v>14</v>
      </c>
      <c r="D163" s="2" t="s">
        <v>33</v>
      </c>
      <c r="E163" s="2" t="s">
        <v>41</v>
      </c>
      <c r="F163" s="2">
        <v>2006</v>
      </c>
      <c r="G163" s="2">
        <v>78</v>
      </c>
      <c r="H163" s="3">
        <v>1.1200000000000001</v>
      </c>
      <c r="I163" s="3">
        <v>0.48</v>
      </c>
      <c r="J163" s="3">
        <v>0.32</v>
      </c>
      <c r="K163" s="3">
        <v>0.09</v>
      </c>
      <c r="L163" s="3">
        <v>0.23</v>
      </c>
      <c r="M163" s="2" t="s">
        <v>17</v>
      </c>
      <c r="N163" s="3" t="str" cm="1">
        <f t="array" ref="N163">_xlfn.IFS(G163&gt;=90,"Excellent",G163&gt;=80,"Good",G163&gt;=70,"Average",G163&lt;70,"Poor")</f>
        <v>Average</v>
      </c>
    </row>
    <row r="164" spans="1:14" x14ac:dyDescent="0.35">
      <c r="A164" s="2">
        <v>163</v>
      </c>
      <c r="B164" s="2" t="s">
        <v>205</v>
      </c>
      <c r="C164" s="2" t="s">
        <v>23</v>
      </c>
      <c r="D164" s="2" t="s">
        <v>33</v>
      </c>
      <c r="E164" s="2" t="s">
        <v>41</v>
      </c>
      <c r="F164" s="2">
        <v>2022</v>
      </c>
      <c r="G164" s="2">
        <v>90</v>
      </c>
      <c r="H164" s="3">
        <v>1.01</v>
      </c>
      <c r="I164" s="3">
        <v>0.55000000000000004</v>
      </c>
      <c r="J164" s="3">
        <v>0.26</v>
      </c>
      <c r="K164" s="3">
        <v>0.17</v>
      </c>
      <c r="L164" s="3">
        <v>0.03</v>
      </c>
      <c r="M164" s="2" t="s">
        <v>17</v>
      </c>
      <c r="N164" s="3" t="str" cm="1">
        <f t="array" ref="N164">_xlfn.IFS(G164&gt;=90,"Excellent",G164&gt;=80,"Good",G164&gt;=70,"Average",G164&lt;70,"Poor")</f>
        <v>Excellent</v>
      </c>
    </row>
    <row r="165" spans="1:14" x14ac:dyDescent="0.35">
      <c r="A165" s="2">
        <v>164</v>
      </c>
      <c r="B165" s="2" t="s">
        <v>206</v>
      </c>
      <c r="C165" s="2" t="s">
        <v>14</v>
      </c>
      <c r="D165" s="2" t="s">
        <v>37</v>
      </c>
      <c r="E165" s="2" t="s">
        <v>52</v>
      </c>
      <c r="F165" s="2">
        <v>2011</v>
      </c>
      <c r="G165" s="2">
        <v>80</v>
      </c>
      <c r="H165" s="3">
        <v>0.59</v>
      </c>
      <c r="I165" s="3">
        <v>0.22</v>
      </c>
      <c r="J165" s="3">
        <v>0.15</v>
      </c>
      <c r="K165" s="3">
        <v>7.0000000000000007E-2</v>
      </c>
      <c r="L165" s="3">
        <v>0.15</v>
      </c>
      <c r="M165" s="2" t="s">
        <v>17</v>
      </c>
      <c r="N165" s="3" t="str" cm="1">
        <f t="array" ref="N165">_xlfn.IFS(G165&gt;=90,"Excellent",G165&gt;=80,"Good",G165&gt;=70,"Average",G165&lt;70,"Poor")</f>
        <v>Good</v>
      </c>
    </row>
    <row r="166" spans="1:14" x14ac:dyDescent="0.35">
      <c r="A166" s="2">
        <v>165</v>
      </c>
      <c r="B166" s="2" t="s">
        <v>207</v>
      </c>
      <c r="C166" s="2" t="s">
        <v>19</v>
      </c>
      <c r="D166" s="2" t="s">
        <v>2</v>
      </c>
      <c r="E166" s="2" t="s">
        <v>60</v>
      </c>
      <c r="F166" s="2">
        <v>2015</v>
      </c>
      <c r="G166" s="2">
        <v>94</v>
      </c>
      <c r="H166" s="3">
        <v>0.51</v>
      </c>
      <c r="I166" s="3">
        <v>0.24</v>
      </c>
      <c r="J166" s="3">
        <v>0.17</v>
      </c>
      <c r="K166" s="3">
        <v>7.0000000000000007E-2</v>
      </c>
      <c r="L166" s="3">
        <v>0.03</v>
      </c>
      <c r="M166" s="2" t="s">
        <v>17</v>
      </c>
      <c r="N166" s="3" t="str" cm="1">
        <f t="array" ref="N166">_xlfn.IFS(G166&gt;=90,"Excellent",G166&gt;=80,"Good",G166&gt;=70,"Average",G166&lt;70,"Poor")</f>
        <v>Excellent</v>
      </c>
    </row>
    <row r="167" spans="1:14" x14ac:dyDescent="0.35">
      <c r="A167" s="2">
        <v>166</v>
      </c>
      <c r="B167" s="2" t="s">
        <v>208</v>
      </c>
      <c r="C167" s="2" t="s">
        <v>23</v>
      </c>
      <c r="D167" s="2" t="s">
        <v>65</v>
      </c>
      <c r="E167" s="2" t="s">
        <v>60</v>
      </c>
      <c r="F167" s="2">
        <v>2026</v>
      </c>
      <c r="G167" s="2">
        <v>74</v>
      </c>
      <c r="H167" s="3">
        <v>0.71</v>
      </c>
      <c r="I167" s="3">
        <v>0.3</v>
      </c>
      <c r="J167" s="3">
        <v>0.15</v>
      </c>
      <c r="K167" s="3">
        <v>0.08</v>
      </c>
      <c r="L167" s="3">
        <v>0.18</v>
      </c>
      <c r="M167" s="2" t="s">
        <v>17</v>
      </c>
      <c r="N167" s="3" t="str" cm="1">
        <f t="array" ref="N167">_xlfn.IFS(G167&gt;=90,"Excellent",G167&gt;=80,"Good",G167&gt;=70,"Average",G167&lt;70,"Poor")</f>
        <v>Average</v>
      </c>
    </row>
    <row r="168" spans="1:14" x14ac:dyDescent="0.35">
      <c r="A168" s="2">
        <v>167</v>
      </c>
      <c r="B168" s="2" t="s">
        <v>209</v>
      </c>
      <c r="C168" s="2" t="s">
        <v>14</v>
      </c>
      <c r="D168" s="2" t="s">
        <v>2</v>
      </c>
      <c r="E168" s="2" t="s">
        <v>16</v>
      </c>
      <c r="F168" s="2">
        <v>2006</v>
      </c>
      <c r="G168" s="2">
        <v>91</v>
      </c>
      <c r="H168" s="3">
        <v>0.55000000000000004</v>
      </c>
      <c r="I168" s="3">
        <v>0.27</v>
      </c>
      <c r="J168" s="3">
        <v>0.17</v>
      </c>
      <c r="K168" s="3">
        <v>0.06</v>
      </c>
      <c r="L168" s="3">
        <v>0.05</v>
      </c>
      <c r="M168" s="2" t="s">
        <v>17</v>
      </c>
      <c r="N168" s="3" t="str" cm="1">
        <f t="array" ref="N168">_xlfn.IFS(G168&gt;=90,"Excellent",G168&gt;=80,"Good",G168&gt;=70,"Average",G168&lt;70,"Poor")</f>
        <v>Excellent</v>
      </c>
    </row>
    <row r="169" spans="1:14" x14ac:dyDescent="0.35">
      <c r="A169" s="2">
        <v>168</v>
      </c>
      <c r="B169" s="2" t="s">
        <v>210</v>
      </c>
      <c r="C169" s="2" t="s">
        <v>64</v>
      </c>
      <c r="D169" s="2" t="s">
        <v>15</v>
      </c>
      <c r="E169" s="2" t="s">
        <v>74</v>
      </c>
      <c r="F169" s="2">
        <v>2014</v>
      </c>
      <c r="G169" s="2">
        <v>56</v>
      </c>
      <c r="H169" s="3">
        <v>0.25</v>
      </c>
      <c r="I169" s="3">
        <v>0.11</v>
      </c>
      <c r="J169" s="3">
        <v>0.06</v>
      </c>
      <c r="K169" s="3">
        <v>0.03</v>
      </c>
      <c r="L169" s="3">
        <v>0.05</v>
      </c>
      <c r="M169" s="2" t="s">
        <v>24</v>
      </c>
      <c r="N169" s="3" t="str" cm="1">
        <f t="array" ref="N169">_xlfn.IFS(G169&gt;=90,"Excellent",G169&gt;=80,"Good",G169&gt;=70,"Average",G169&lt;70,"Poor")</f>
        <v>Poor</v>
      </c>
    </row>
    <row r="170" spans="1:14" x14ac:dyDescent="0.35">
      <c r="A170" s="2">
        <v>169</v>
      </c>
      <c r="B170" s="2" t="s">
        <v>211</v>
      </c>
      <c r="C170" s="2" t="s">
        <v>23</v>
      </c>
      <c r="D170" s="2" t="s">
        <v>15</v>
      </c>
      <c r="E170" s="2" t="s">
        <v>54</v>
      </c>
      <c r="F170" s="2">
        <v>2023</v>
      </c>
      <c r="G170" s="2">
        <v>90</v>
      </c>
      <c r="H170" s="3">
        <v>0.33</v>
      </c>
      <c r="I170" s="3">
        <v>0.15</v>
      </c>
      <c r="J170" s="3">
        <v>0.08</v>
      </c>
      <c r="K170" s="3">
        <v>0.03</v>
      </c>
      <c r="L170" s="3">
        <v>7.0000000000000007E-2</v>
      </c>
      <c r="M170" s="2" t="s">
        <v>24</v>
      </c>
      <c r="N170" s="3" t="str" cm="1">
        <f t="array" ref="N170">_xlfn.IFS(G170&gt;=90,"Excellent",G170&gt;=80,"Good",G170&gt;=70,"Average",G170&lt;70,"Poor")</f>
        <v>Excellent</v>
      </c>
    </row>
    <row r="171" spans="1:14" x14ac:dyDescent="0.35">
      <c r="A171" s="2">
        <v>170</v>
      </c>
      <c r="B171" s="2" t="s">
        <v>212</v>
      </c>
      <c r="C171" s="2" t="s">
        <v>23</v>
      </c>
      <c r="D171" s="2" t="s">
        <v>65</v>
      </c>
      <c r="E171" s="2" t="s">
        <v>43</v>
      </c>
      <c r="F171" s="2">
        <v>2022</v>
      </c>
      <c r="G171" s="2">
        <v>85</v>
      </c>
      <c r="H171" s="3">
        <v>0.39</v>
      </c>
      <c r="I171" s="3">
        <v>0.18</v>
      </c>
      <c r="J171" s="3">
        <v>0.09</v>
      </c>
      <c r="K171" s="3">
        <v>0.08</v>
      </c>
      <c r="L171" s="3">
        <v>0.04</v>
      </c>
      <c r="M171" s="2" t="s">
        <v>24</v>
      </c>
      <c r="N171" s="3" t="str" cm="1">
        <f t="array" ref="N171">_xlfn.IFS(G171&gt;=90,"Excellent",G171&gt;=80,"Good",G171&gt;=70,"Average",G171&lt;70,"Poor")</f>
        <v>Good</v>
      </c>
    </row>
    <row r="172" spans="1:14" x14ac:dyDescent="0.35">
      <c r="A172" s="2">
        <v>171</v>
      </c>
      <c r="B172" s="2" t="s">
        <v>213</v>
      </c>
      <c r="C172" s="2" t="s">
        <v>14</v>
      </c>
      <c r="D172" s="2" t="s">
        <v>48</v>
      </c>
      <c r="E172" s="2" t="s">
        <v>16</v>
      </c>
      <c r="F172" s="2">
        <v>2010</v>
      </c>
      <c r="G172" s="2">
        <v>77</v>
      </c>
      <c r="H172" s="3">
        <v>2.4500000000000002</v>
      </c>
      <c r="I172" s="3">
        <v>1.21</v>
      </c>
      <c r="J172" s="3">
        <v>0.6</v>
      </c>
      <c r="K172" s="3">
        <v>0.33</v>
      </c>
      <c r="L172" s="3">
        <v>0.31</v>
      </c>
      <c r="M172" s="2" t="s">
        <v>27</v>
      </c>
      <c r="N172" s="3" t="str" cm="1">
        <f t="array" ref="N172">_xlfn.IFS(G172&gt;=90,"Excellent",G172&gt;=80,"Good",G172&gt;=70,"Average",G172&lt;70,"Poor")</f>
        <v>Average</v>
      </c>
    </row>
    <row r="173" spans="1:14" x14ac:dyDescent="0.35">
      <c r="A173" s="2">
        <v>172</v>
      </c>
      <c r="B173" s="2" t="s">
        <v>214</v>
      </c>
      <c r="C173" s="2" t="s">
        <v>23</v>
      </c>
      <c r="D173" s="2" t="s">
        <v>45</v>
      </c>
      <c r="E173" s="2" t="s">
        <v>43</v>
      </c>
      <c r="F173" s="2">
        <v>2023</v>
      </c>
      <c r="G173" s="2">
        <v>57</v>
      </c>
      <c r="H173" s="3">
        <v>0.23</v>
      </c>
      <c r="I173" s="3">
        <v>0.1</v>
      </c>
      <c r="J173" s="3">
        <v>0.06</v>
      </c>
      <c r="K173" s="3">
        <v>0.02</v>
      </c>
      <c r="L173" s="3">
        <v>0.05</v>
      </c>
      <c r="M173" s="2" t="s">
        <v>24</v>
      </c>
      <c r="N173" s="3" t="str" cm="1">
        <f t="array" ref="N173">_xlfn.IFS(G173&gt;=90,"Excellent",G173&gt;=80,"Good",G173&gt;=70,"Average",G173&lt;70,"Poor")</f>
        <v>Poor</v>
      </c>
    </row>
    <row r="174" spans="1:14" x14ac:dyDescent="0.35">
      <c r="A174" s="2">
        <v>173</v>
      </c>
      <c r="B174" s="2" t="s">
        <v>215</v>
      </c>
      <c r="C174" s="2" t="s">
        <v>19</v>
      </c>
      <c r="D174" s="2" t="s">
        <v>48</v>
      </c>
      <c r="E174" s="2" t="s">
        <v>60</v>
      </c>
      <c r="F174" s="2">
        <v>2016</v>
      </c>
      <c r="G174" s="2">
        <v>72</v>
      </c>
      <c r="H174" s="3">
        <v>0.19</v>
      </c>
      <c r="I174" s="3">
        <v>0.09</v>
      </c>
      <c r="J174" s="3">
        <v>0.04</v>
      </c>
      <c r="K174" s="3">
        <v>0.03</v>
      </c>
      <c r="L174" s="3">
        <v>0.03</v>
      </c>
      <c r="M174" s="2" t="s">
        <v>24</v>
      </c>
      <c r="N174" s="3" t="str" cm="1">
        <f t="array" ref="N174">_xlfn.IFS(G174&gt;=90,"Excellent",G174&gt;=80,"Good",G174&gt;=70,"Average",G174&lt;70,"Poor")</f>
        <v>Average</v>
      </c>
    </row>
    <row r="175" spans="1:14" x14ac:dyDescent="0.35">
      <c r="A175" s="2">
        <v>174</v>
      </c>
      <c r="B175" s="2" t="s">
        <v>216</v>
      </c>
      <c r="C175" s="2" t="s">
        <v>23</v>
      </c>
      <c r="D175" s="2" t="s">
        <v>48</v>
      </c>
      <c r="E175" s="2" t="s">
        <v>20</v>
      </c>
      <c r="F175" s="2">
        <v>2021</v>
      </c>
      <c r="G175" s="2">
        <v>76</v>
      </c>
      <c r="H175" s="3">
        <v>1.07</v>
      </c>
      <c r="I175" s="3">
        <v>0.54</v>
      </c>
      <c r="J175" s="3">
        <v>0.21</v>
      </c>
      <c r="K175" s="3">
        <v>0.14000000000000001</v>
      </c>
      <c r="L175" s="3">
        <v>0.18</v>
      </c>
      <c r="M175" s="2" t="s">
        <v>17</v>
      </c>
      <c r="N175" s="3" t="str" cm="1">
        <f t="array" ref="N175">_xlfn.IFS(G175&gt;=90,"Excellent",G175&gt;=80,"Good",G175&gt;=70,"Average",G175&lt;70,"Poor")</f>
        <v>Average</v>
      </c>
    </row>
    <row r="176" spans="1:14" x14ac:dyDescent="0.35">
      <c r="A176" s="2">
        <v>175</v>
      </c>
      <c r="B176" s="2" t="s">
        <v>217</v>
      </c>
      <c r="C176" s="2" t="s">
        <v>31</v>
      </c>
      <c r="D176" s="2" t="s">
        <v>62</v>
      </c>
      <c r="E176" s="2" t="s">
        <v>16</v>
      </c>
      <c r="F176" s="2">
        <v>2003</v>
      </c>
      <c r="G176" s="2">
        <v>75</v>
      </c>
      <c r="H176" s="3">
        <v>0.47</v>
      </c>
      <c r="I176" s="3">
        <v>0.24</v>
      </c>
      <c r="J176" s="3">
        <v>0.14000000000000001</v>
      </c>
      <c r="K176" s="3">
        <v>0.04</v>
      </c>
      <c r="L176" s="3">
        <v>0.05</v>
      </c>
      <c r="M176" s="2" t="s">
        <v>24</v>
      </c>
      <c r="N176" s="3" t="str" cm="1">
        <f t="array" ref="N176">_xlfn.IFS(G176&gt;=90,"Excellent",G176&gt;=80,"Good",G176&gt;=70,"Average",G176&lt;70,"Poor")</f>
        <v>Average</v>
      </c>
    </row>
    <row r="177" spans="1:14" x14ac:dyDescent="0.35">
      <c r="A177" s="2">
        <v>176</v>
      </c>
      <c r="B177" s="2" t="s">
        <v>218</v>
      </c>
      <c r="C177" s="2" t="s">
        <v>57</v>
      </c>
      <c r="D177" s="2" t="s">
        <v>37</v>
      </c>
      <c r="E177" s="2" t="s">
        <v>41</v>
      </c>
      <c r="F177" s="2">
        <v>2004</v>
      </c>
      <c r="G177" s="2">
        <v>80</v>
      </c>
      <c r="H177" s="3">
        <v>0.83</v>
      </c>
      <c r="I177" s="3">
        <v>0.41</v>
      </c>
      <c r="J177" s="3">
        <v>0.27</v>
      </c>
      <c r="K177" s="3">
        <v>0.08</v>
      </c>
      <c r="L177" s="3">
        <v>7.0000000000000007E-2</v>
      </c>
      <c r="M177" s="2" t="s">
        <v>17</v>
      </c>
      <c r="N177" s="3" t="str" cm="1">
        <f t="array" ref="N177">_xlfn.IFS(G177&gt;=90,"Excellent",G177&gt;=80,"Good",G177&gt;=70,"Average",G177&lt;70,"Poor")</f>
        <v>Good</v>
      </c>
    </row>
    <row r="178" spans="1:14" x14ac:dyDescent="0.35">
      <c r="A178" s="2">
        <v>177</v>
      </c>
      <c r="B178" s="2" t="s">
        <v>219</v>
      </c>
      <c r="C178" s="2" t="s">
        <v>59</v>
      </c>
      <c r="D178" s="2" t="s">
        <v>51</v>
      </c>
      <c r="E178" s="2" t="s">
        <v>74</v>
      </c>
      <c r="F178" s="2">
        <v>1995</v>
      </c>
      <c r="G178" s="2">
        <v>76</v>
      </c>
      <c r="H178" s="3">
        <v>0.46</v>
      </c>
      <c r="I178" s="3">
        <v>0.25</v>
      </c>
      <c r="J178" s="3">
        <v>0.15</v>
      </c>
      <c r="K178" s="3">
        <v>0.06</v>
      </c>
      <c r="L178" s="3">
        <v>0</v>
      </c>
      <c r="M178" s="2" t="s">
        <v>24</v>
      </c>
      <c r="N178" s="3" t="str" cm="1">
        <f t="array" ref="N178">_xlfn.IFS(G178&gt;=90,"Excellent",G178&gt;=80,"Good",G178&gt;=70,"Average",G178&lt;70,"Poor")</f>
        <v>Average</v>
      </c>
    </row>
    <row r="179" spans="1:14" x14ac:dyDescent="0.35">
      <c r="A179" s="2">
        <v>178</v>
      </c>
      <c r="B179" s="2" t="s">
        <v>220</v>
      </c>
      <c r="C179" s="2" t="s">
        <v>31</v>
      </c>
      <c r="D179" s="2" t="s">
        <v>33</v>
      </c>
      <c r="E179" s="2" t="s">
        <v>43</v>
      </c>
      <c r="F179" s="2">
        <v>2006</v>
      </c>
      <c r="G179" s="2">
        <v>96</v>
      </c>
      <c r="H179" s="3">
        <v>0.42</v>
      </c>
      <c r="I179" s="3">
        <v>0.21</v>
      </c>
      <c r="J179" s="3">
        <v>0.13</v>
      </c>
      <c r="K179" s="3">
        <v>0.06</v>
      </c>
      <c r="L179" s="3">
        <v>0.02</v>
      </c>
      <c r="M179" s="2" t="s">
        <v>24</v>
      </c>
      <c r="N179" s="3" t="str" cm="1">
        <f t="array" ref="N179">_xlfn.IFS(G179&gt;=90,"Excellent",G179&gt;=80,"Good",G179&gt;=70,"Average",G179&lt;70,"Poor")</f>
        <v>Excellent</v>
      </c>
    </row>
    <row r="180" spans="1:14" x14ac:dyDescent="0.35">
      <c r="A180" s="2">
        <v>179</v>
      </c>
      <c r="B180" s="2" t="s">
        <v>221</v>
      </c>
      <c r="C180" s="2" t="s">
        <v>64</v>
      </c>
      <c r="D180" s="2" t="s">
        <v>37</v>
      </c>
      <c r="E180" s="2" t="s">
        <v>74</v>
      </c>
      <c r="F180" s="2">
        <v>2014</v>
      </c>
      <c r="G180" s="2">
        <v>87</v>
      </c>
      <c r="H180" s="3">
        <v>0.19</v>
      </c>
      <c r="I180" s="3">
        <v>7.0000000000000007E-2</v>
      </c>
      <c r="J180" s="3">
        <v>7.0000000000000007E-2</v>
      </c>
      <c r="K180" s="3">
        <v>0.02</v>
      </c>
      <c r="L180" s="3">
        <v>0.03</v>
      </c>
      <c r="M180" s="2" t="s">
        <v>24</v>
      </c>
      <c r="N180" s="3" t="str" cm="1">
        <f t="array" ref="N180">_xlfn.IFS(G180&gt;=90,"Excellent",G180&gt;=80,"Good",G180&gt;=70,"Average",G180&lt;70,"Poor")</f>
        <v>Good</v>
      </c>
    </row>
    <row r="181" spans="1:14" x14ac:dyDescent="0.35">
      <c r="A181" s="2">
        <v>180</v>
      </c>
      <c r="B181" s="2" t="s">
        <v>222</v>
      </c>
      <c r="C181" s="2" t="s">
        <v>31</v>
      </c>
      <c r="D181" s="2" t="s">
        <v>51</v>
      </c>
      <c r="E181" s="2" t="s">
        <v>41</v>
      </c>
      <c r="F181" s="2">
        <v>2000</v>
      </c>
      <c r="G181" s="2">
        <v>72</v>
      </c>
      <c r="H181" s="3">
        <v>1.81</v>
      </c>
      <c r="I181" s="3">
        <v>0.9</v>
      </c>
      <c r="J181" s="3">
        <v>0.37</v>
      </c>
      <c r="K181" s="3">
        <v>0.27</v>
      </c>
      <c r="L181" s="3">
        <v>0.27</v>
      </c>
      <c r="M181" s="2" t="s">
        <v>17</v>
      </c>
      <c r="N181" s="3" t="str" cm="1">
        <f t="array" ref="N181">_xlfn.IFS(G181&gt;=90,"Excellent",G181&gt;=80,"Good",G181&gt;=70,"Average",G181&lt;70,"Poor")</f>
        <v>Average</v>
      </c>
    </row>
    <row r="182" spans="1:14" x14ac:dyDescent="0.35">
      <c r="A182" s="2">
        <v>181</v>
      </c>
      <c r="B182" s="2" t="s">
        <v>223</v>
      </c>
      <c r="C182" s="2" t="s">
        <v>57</v>
      </c>
      <c r="D182" s="2" t="s">
        <v>15</v>
      </c>
      <c r="E182" s="2" t="s">
        <v>49</v>
      </c>
      <c r="F182" s="2">
        <v>2007</v>
      </c>
      <c r="G182" s="2">
        <v>65</v>
      </c>
      <c r="H182" s="3">
        <v>0.36</v>
      </c>
      <c r="I182" s="3">
        <v>0.19</v>
      </c>
      <c r="J182" s="3">
        <v>0.11</v>
      </c>
      <c r="K182" s="3">
        <v>0.03</v>
      </c>
      <c r="L182" s="3">
        <v>0.03</v>
      </c>
      <c r="M182" s="2" t="s">
        <v>24</v>
      </c>
      <c r="N182" s="3" t="str" cm="1">
        <f t="array" ref="N182">_xlfn.IFS(G182&gt;=90,"Excellent",G182&gt;=80,"Good",G182&gt;=70,"Average",G182&lt;70,"Poor")</f>
        <v>Poor</v>
      </c>
    </row>
    <row r="183" spans="1:14" x14ac:dyDescent="0.35">
      <c r="A183" s="2">
        <v>182</v>
      </c>
      <c r="B183" s="2" t="s">
        <v>224</v>
      </c>
      <c r="C183" s="2" t="s">
        <v>59</v>
      </c>
      <c r="D183" s="2" t="s">
        <v>51</v>
      </c>
      <c r="E183" s="2" t="s">
        <v>43</v>
      </c>
      <c r="F183" s="2">
        <v>2000</v>
      </c>
      <c r="G183" s="2">
        <v>69</v>
      </c>
      <c r="H183" s="3">
        <v>1.57</v>
      </c>
      <c r="I183" s="3">
        <v>0.69</v>
      </c>
      <c r="J183" s="3">
        <v>0.55000000000000004</v>
      </c>
      <c r="K183" s="3">
        <v>0.17</v>
      </c>
      <c r="L183" s="3">
        <v>0.16</v>
      </c>
      <c r="M183" s="2" t="s">
        <v>17</v>
      </c>
      <c r="N183" s="3" t="str" cm="1">
        <f t="array" ref="N183">_xlfn.IFS(G183&gt;=90,"Excellent",G183&gt;=80,"Good",G183&gt;=70,"Average",G183&lt;70,"Poor")</f>
        <v>Poor</v>
      </c>
    </row>
    <row r="184" spans="1:14" x14ac:dyDescent="0.35">
      <c r="A184" s="2">
        <v>183</v>
      </c>
      <c r="B184" s="2" t="s">
        <v>225</v>
      </c>
      <c r="C184" s="2" t="s">
        <v>57</v>
      </c>
      <c r="D184" s="2" t="s">
        <v>62</v>
      </c>
      <c r="E184" s="2" t="s">
        <v>60</v>
      </c>
      <c r="F184" s="2">
        <v>2012</v>
      </c>
      <c r="G184" s="2">
        <v>98</v>
      </c>
      <c r="H184" s="3">
        <v>0.15</v>
      </c>
      <c r="I184" s="3">
        <v>7.0000000000000007E-2</v>
      </c>
      <c r="J184" s="3">
        <v>0.03</v>
      </c>
      <c r="K184" s="3">
        <v>0.02</v>
      </c>
      <c r="L184" s="3">
        <v>0.03</v>
      </c>
      <c r="M184" s="2" t="s">
        <v>24</v>
      </c>
      <c r="N184" s="3" t="str" cm="1">
        <f t="array" ref="N184">_xlfn.IFS(G184&gt;=90,"Excellent",G184&gt;=80,"Good",G184&gt;=70,"Average",G184&lt;70,"Poor")</f>
        <v>Excellent</v>
      </c>
    </row>
    <row r="185" spans="1:14" x14ac:dyDescent="0.35">
      <c r="A185" s="2">
        <v>184</v>
      </c>
      <c r="B185" s="2" t="s">
        <v>226</v>
      </c>
      <c r="C185" s="2" t="s">
        <v>59</v>
      </c>
      <c r="D185" s="2" t="s">
        <v>65</v>
      </c>
      <c r="E185" s="2" t="s">
        <v>52</v>
      </c>
      <c r="F185" s="2">
        <v>1999</v>
      </c>
      <c r="G185" s="2">
        <v>64</v>
      </c>
      <c r="H185" s="3">
        <v>0.31</v>
      </c>
      <c r="I185" s="3">
        <v>0.15</v>
      </c>
      <c r="J185" s="3">
        <v>0.08</v>
      </c>
      <c r="K185" s="3">
        <v>0.06</v>
      </c>
      <c r="L185" s="3">
        <v>0.02</v>
      </c>
      <c r="M185" s="2" t="s">
        <v>24</v>
      </c>
      <c r="N185" s="3" t="str" cm="1">
        <f t="array" ref="N185">_xlfn.IFS(G185&gt;=90,"Excellent",G185&gt;=80,"Good",G185&gt;=70,"Average",G185&lt;70,"Poor")</f>
        <v>Poor</v>
      </c>
    </row>
    <row r="186" spans="1:14" x14ac:dyDescent="0.35">
      <c r="A186" s="2">
        <v>185</v>
      </c>
      <c r="B186" s="2" t="s">
        <v>227</v>
      </c>
      <c r="C186" s="2" t="s">
        <v>19</v>
      </c>
      <c r="D186" s="2" t="s">
        <v>62</v>
      </c>
      <c r="E186" s="2" t="s">
        <v>54</v>
      </c>
      <c r="F186" s="2">
        <v>2013</v>
      </c>
      <c r="G186" s="2">
        <v>84</v>
      </c>
      <c r="H186" s="3">
        <v>1.01</v>
      </c>
      <c r="I186" s="3">
        <v>0.49</v>
      </c>
      <c r="J186" s="3">
        <v>0.25</v>
      </c>
      <c r="K186" s="3">
        <v>0.05</v>
      </c>
      <c r="L186" s="3">
        <v>0.22</v>
      </c>
      <c r="M186" s="2" t="s">
        <v>17</v>
      </c>
      <c r="N186" s="3" t="str" cm="1">
        <f t="array" ref="N186">_xlfn.IFS(G186&gt;=90,"Excellent",G186&gt;=80,"Good",G186&gt;=70,"Average",G186&lt;70,"Poor")</f>
        <v>Good</v>
      </c>
    </row>
    <row r="187" spans="1:14" x14ac:dyDescent="0.35">
      <c r="A187" s="2">
        <v>186</v>
      </c>
      <c r="B187" s="2" t="s">
        <v>228</v>
      </c>
      <c r="C187" s="2" t="s">
        <v>14</v>
      </c>
      <c r="D187" s="2" t="s">
        <v>48</v>
      </c>
      <c r="E187" s="2" t="s">
        <v>74</v>
      </c>
      <c r="F187" s="2">
        <v>2006</v>
      </c>
      <c r="G187" s="2">
        <v>82</v>
      </c>
      <c r="H187" s="3">
        <v>0.46</v>
      </c>
      <c r="I187" s="3">
        <v>0.25</v>
      </c>
      <c r="J187" s="3">
        <v>0.16</v>
      </c>
      <c r="K187" s="3">
        <v>0.03</v>
      </c>
      <c r="L187" s="3">
        <v>0.02</v>
      </c>
      <c r="M187" s="2" t="s">
        <v>24</v>
      </c>
      <c r="N187" s="3" t="str" cm="1">
        <f t="array" ref="N187">_xlfn.IFS(G187&gt;=90,"Excellent",G187&gt;=80,"Good",G187&gt;=70,"Average",G187&lt;70,"Poor")</f>
        <v>Good</v>
      </c>
    </row>
    <row r="188" spans="1:14" x14ac:dyDescent="0.35">
      <c r="A188" s="2">
        <v>187</v>
      </c>
      <c r="B188" s="2" t="s">
        <v>229</v>
      </c>
      <c r="C188" s="2" t="s">
        <v>19</v>
      </c>
      <c r="D188" s="2" t="s">
        <v>51</v>
      </c>
      <c r="E188" s="2" t="s">
        <v>41</v>
      </c>
      <c r="F188" s="2">
        <v>2013</v>
      </c>
      <c r="G188" s="2">
        <v>96</v>
      </c>
      <c r="H188" s="3">
        <v>0.2</v>
      </c>
      <c r="I188" s="3">
        <v>0.11</v>
      </c>
      <c r="J188" s="3">
        <v>0.05</v>
      </c>
      <c r="K188" s="3">
        <v>0.03</v>
      </c>
      <c r="L188" s="3">
        <v>0.01</v>
      </c>
      <c r="M188" s="2" t="s">
        <v>24</v>
      </c>
      <c r="N188" s="3" t="str" cm="1">
        <f t="array" ref="N188">_xlfn.IFS(G188&gt;=90,"Excellent",G188&gt;=80,"Good",G188&gt;=70,"Average",G188&lt;70,"Poor")</f>
        <v>Excellent</v>
      </c>
    </row>
    <row r="189" spans="1:14" x14ac:dyDescent="0.35">
      <c r="A189" s="2">
        <v>188</v>
      </c>
      <c r="B189" s="2" t="s">
        <v>230</v>
      </c>
      <c r="C189" s="2" t="s">
        <v>57</v>
      </c>
      <c r="D189" s="2" t="s">
        <v>37</v>
      </c>
      <c r="E189" s="2" t="s">
        <v>43</v>
      </c>
      <c r="F189" s="2">
        <v>2012</v>
      </c>
      <c r="G189" s="2">
        <v>89</v>
      </c>
      <c r="H189" s="3">
        <v>0.42</v>
      </c>
      <c r="I189" s="3">
        <v>0.22</v>
      </c>
      <c r="J189" s="3">
        <v>0.13</v>
      </c>
      <c r="K189" s="3">
        <v>7.0000000000000007E-2</v>
      </c>
      <c r="L189" s="3">
        <v>0</v>
      </c>
      <c r="M189" s="2" t="s">
        <v>24</v>
      </c>
      <c r="N189" s="3" t="str" cm="1">
        <f t="array" ref="N189">_xlfn.IFS(G189&gt;=90,"Excellent",G189&gt;=80,"Good",G189&gt;=70,"Average",G189&lt;70,"Poor")</f>
        <v>Good</v>
      </c>
    </row>
    <row r="190" spans="1:14" x14ac:dyDescent="0.35">
      <c r="A190" s="2">
        <v>189</v>
      </c>
      <c r="B190" s="2" t="s">
        <v>231</v>
      </c>
      <c r="C190" s="2" t="s">
        <v>14</v>
      </c>
      <c r="D190" s="2" t="s">
        <v>65</v>
      </c>
      <c r="E190" s="2" t="s">
        <v>41</v>
      </c>
      <c r="F190" s="2">
        <v>2013</v>
      </c>
      <c r="G190" s="2">
        <v>69</v>
      </c>
      <c r="H190" s="3">
        <v>0.32</v>
      </c>
      <c r="I190" s="3">
        <v>0.13</v>
      </c>
      <c r="J190" s="3">
        <v>0.11</v>
      </c>
      <c r="K190" s="3">
        <v>0.05</v>
      </c>
      <c r="L190" s="3">
        <v>0.03</v>
      </c>
      <c r="M190" s="2" t="s">
        <v>24</v>
      </c>
      <c r="N190" s="3" t="str" cm="1">
        <f t="array" ref="N190">_xlfn.IFS(G190&gt;=90,"Excellent",G190&gt;=80,"Good",G190&gt;=70,"Average",G190&lt;70,"Poor")</f>
        <v>Poor</v>
      </c>
    </row>
    <row r="191" spans="1:14" x14ac:dyDescent="0.35">
      <c r="A191" s="2">
        <v>190</v>
      </c>
      <c r="B191" s="2" t="s">
        <v>232</v>
      </c>
      <c r="C191" s="2" t="s">
        <v>59</v>
      </c>
      <c r="D191" s="2" t="s">
        <v>45</v>
      </c>
      <c r="E191" s="2" t="s">
        <v>74</v>
      </c>
      <c r="F191" s="2">
        <v>1995</v>
      </c>
      <c r="G191" s="2">
        <v>68</v>
      </c>
      <c r="H191" s="3">
        <v>0.08</v>
      </c>
      <c r="I191" s="3">
        <v>0.04</v>
      </c>
      <c r="J191" s="3">
        <v>0.02</v>
      </c>
      <c r="K191" s="3">
        <v>0.01</v>
      </c>
      <c r="L191" s="3">
        <v>0.01</v>
      </c>
      <c r="M191" s="2" t="s">
        <v>24</v>
      </c>
      <c r="N191" s="3" t="str" cm="1">
        <f t="array" ref="N191">_xlfn.IFS(G191&gt;=90,"Excellent",G191&gt;=80,"Good",G191&gt;=70,"Average",G191&lt;70,"Poor")</f>
        <v>Poor</v>
      </c>
    </row>
    <row r="192" spans="1:14" x14ac:dyDescent="0.35">
      <c r="A192" s="2">
        <v>191</v>
      </c>
      <c r="B192" s="2" t="s">
        <v>233</v>
      </c>
      <c r="C192" s="2" t="s">
        <v>31</v>
      </c>
      <c r="D192" s="2" t="s">
        <v>15</v>
      </c>
      <c r="E192" s="2" t="s">
        <v>41</v>
      </c>
      <c r="F192" s="2">
        <v>2005</v>
      </c>
      <c r="G192" s="2">
        <v>89</v>
      </c>
      <c r="H192" s="3">
        <v>0.17</v>
      </c>
      <c r="I192" s="3">
        <v>7.0000000000000007E-2</v>
      </c>
      <c r="J192" s="3">
        <v>0.05</v>
      </c>
      <c r="K192" s="3">
        <v>0.03</v>
      </c>
      <c r="L192" s="3">
        <v>0.02</v>
      </c>
      <c r="M192" s="2" t="s">
        <v>24</v>
      </c>
      <c r="N192" s="3" t="str" cm="1">
        <f t="array" ref="N192">_xlfn.IFS(G192&gt;=90,"Excellent",G192&gt;=80,"Good",G192&gt;=70,"Average",G192&lt;70,"Poor")</f>
        <v>Good</v>
      </c>
    </row>
    <row r="193" spans="1:14" x14ac:dyDescent="0.35">
      <c r="A193" s="2">
        <v>192</v>
      </c>
      <c r="B193" s="2" t="s">
        <v>234</v>
      </c>
      <c r="C193" s="2" t="s">
        <v>14</v>
      </c>
      <c r="D193" s="2" t="s">
        <v>48</v>
      </c>
      <c r="E193" s="2" t="s">
        <v>46</v>
      </c>
      <c r="F193" s="2">
        <v>2011</v>
      </c>
      <c r="G193" s="2">
        <v>69</v>
      </c>
      <c r="H193" s="3">
        <v>0.49</v>
      </c>
      <c r="I193" s="3">
        <v>0.23</v>
      </c>
      <c r="J193" s="3">
        <v>0.14000000000000001</v>
      </c>
      <c r="K193" s="3">
        <v>0.08</v>
      </c>
      <c r="L193" s="3">
        <v>0.04</v>
      </c>
      <c r="M193" s="2" t="s">
        <v>24</v>
      </c>
      <c r="N193" s="3" t="str" cm="1">
        <f t="array" ref="N193">_xlfn.IFS(G193&gt;=90,"Excellent",G193&gt;=80,"Good",G193&gt;=70,"Average",G193&lt;70,"Poor")</f>
        <v>Poor</v>
      </c>
    </row>
    <row r="194" spans="1:14" x14ac:dyDescent="0.35">
      <c r="A194" s="2">
        <v>193</v>
      </c>
      <c r="B194" s="2" t="s">
        <v>235</v>
      </c>
      <c r="C194" s="2" t="s">
        <v>31</v>
      </c>
      <c r="D194" s="2" t="s">
        <v>45</v>
      </c>
      <c r="E194" s="2" t="s">
        <v>60</v>
      </c>
      <c r="F194" s="2">
        <v>2005</v>
      </c>
      <c r="G194" s="2">
        <v>77</v>
      </c>
      <c r="H194" s="3">
        <v>1.27</v>
      </c>
      <c r="I194" s="3">
        <v>0.55000000000000004</v>
      </c>
      <c r="J194" s="3">
        <v>0.28000000000000003</v>
      </c>
      <c r="K194" s="3">
        <v>0.14000000000000001</v>
      </c>
      <c r="L194" s="3">
        <v>0.3</v>
      </c>
      <c r="M194" s="2" t="s">
        <v>17</v>
      </c>
      <c r="N194" s="3" t="str" cm="1">
        <f t="array" ref="N194">_xlfn.IFS(G194&gt;=90,"Excellent",G194&gt;=80,"Good",G194&gt;=70,"Average",G194&lt;70,"Poor")</f>
        <v>Average</v>
      </c>
    </row>
    <row r="195" spans="1:14" x14ac:dyDescent="0.35">
      <c r="A195" s="2">
        <v>194</v>
      </c>
      <c r="B195" s="2" t="s">
        <v>236</v>
      </c>
      <c r="C195" s="2" t="s">
        <v>64</v>
      </c>
      <c r="D195" s="2" t="s">
        <v>62</v>
      </c>
      <c r="E195" s="2" t="s">
        <v>52</v>
      </c>
      <c r="F195" s="2">
        <v>2019</v>
      </c>
      <c r="G195" s="2">
        <v>64</v>
      </c>
      <c r="H195" s="3">
        <v>5.86</v>
      </c>
      <c r="I195" s="3">
        <v>2.7</v>
      </c>
      <c r="J195" s="3">
        <v>1.29</v>
      </c>
      <c r="K195" s="3">
        <v>0.51</v>
      </c>
      <c r="L195" s="3">
        <v>1.36</v>
      </c>
      <c r="M195" s="2" t="s">
        <v>21</v>
      </c>
      <c r="N195" s="3" t="str" cm="1">
        <f t="array" ref="N195">_xlfn.IFS(G195&gt;=90,"Excellent",G195&gt;=80,"Good",G195&gt;=70,"Average",G195&lt;70,"Poor")</f>
        <v>Poor</v>
      </c>
    </row>
    <row r="196" spans="1:14" x14ac:dyDescent="0.35">
      <c r="A196" s="2">
        <v>195</v>
      </c>
      <c r="B196" s="2" t="s">
        <v>237</v>
      </c>
      <c r="C196" s="2" t="s">
        <v>31</v>
      </c>
      <c r="D196" s="2" t="s">
        <v>33</v>
      </c>
      <c r="E196" s="2" t="s">
        <v>16</v>
      </c>
      <c r="F196" s="2">
        <v>2002</v>
      </c>
      <c r="G196" s="2">
        <v>89</v>
      </c>
      <c r="H196" s="3">
        <v>1.02</v>
      </c>
      <c r="I196" s="3">
        <v>0.41</v>
      </c>
      <c r="J196" s="3">
        <v>0.31</v>
      </c>
      <c r="K196" s="3">
        <v>0.14000000000000001</v>
      </c>
      <c r="L196" s="3">
        <v>0.16</v>
      </c>
      <c r="M196" s="2" t="s">
        <v>17</v>
      </c>
      <c r="N196" s="3" t="str" cm="1">
        <f t="array" ref="N196">_xlfn.IFS(G196&gt;=90,"Excellent",G196&gt;=80,"Good",G196&gt;=70,"Average",G196&lt;70,"Poor")</f>
        <v>Good</v>
      </c>
    </row>
    <row r="197" spans="1:14" x14ac:dyDescent="0.35">
      <c r="A197" s="2">
        <v>196</v>
      </c>
      <c r="B197" s="2" t="s">
        <v>238</v>
      </c>
      <c r="C197" s="2" t="s">
        <v>64</v>
      </c>
      <c r="D197" s="2" t="s">
        <v>48</v>
      </c>
      <c r="E197" s="2" t="s">
        <v>74</v>
      </c>
      <c r="F197" s="2">
        <v>2012</v>
      </c>
      <c r="G197" s="2">
        <v>85</v>
      </c>
      <c r="H197" s="3">
        <v>0.17</v>
      </c>
      <c r="I197" s="3">
        <v>0.08</v>
      </c>
      <c r="J197" s="3">
        <v>0.05</v>
      </c>
      <c r="K197" s="3">
        <v>0.03</v>
      </c>
      <c r="L197" s="3">
        <v>0.01</v>
      </c>
      <c r="M197" s="2" t="s">
        <v>24</v>
      </c>
      <c r="N197" s="3" t="str" cm="1">
        <f t="array" ref="N197">_xlfn.IFS(G197&gt;=90,"Excellent",G197&gt;=80,"Good",G197&gt;=70,"Average",G197&lt;70,"Poor")</f>
        <v>Good</v>
      </c>
    </row>
    <row r="198" spans="1:14" x14ac:dyDescent="0.35">
      <c r="A198" s="2">
        <v>197</v>
      </c>
      <c r="B198" s="2" t="s">
        <v>239</v>
      </c>
      <c r="C198" s="2" t="s">
        <v>31</v>
      </c>
      <c r="D198" s="2" t="s">
        <v>2</v>
      </c>
      <c r="E198" s="2" t="s">
        <v>52</v>
      </c>
      <c r="F198" s="2">
        <v>2005</v>
      </c>
      <c r="G198" s="2">
        <v>90</v>
      </c>
      <c r="H198" s="3">
        <v>0.45</v>
      </c>
      <c r="I198" s="3">
        <v>0.2</v>
      </c>
      <c r="J198" s="3">
        <v>0.13</v>
      </c>
      <c r="K198" s="3">
        <v>0.04</v>
      </c>
      <c r="L198" s="3">
        <v>0.08</v>
      </c>
      <c r="M198" s="2" t="s">
        <v>24</v>
      </c>
      <c r="N198" s="3" t="str" cm="1">
        <f t="array" ref="N198">_xlfn.IFS(G198&gt;=90,"Excellent",G198&gt;=80,"Good",G198&gt;=70,"Average",G198&lt;70,"Poor")</f>
        <v>Excellent</v>
      </c>
    </row>
    <row r="199" spans="1:14" x14ac:dyDescent="0.35">
      <c r="A199" s="2">
        <v>198</v>
      </c>
      <c r="B199" s="2" t="s">
        <v>240</v>
      </c>
      <c r="C199" s="2" t="s">
        <v>14</v>
      </c>
      <c r="D199" s="2" t="s">
        <v>62</v>
      </c>
      <c r="E199" s="2" t="s">
        <v>49</v>
      </c>
      <c r="F199" s="2">
        <v>2013</v>
      </c>
      <c r="G199" s="2">
        <v>68</v>
      </c>
      <c r="H199" s="3">
        <v>0.42</v>
      </c>
      <c r="I199" s="3">
        <v>0.19</v>
      </c>
      <c r="J199" s="3">
        <v>0.1</v>
      </c>
      <c r="K199" s="3">
        <v>0.03</v>
      </c>
      <c r="L199" s="3">
        <v>0.1</v>
      </c>
      <c r="M199" s="2" t="s">
        <v>24</v>
      </c>
      <c r="N199" s="3" t="str" cm="1">
        <f t="array" ref="N199">_xlfn.IFS(G199&gt;=90,"Excellent",G199&gt;=80,"Good",G199&gt;=70,"Average",G199&lt;70,"Poor")</f>
        <v>Poor</v>
      </c>
    </row>
    <row r="200" spans="1:14" x14ac:dyDescent="0.35">
      <c r="A200" s="2">
        <v>199</v>
      </c>
      <c r="B200" s="2" t="s">
        <v>241</v>
      </c>
      <c r="C200" s="2" t="s">
        <v>14</v>
      </c>
      <c r="D200" s="2" t="s">
        <v>51</v>
      </c>
      <c r="E200" s="2" t="s">
        <v>54</v>
      </c>
      <c r="F200" s="2">
        <v>2012</v>
      </c>
      <c r="G200" s="2">
        <v>69</v>
      </c>
      <c r="H200" s="3">
        <v>0.19</v>
      </c>
      <c r="I200" s="3">
        <v>0.09</v>
      </c>
      <c r="J200" s="3">
        <v>0.06</v>
      </c>
      <c r="K200" s="3">
        <v>0.03</v>
      </c>
      <c r="L200" s="3">
        <v>0.01</v>
      </c>
      <c r="M200" s="2" t="s">
        <v>24</v>
      </c>
      <c r="N200" s="3" t="str" cm="1">
        <f t="array" ref="N200">_xlfn.IFS(G200&gt;=90,"Excellent",G200&gt;=80,"Good",G200&gt;=70,"Average",G200&lt;70,"Poor")</f>
        <v>Poor</v>
      </c>
    </row>
    <row r="201" spans="1:14" x14ac:dyDescent="0.35">
      <c r="A201" s="2">
        <v>200</v>
      </c>
      <c r="B201" s="2" t="s">
        <v>242</v>
      </c>
      <c r="C201" s="2" t="s">
        <v>14</v>
      </c>
      <c r="D201" s="2" t="s">
        <v>62</v>
      </c>
      <c r="E201" s="2" t="s">
        <v>16</v>
      </c>
      <c r="F201" s="2">
        <v>2013</v>
      </c>
      <c r="G201" s="2">
        <v>65</v>
      </c>
      <c r="H201" s="3">
        <v>0.17</v>
      </c>
      <c r="I201" s="3">
        <v>7.0000000000000007E-2</v>
      </c>
      <c r="J201" s="3">
        <v>0.06</v>
      </c>
      <c r="K201" s="3">
        <v>0.03</v>
      </c>
      <c r="L201" s="3">
        <v>0.01</v>
      </c>
      <c r="M201" s="2" t="s">
        <v>24</v>
      </c>
      <c r="N201" s="3" t="str" cm="1">
        <f t="array" ref="N201">_xlfn.IFS(G201&gt;=90,"Excellent",G201&gt;=80,"Good",G201&gt;=70,"Average",G201&lt;70,"Poor")</f>
        <v>Poor</v>
      </c>
    </row>
    <row r="202" spans="1:14" x14ac:dyDescent="0.35">
      <c r="A202" s="2">
        <v>201</v>
      </c>
      <c r="B202" s="2" t="s">
        <v>243</v>
      </c>
      <c r="C202" s="2" t="s">
        <v>59</v>
      </c>
      <c r="D202" s="2" t="s">
        <v>15</v>
      </c>
      <c r="E202" s="2" t="s">
        <v>49</v>
      </c>
      <c r="F202" s="2">
        <v>1999</v>
      </c>
      <c r="G202" s="2">
        <v>81</v>
      </c>
      <c r="H202" s="3">
        <v>0.09</v>
      </c>
      <c r="I202" s="3">
        <v>0.03</v>
      </c>
      <c r="J202" s="3">
        <v>0.02</v>
      </c>
      <c r="K202" s="3">
        <v>0.01</v>
      </c>
      <c r="L202" s="3">
        <v>0.03</v>
      </c>
      <c r="M202" s="2" t="s">
        <v>24</v>
      </c>
      <c r="N202" s="3" t="str" cm="1">
        <f t="array" ref="N202">_xlfn.IFS(G202&gt;=90,"Excellent",G202&gt;=80,"Good",G202&gt;=70,"Average",G202&lt;70,"Poor")</f>
        <v>Good</v>
      </c>
    </row>
    <row r="203" spans="1:14" x14ac:dyDescent="0.35">
      <c r="A203" s="2">
        <v>202</v>
      </c>
      <c r="B203" s="2" t="s">
        <v>244</v>
      </c>
      <c r="C203" s="2" t="s">
        <v>19</v>
      </c>
      <c r="D203" s="2" t="s">
        <v>15</v>
      </c>
      <c r="E203" s="2" t="s">
        <v>74</v>
      </c>
      <c r="F203" s="2">
        <v>2018</v>
      </c>
      <c r="G203" s="2">
        <v>97</v>
      </c>
      <c r="H203" s="3">
        <v>0.8</v>
      </c>
      <c r="I203" s="3">
        <v>0.37</v>
      </c>
      <c r="J203" s="3">
        <v>0.16</v>
      </c>
      <c r="K203" s="3">
        <v>0.1</v>
      </c>
      <c r="L203" s="3">
        <v>0.17</v>
      </c>
      <c r="M203" s="2" t="s">
        <v>17</v>
      </c>
      <c r="N203" s="3" t="str" cm="1">
        <f t="array" ref="N203">_xlfn.IFS(G203&gt;=90,"Excellent",G203&gt;=80,"Good",G203&gt;=70,"Average",G203&lt;70,"Poor")</f>
        <v>Excellent</v>
      </c>
    </row>
    <row r="204" spans="1:14" x14ac:dyDescent="0.35">
      <c r="A204" s="2">
        <v>203</v>
      </c>
      <c r="B204" s="2" t="s">
        <v>245</v>
      </c>
      <c r="C204" s="2" t="s">
        <v>14</v>
      </c>
      <c r="D204" s="2" t="s">
        <v>15</v>
      </c>
      <c r="E204" s="2" t="s">
        <v>60</v>
      </c>
      <c r="F204" s="2">
        <v>2010</v>
      </c>
      <c r="G204" s="2">
        <v>61</v>
      </c>
      <c r="H204" s="3">
        <v>2.29</v>
      </c>
      <c r="I204" s="3">
        <v>0.91</v>
      </c>
      <c r="J204" s="3">
        <v>0.67</v>
      </c>
      <c r="K204" s="3">
        <v>0.2</v>
      </c>
      <c r="L204" s="3">
        <v>0.51</v>
      </c>
      <c r="M204" s="2" t="s">
        <v>27</v>
      </c>
      <c r="N204" s="3" t="str" cm="1">
        <f t="array" ref="N204">_xlfn.IFS(G204&gt;=90,"Excellent",G204&gt;=80,"Good",G204&gt;=70,"Average",G204&lt;70,"Poor")</f>
        <v>Poor</v>
      </c>
    </row>
    <row r="205" spans="1:14" x14ac:dyDescent="0.35">
      <c r="A205" s="2">
        <v>204</v>
      </c>
      <c r="B205" s="2" t="s">
        <v>246</v>
      </c>
      <c r="C205" s="2" t="s">
        <v>14</v>
      </c>
      <c r="D205" s="2" t="s">
        <v>45</v>
      </c>
      <c r="E205" s="2" t="s">
        <v>49</v>
      </c>
      <c r="F205" s="2">
        <v>2010</v>
      </c>
      <c r="G205" s="2">
        <v>84</v>
      </c>
      <c r="H205" s="3">
        <v>0.15</v>
      </c>
      <c r="I205" s="3">
        <v>0.08</v>
      </c>
      <c r="J205" s="3">
        <v>0.04</v>
      </c>
      <c r="K205" s="3">
        <v>0.03</v>
      </c>
      <c r="L205" s="3">
        <v>0</v>
      </c>
      <c r="M205" s="2" t="s">
        <v>24</v>
      </c>
      <c r="N205" s="3" t="str" cm="1">
        <f t="array" ref="N205">_xlfn.IFS(G205&gt;=90,"Excellent",G205&gt;=80,"Good",G205&gt;=70,"Average",G205&lt;70,"Poor")</f>
        <v>Good</v>
      </c>
    </row>
    <row r="206" spans="1:14" x14ac:dyDescent="0.35">
      <c r="A206" s="2">
        <v>205</v>
      </c>
      <c r="B206" s="2" t="s">
        <v>247</v>
      </c>
      <c r="C206" s="2" t="s">
        <v>64</v>
      </c>
      <c r="D206" s="2" t="s">
        <v>33</v>
      </c>
      <c r="E206" s="2" t="s">
        <v>41</v>
      </c>
      <c r="F206" s="2">
        <v>2011</v>
      </c>
      <c r="G206" s="2">
        <v>90</v>
      </c>
      <c r="H206" s="3">
        <v>0.27</v>
      </c>
      <c r="I206" s="3">
        <v>0.13</v>
      </c>
      <c r="J206" s="3">
        <v>0.06</v>
      </c>
      <c r="K206" s="3">
        <v>0.05</v>
      </c>
      <c r="L206" s="3">
        <v>0.03</v>
      </c>
      <c r="M206" s="2" t="s">
        <v>24</v>
      </c>
      <c r="N206" s="3" t="str" cm="1">
        <f t="array" ref="N206">_xlfn.IFS(G206&gt;=90,"Excellent",G206&gt;=80,"Good",G206&gt;=70,"Average",G206&lt;70,"Poor")</f>
        <v>Excellent</v>
      </c>
    </row>
    <row r="207" spans="1:14" x14ac:dyDescent="0.35">
      <c r="A207" s="2">
        <v>206</v>
      </c>
      <c r="B207" s="2" t="s">
        <v>248</v>
      </c>
      <c r="C207" s="2" t="s">
        <v>57</v>
      </c>
      <c r="D207" s="2" t="s">
        <v>2</v>
      </c>
      <c r="E207" s="2" t="s">
        <v>49</v>
      </c>
      <c r="F207" s="2">
        <v>2009</v>
      </c>
      <c r="G207" s="2">
        <v>69</v>
      </c>
      <c r="H207" s="3">
        <v>1.5</v>
      </c>
      <c r="I207" s="3">
        <v>0.54</v>
      </c>
      <c r="J207" s="3">
        <v>0.32</v>
      </c>
      <c r="K207" s="3">
        <v>0.28000000000000003</v>
      </c>
      <c r="L207" s="3">
        <v>0.36</v>
      </c>
      <c r="M207" s="2" t="s">
        <v>17</v>
      </c>
      <c r="N207" s="3" t="str" cm="1">
        <f t="array" ref="N207">_xlfn.IFS(G207&gt;=90,"Excellent",G207&gt;=80,"Good",G207&gt;=70,"Average",G207&lt;70,"Poor")</f>
        <v>Poor</v>
      </c>
    </row>
    <row r="208" spans="1:14" x14ac:dyDescent="0.35">
      <c r="A208" s="2">
        <v>207</v>
      </c>
      <c r="B208" s="2" t="s">
        <v>249</v>
      </c>
      <c r="C208" s="2" t="s">
        <v>23</v>
      </c>
      <c r="D208" s="2" t="s">
        <v>15</v>
      </c>
      <c r="E208" s="2" t="s">
        <v>54</v>
      </c>
      <c r="F208" s="2">
        <v>2024</v>
      </c>
      <c r="G208" s="2">
        <v>68</v>
      </c>
      <c r="H208" s="3">
        <v>1.27</v>
      </c>
      <c r="I208" s="3">
        <v>0.63</v>
      </c>
      <c r="J208" s="3">
        <v>0.33</v>
      </c>
      <c r="K208" s="3">
        <v>0.08</v>
      </c>
      <c r="L208" s="3">
        <v>0.23</v>
      </c>
      <c r="M208" s="2" t="s">
        <v>17</v>
      </c>
      <c r="N208" s="3" t="str" cm="1">
        <f t="array" ref="N208">_xlfn.IFS(G208&gt;=90,"Excellent",G208&gt;=80,"Good",G208&gt;=70,"Average",G208&lt;70,"Poor")</f>
        <v>Poor</v>
      </c>
    </row>
    <row r="209" spans="1:14" x14ac:dyDescent="0.35">
      <c r="A209" s="2">
        <v>208</v>
      </c>
      <c r="B209" s="2" t="s">
        <v>250</v>
      </c>
      <c r="C209" s="2" t="s">
        <v>31</v>
      </c>
      <c r="D209" s="2" t="s">
        <v>48</v>
      </c>
      <c r="E209" s="2" t="s">
        <v>74</v>
      </c>
      <c r="F209" s="2">
        <v>2004</v>
      </c>
      <c r="G209" s="2">
        <v>76</v>
      </c>
      <c r="H209" s="3">
        <v>0.33</v>
      </c>
      <c r="I209" s="3">
        <v>0.17</v>
      </c>
      <c r="J209" s="3">
        <v>0.1</v>
      </c>
      <c r="K209" s="3">
        <v>0.02</v>
      </c>
      <c r="L209" s="3">
        <v>0.04</v>
      </c>
      <c r="M209" s="2" t="s">
        <v>24</v>
      </c>
      <c r="N209" s="3" t="str" cm="1">
        <f t="array" ref="N209">_xlfn.IFS(G209&gt;=90,"Excellent",G209&gt;=80,"Good",G209&gt;=70,"Average",G209&lt;70,"Poor")</f>
        <v>Average</v>
      </c>
    </row>
    <row r="210" spans="1:14" x14ac:dyDescent="0.35">
      <c r="A210" s="2">
        <v>209</v>
      </c>
      <c r="B210" s="2" t="s">
        <v>251</v>
      </c>
      <c r="C210" s="2" t="s">
        <v>57</v>
      </c>
      <c r="D210" s="2" t="s">
        <v>15</v>
      </c>
      <c r="E210" s="2" t="s">
        <v>49</v>
      </c>
      <c r="F210" s="2">
        <v>2009</v>
      </c>
      <c r="G210" s="2">
        <v>59</v>
      </c>
      <c r="H210" s="3">
        <v>0.17</v>
      </c>
      <c r="I210" s="3">
        <v>0.09</v>
      </c>
      <c r="J210" s="3">
        <v>0.04</v>
      </c>
      <c r="K210" s="3">
        <v>0.03</v>
      </c>
      <c r="L210" s="3">
        <v>0.01</v>
      </c>
      <c r="M210" s="2" t="s">
        <v>24</v>
      </c>
      <c r="N210" s="3" t="str" cm="1">
        <f t="array" ref="N210">_xlfn.IFS(G210&gt;=90,"Excellent",G210&gt;=80,"Good",G210&gt;=70,"Average",G210&lt;70,"Poor")</f>
        <v>Poor</v>
      </c>
    </row>
    <row r="211" spans="1:14" x14ac:dyDescent="0.35">
      <c r="A211" s="2">
        <v>210</v>
      </c>
      <c r="B211" s="2" t="s">
        <v>252</v>
      </c>
      <c r="C211" s="2" t="s">
        <v>59</v>
      </c>
      <c r="D211" s="2" t="s">
        <v>51</v>
      </c>
      <c r="E211" s="2" t="s">
        <v>16</v>
      </c>
      <c r="F211" s="2">
        <v>2000</v>
      </c>
      <c r="G211" s="2">
        <v>77</v>
      </c>
      <c r="H211" s="3">
        <v>0.46</v>
      </c>
      <c r="I211" s="3">
        <v>0.18</v>
      </c>
      <c r="J211" s="3">
        <v>0.13</v>
      </c>
      <c r="K211" s="3">
        <v>0.05</v>
      </c>
      <c r="L211" s="3">
        <v>0.1</v>
      </c>
      <c r="M211" s="2" t="s">
        <v>24</v>
      </c>
      <c r="N211" s="3" t="str" cm="1">
        <f t="array" ref="N211">_xlfn.IFS(G211&gt;=90,"Excellent",G211&gt;=80,"Good",G211&gt;=70,"Average",G211&lt;70,"Poor")</f>
        <v>Average</v>
      </c>
    </row>
    <row r="212" spans="1:14" x14ac:dyDescent="0.35">
      <c r="A212" s="2">
        <v>211</v>
      </c>
      <c r="B212" s="2" t="s">
        <v>253</v>
      </c>
      <c r="C212" s="2" t="s">
        <v>64</v>
      </c>
      <c r="D212" s="2" t="s">
        <v>48</v>
      </c>
      <c r="E212" s="2" t="s">
        <v>49</v>
      </c>
      <c r="F212" s="2">
        <v>2015</v>
      </c>
      <c r="G212" s="2">
        <v>64</v>
      </c>
      <c r="H212" s="3">
        <v>0.13</v>
      </c>
      <c r="I212" s="3">
        <v>0.05</v>
      </c>
      <c r="J212" s="3">
        <v>0.03</v>
      </c>
      <c r="K212" s="3">
        <v>0.01</v>
      </c>
      <c r="L212" s="3">
        <v>0.04</v>
      </c>
      <c r="M212" s="2" t="s">
        <v>24</v>
      </c>
      <c r="N212" s="3" t="str" cm="1">
        <f t="array" ref="N212">_xlfn.IFS(G212&gt;=90,"Excellent",G212&gt;=80,"Good",G212&gt;=70,"Average",G212&lt;70,"Poor")</f>
        <v>Poor</v>
      </c>
    </row>
    <row r="213" spans="1:14" x14ac:dyDescent="0.35">
      <c r="A213" s="2">
        <v>212</v>
      </c>
      <c r="B213" s="2" t="s">
        <v>254</v>
      </c>
      <c r="C213" s="2" t="s">
        <v>59</v>
      </c>
      <c r="D213" s="2" t="s">
        <v>51</v>
      </c>
      <c r="E213" s="2" t="s">
        <v>16</v>
      </c>
      <c r="F213" s="2">
        <v>1995</v>
      </c>
      <c r="G213" s="2">
        <v>61</v>
      </c>
      <c r="H213" s="3">
        <v>0.2</v>
      </c>
      <c r="I213" s="3">
        <v>0.09</v>
      </c>
      <c r="J213" s="3">
        <v>0.06</v>
      </c>
      <c r="K213" s="3">
        <v>0.02</v>
      </c>
      <c r="L213" s="3">
        <v>0.03</v>
      </c>
      <c r="M213" s="2" t="s">
        <v>24</v>
      </c>
      <c r="N213" s="3" t="str" cm="1">
        <f t="array" ref="N213">_xlfn.IFS(G213&gt;=90,"Excellent",G213&gt;=80,"Good",G213&gt;=70,"Average",G213&lt;70,"Poor")</f>
        <v>Poor</v>
      </c>
    </row>
    <row r="214" spans="1:14" x14ac:dyDescent="0.35">
      <c r="A214" s="2">
        <v>213</v>
      </c>
      <c r="B214" s="2" t="s">
        <v>255</v>
      </c>
      <c r="C214" s="2" t="s">
        <v>59</v>
      </c>
      <c r="D214" s="2" t="s">
        <v>29</v>
      </c>
      <c r="E214" s="2" t="s">
        <v>60</v>
      </c>
      <c r="F214" s="2">
        <v>1995</v>
      </c>
      <c r="G214" s="2">
        <v>93</v>
      </c>
      <c r="H214" s="3">
        <v>0.11</v>
      </c>
      <c r="I214" s="3">
        <v>0.06</v>
      </c>
      <c r="J214" s="3">
        <v>0.03</v>
      </c>
      <c r="K214" s="3">
        <v>0.01</v>
      </c>
      <c r="L214" s="3">
        <v>0.01</v>
      </c>
      <c r="M214" s="2" t="s">
        <v>24</v>
      </c>
      <c r="N214" s="3" t="str" cm="1">
        <f t="array" ref="N214">_xlfn.IFS(G214&gt;=90,"Excellent",G214&gt;=80,"Good",G214&gt;=70,"Average",G214&lt;70,"Poor")</f>
        <v>Excellent</v>
      </c>
    </row>
    <row r="215" spans="1:14" x14ac:dyDescent="0.35">
      <c r="A215" s="2">
        <v>214</v>
      </c>
      <c r="B215" s="2" t="s">
        <v>256</v>
      </c>
      <c r="C215" s="2" t="s">
        <v>31</v>
      </c>
      <c r="D215" s="2" t="s">
        <v>65</v>
      </c>
      <c r="E215" s="2" t="s">
        <v>54</v>
      </c>
      <c r="F215" s="2">
        <v>2004</v>
      </c>
      <c r="G215" s="2">
        <v>63</v>
      </c>
      <c r="H215" s="3">
        <v>0.41</v>
      </c>
      <c r="I215" s="3">
        <v>0.16</v>
      </c>
      <c r="J215" s="3">
        <v>0.09</v>
      </c>
      <c r="K215" s="3">
        <v>0.04</v>
      </c>
      <c r="L215" s="3">
        <v>0.12</v>
      </c>
      <c r="M215" s="2" t="s">
        <v>24</v>
      </c>
      <c r="N215" s="3" t="str" cm="1">
        <f t="array" ref="N215">_xlfn.IFS(G215&gt;=90,"Excellent",G215&gt;=80,"Good",G215&gt;=70,"Average",G215&lt;70,"Poor")</f>
        <v>Poor</v>
      </c>
    </row>
    <row r="216" spans="1:14" x14ac:dyDescent="0.35">
      <c r="A216" s="2">
        <v>215</v>
      </c>
      <c r="B216" s="2" t="s">
        <v>257</v>
      </c>
      <c r="C216" s="2" t="s">
        <v>14</v>
      </c>
      <c r="D216" s="2" t="s">
        <v>33</v>
      </c>
      <c r="E216" s="2" t="s">
        <v>43</v>
      </c>
      <c r="F216" s="2">
        <v>2013</v>
      </c>
      <c r="G216" s="2">
        <v>95</v>
      </c>
      <c r="H216" s="3">
        <v>0.57999999999999996</v>
      </c>
      <c r="I216" s="3">
        <v>0.26</v>
      </c>
      <c r="J216" s="3">
        <v>0.13</v>
      </c>
      <c r="K216" s="3">
        <v>0.03</v>
      </c>
      <c r="L216" s="3">
        <v>0.16</v>
      </c>
      <c r="M216" s="2" t="s">
        <v>17</v>
      </c>
      <c r="N216" s="3" t="str" cm="1">
        <f t="array" ref="N216">_xlfn.IFS(G216&gt;=90,"Excellent",G216&gt;=80,"Good",G216&gt;=70,"Average",G216&lt;70,"Poor")</f>
        <v>Excellent</v>
      </c>
    </row>
    <row r="217" spans="1:14" x14ac:dyDescent="0.35">
      <c r="A217" s="2">
        <v>216</v>
      </c>
      <c r="B217" s="2" t="s">
        <v>258</v>
      </c>
      <c r="C217" s="2" t="s">
        <v>19</v>
      </c>
      <c r="D217" s="2" t="s">
        <v>2</v>
      </c>
      <c r="E217" s="2" t="s">
        <v>41</v>
      </c>
      <c r="F217" s="2">
        <v>2018</v>
      </c>
      <c r="G217" s="2">
        <v>76</v>
      </c>
      <c r="H217" s="3">
        <v>0.44</v>
      </c>
      <c r="I217" s="3">
        <v>0.21</v>
      </c>
      <c r="J217" s="3">
        <v>0.13</v>
      </c>
      <c r="K217" s="3">
        <v>0.04</v>
      </c>
      <c r="L217" s="3">
        <v>0.06</v>
      </c>
      <c r="M217" s="2" t="s">
        <v>24</v>
      </c>
      <c r="N217" s="3" t="str" cm="1">
        <f t="array" ref="N217">_xlfn.IFS(G217&gt;=90,"Excellent",G217&gt;=80,"Good",G217&gt;=70,"Average",G217&lt;70,"Poor")</f>
        <v>Average</v>
      </c>
    </row>
    <row r="218" spans="1:14" x14ac:dyDescent="0.35">
      <c r="A218" s="2">
        <v>217</v>
      </c>
      <c r="B218" s="2" t="s">
        <v>259</v>
      </c>
      <c r="C218" s="2" t="s">
        <v>23</v>
      </c>
      <c r="D218" s="2" t="s">
        <v>48</v>
      </c>
      <c r="E218" s="2" t="s">
        <v>16</v>
      </c>
      <c r="F218" s="2">
        <v>2025</v>
      </c>
      <c r="G218" s="2">
        <v>80</v>
      </c>
      <c r="H218" s="3">
        <v>2.0499999999999998</v>
      </c>
      <c r="I218" s="3">
        <v>1</v>
      </c>
      <c r="J218" s="3">
        <v>0.56000000000000005</v>
      </c>
      <c r="K218" s="3">
        <v>0.28000000000000003</v>
      </c>
      <c r="L218" s="3">
        <v>0.21</v>
      </c>
      <c r="M218" s="2" t="s">
        <v>27</v>
      </c>
      <c r="N218" s="3" t="str" cm="1">
        <f t="array" ref="N218">_xlfn.IFS(G218&gt;=90,"Excellent",G218&gt;=80,"Good",G218&gt;=70,"Average",G218&lt;70,"Poor")</f>
        <v>Good</v>
      </c>
    </row>
    <row r="219" spans="1:14" x14ac:dyDescent="0.35">
      <c r="A219" s="2">
        <v>218</v>
      </c>
      <c r="B219" s="2" t="s">
        <v>260</v>
      </c>
      <c r="C219" s="2" t="s">
        <v>31</v>
      </c>
      <c r="D219" s="2" t="s">
        <v>45</v>
      </c>
      <c r="E219" s="2" t="s">
        <v>46</v>
      </c>
      <c r="F219" s="2">
        <v>2002</v>
      </c>
      <c r="G219" s="2">
        <v>62</v>
      </c>
      <c r="H219" s="3">
        <v>1.53</v>
      </c>
      <c r="I219" s="3">
        <v>0.84</v>
      </c>
      <c r="J219" s="3">
        <v>0.35</v>
      </c>
      <c r="K219" s="3">
        <v>0.25</v>
      </c>
      <c r="L219" s="3">
        <v>0.09</v>
      </c>
      <c r="M219" s="2" t="s">
        <v>17</v>
      </c>
      <c r="N219" s="3" t="str" cm="1">
        <f t="array" ref="N219">_xlfn.IFS(G219&gt;=90,"Excellent",G219&gt;=80,"Good",G219&gt;=70,"Average",G219&lt;70,"Poor")</f>
        <v>Poor</v>
      </c>
    </row>
    <row r="220" spans="1:14" x14ac:dyDescent="0.35">
      <c r="A220" s="2">
        <v>219</v>
      </c>
      <c r="B220" s="2" t="s">
        <v>261</v>
      </c>
      <c r="C220" s="2" t="s">
        <v>59</v>
      </c>
      <c r="D220" s="2" t="s">
        <v>62</v>
      </c>
      <c r="E220" s="2" t="s">
        <v>52</v>
      </c>
      <c r="F220" s="2">
        <v>2000</v>
      </c>
      <c r="G220" s="2">
        <v>59</v>
      </c>
      <c r="H220" s="3">
        <v>0.31</v>
      </c>
      <c r="I220" s="3">
        <v>0.15</v>
      </c>
      <c r="J220" s="3">
        <v>7.0000000000000007E-2</v>
      </c>
      <c r="K220" s="3">
        <v>0.05</v>
      </c>
      <c r="L220" s="3">
        <v>0.04</v>
      </c>
      <c r="M220" s="2" t="s">
        <v>24</v>
      </c>
      <c r="N220" s="3" t="str" cm="1">
        <f t="array" ref="N220">_xlfn.IFS(G220&gt;=90,"Excellent",G220&gt;=80,"Good",G220&gt;=70,"Average",G220&lt;70,"Poor")</f>
        <v>Poor</v>
      </c>
    </row>
    <row r="221" spans="1:14" x14ac:dyDescent="0.35">
      <c r="A221" s="2">
        <v>220</v>
      </c>
      <c r="B221" s="2" t="s">
        <v>262</v>
      </c>
      <c r="C221" s="2" t="s">
        <v>57</v>
      </c>
      <c r="D221" s="2" t="s">
        <v>45</v>
      </c>
      <c r="E221" s="2" t="s">
        <v>49</v>
      </c>
      <c r="F221" s="2">
        <v>2010</v>
      </c>
      <c r="G221" s="2">
        <v>85</v>
      </c>
      <c r="H221" s="3">
        <v>0.63</v>
      </c>
      <c r="I221" s="3">
        <v>0.34</v>
      </c>
      <c r="J221" s="3">
        <v>0.21</v>
      </c>
      <c r="K221" s="3">
        <v>7.0000000000000007E-2</v>
      </c>
      <c r="L221" s="3">
        <v>0.01</v>
      </c>
      <c r="M221" s="2" t="s">
        <v>17</v>
      </c>
      <c r="N221" s="3" t="str" cm="1">
        <f t="array" ref="N221">_xlfn.IFS(G221&gt;=90,"Excellent",G221&gt;=80,"Good",G221&gt;=70,"Average",G221&lt;70,"Poor")</f>
        <v>Good</v>
      </c>
    </row>
    <row r="222" spans="1:14" x14ac:dyDescent="0.35">
      <c r="A222" s="2">
        <v>221</v>
      </c>
      <c r="B222" s="2" t="s">
        <v>263</v>
      </c>
      <c r="C222" s="2" t="s">
        <v>59</v>
      </c>
      <c r="D222" s="2" t="s">
        <v>65</v>
      </c>
      <c r="E222" s="2" t="s">
        <v>74</v>
      </c>
      <c r="F222" s="2">
        <v>1997</v>
      </c>
      <c r="G222" s="2">
        <v>70</v>
      </c>
      <c r="H222" s="3">
        <v>0.59</v>
      </c>
      <c r="I222" s="3">
        <v>0.28000000000000003</v>
      </c>
      <c r="J222" s="3">
        <v>0.12</v>
      </c>
      <c r="K222" s="3">
        <v>0.12</v>
      </c>
      <c r="L222" s="3">
        <v>7.0000000000000007E-2</v>
      </c>
      <c r="M222" s="2" t="s">
        <v>17</v>
      </c>
      <c r="N222" s="3" t="str" cm="1">
        <f t="array" ref="N222">_xlfn.IFS(G222&gt;=90,"Excellent",G222&gt;=80,"Good",G222&gt;=70,"Average",G222&lt;70,"Poor")</f>
        <v>Average</v>
      </c>
    </row>
    <row r="223" spans="1:14" x14ac:dyDescent="0.35">
      <c r="A223" s="2">
        <v>222</v>
      </c>
      <c r="B223" s="2" t="s">
        <v>264</v>
      </c>
      <c r="C223" s="2" t="s">
        <v>57</v>
      </c>
      <c r="D223" s="2" t="s">
        <v>45</v>
      </c>
      <c r="E223" s="2" t="s">
        <v>43</v>
      </c>
      <c r="F223" s="2">
        <v>2014</v>
      </c>
      <c r="G223" s="2">
        <v>55</v>
      </c>
      <c r="H223" s="3">
        <v>0.22</v>
      </c>
      <c r="I223" s="3">
        <v>0.11</v>
      </c>
      <c r="J223" s="3">
        <v>0.06</v>
      </c>
      <c r="K223" s="3">
        <v>0.03</v>
      </c>
      <c r="L223" s="3">
        <v>0.02</v>
      </c>
      <c r="M223" s="2" t="s">
        <v>24</v>
      </c>
      <c r="N223" s="3" t="str" cm="1">
        <f t="array" ref="N223">_xlfn.IFS(G223&gt;=90,"Excellent",G223&gt;=80,"Good",G223&gt;=70,"Average",G223&lt;70,"Poor")</f>
        <v>Poor</v>
      </c>
    </row>
    <row r="224" spans="1:14" x14ac:dyDescent="0.35">
      <c r="A224" s="2">
        <v>223</v>
      </c>
      <c r="B224" s="2" t="s">
        <v>265</v>
      </c>
      <c r="C224" s="2" t="s">
        <v>31</v>
      </c>
      <c r="D224" s="2" t="s">
        <v>29</v>
      </c>
      <c r="E224" s="2" t="s">
        <v>41</v>
      </c>
      <c r="F224" s="2">
        <v>2003</v>
      </c>
      <c r="G224" s="2">
        <v>87</v>
      </c>
      <c r="H224" s="3">
        <v>0.64</v>
      </c>
      <c r="I224" s="3">
        <v>0.34</v>
      </c>
      <c r="J224" s="3">
        <v>0.14000000000000001</v>
      </c>
      <c r="K224" s="3">
        <v>0.11</v>
      </c>
      <c r="L224" s="3">
        <v>0.05</v>
      </c>
      <c r="M224" s="2" t="s">
        <v>17</v>
      </c>
      <c r="N224" s="3" t="str" cm="1">
        <f t="array" ref="N224">_xlfn.IFS(G224&gt;=90,"Excellent",G224&gt;=80,"Good",G224&gt;=70,"Average",G224&lt;70,"Poor")</f>
        <v>Good</v>
      </c>
    </row>
    <row r="225" spans="1:14" x14ac:dyDescent="0.35">
      <c r="A225" s="2">
        <v>224</v>
      </c>
      <c r="B225" s="2" t="s">
        <v>266</v>
      </c>
      <c r="C225" s="2" t="s">
        <v>57</v>
      </c>
      <c r="D225" s="2" t="s">
        <v>29</v>
      </c>
      <c r="E225" s="2" t="s">
        <v>46</v>
      </c>
      <c r="F225" s="2">
        <v>2006</v>
      </c>
      <c r="G225" s="2">
        <v>68</v>
      </c>
      <c r="H225" s="3">
        <v>0.5</v>
      </c>
      <c r="I225" s="3">
        <v>0.18</v>
      </c>
      <c r="J225" s="3">
        <v>0.15</v>
      </c>
      <c r="K225" s="3">
        <v>0.06</v>
      </c>
      <c r="L225" s="3">
        <v>0.11</v>
      </c>
      <c r="M225" s="2" t="s">
        <v>24</v>
      </c>
      <c r="N225" s="3" t="str" cm="1">
        <f t="array" ref="N225">_xlfn.IFS(G225&gt;=90,"Excellent",G225&gt;=80,"Good",G225&gt;=70,"Average",G225&lt;70,"Poor")</f>
        <v>Poor</v>
      </c>
    </row>
    <row r="226" spans="1:14" x14ac:dyDescent="0.35">
      <c r="A226" s="2">
        <v>225</v>
      </c>
      <c r="B226" s="2" t="s">
        <v>267</v>
      </c>
      <c r="C226" s="2" t="s">
        <v>59</v>
      </c>
      <c r="D226" s="2" t="s">
        <v>15</v>
      </c>
      <c r="E226" s="2" t="s">
        <v>49</v>
      </c>
      <c r="F226" s="2">
        <v>1997</v>
      </c>
      <c r="G226" s="2">
        <v>96</v>
      </c>
      <c r="H226" s="3">
        <v>0.43</v>
      </c>
      <c r="I226" s="3">
        <v>0.18</v>
      </c>
      <c r="J226" s="3">
        <v>0.11</v>
      </c>
      <c r="K226" s="3">
        <v>0.05</v>
      </c>
      <c r="L226" s="3">
        <v>0.09</v>
      </c>
      <c r="M226" s="2" t="s">
        <v>24</v>
      </c>
      <c r="N226" s="3" t="str" cm="1">
        <f t="array" ref="N226">_xlfn.IFS(G226&gt;=90,"Excellent",G226&gt;=80,"Good",G226&gt;=70,"Average",G226&lt;70,"Poor")</f>
        <v>Excellent</v>
      </c>
    </row>
    <row r="227" spans="1:14" x14ac:dyDescent="0.35">
      <c r="A227" s="2">
        <v>226</v>
      </c>
      <c r="B227" s="2" t="s">
        <v>268</v>
      </c>
      <c r="C227" s="2" t="s">
        <v>64</v>
      </c>
      <c r="D227" s="2" t="s">
        <v>37</v>
      </c>
      <c r="E227" s="2" t="s">
        <v>54</v>
      </c>
      <c r="F227" s="2">
        <v>2017</v>
      </c>
      <c r="G227" s="2">
        <v>56</v>
      </c>
      <c r="H227" s="3">
        <v>0.26</v>
      </c>
      <c r="I227" s="3">
        <v>0.09</v>
      </c>
      <c r="J227" s="3">
        <v>0.06</v>
      </c>
      <c r="K227" s="3">
        <v>0.02</v>
      </c>
      <c r="L227" s="3">
        <v>0.09</v>
      </c>
      <c r="M227" s="2" t="s">
        <v>24</v>
      </c>
      <c r="N227" s="3" t="str" cm="1">
        <f t="array" ref="N227">_xlfn.IFS(G227&gt;=90,"Excellent",G227&gt;=80,"Good",G227&gt;=70,"Average",G227&lt;70,"Poor")</f>
        <v>Poor</v>
      </c>
    </row>
    <row r="228" spans="1:14" x14ac:dyDescent="0.35">
      <c r="A228" s="2">
        <v>227</v>
      </c>
      <c r="B228" s="2" t="s">
        <v>269</v>
      </c>
      <c r="C228" s="2" t="s">
        <v>57</v>
      </c>
      <c r="D228" s="2" t="s">
        <v>2</v>
      </c>
      <c r="E228" s="2" t="s">
        <v>49</v>
      </c>
      <c r="F228" s="2">
        <v>2005</v>
      </c>
      <c r="G228" s="2">
        <v>78</v>
      </c>
      <c r="H228" s="3">
        <v>0.28999999999999998</v>
      </c>
      <c r="I228" s="3">
        <v>0.12</v>
      </c>
      <c r="J228" s="3">
        <v>0.1</v>
      </c>
      <c r="K228" s="3">
        <v>0.04</v>
      </c>
      <c r="L228" s="3">
        <v>0.03</v>
      </c>
      <c r="M228" s="2" t="s">
        <v>24</v>
      </c>
      <c r="N228" s="3" t="str" cm="1">
        <f t="array" ref="N228">_xlfn.IFS(G228&gt;=90,"Excellent",G228&gt;=80,"Good",G228&gt;=70,"Average",G228&lt;70,"Poor")</f>
        <v>Average</v>
      </c>
    </row>
    <row r="229" spans="1:14" x14ac:dyDescent="0.35">
      <c r="A229" s="2">
        <v>228</v>
      </c>
      <c r="B229" s="2" t="s">
        <v>270</v>
      </c>
      <c r="C229" s="2" t="s">
        <v>57</v>
      </c>
      <c r="D229" s="2" t="s">
        <v>2</v>
      </c>
      <c r="E229" s="2" t="s">
        <v>41</v>
      </c>
      <c r="F229" s="2">
        <v>2009</v>
      </c>
      <c r="G229" s="2">
        <v>92</v>
      </c>
      <c r="H229" s="3">
        <v>0.19</v>
      </c>
      <c r="I229" s="3">
        <v>0.08</v>
      </c>
      <c r="J229" s="3">
        <v>0.04</v>
      </c>
      <c r="K229" s="3">
        <v>0.03</v>
      </c>
      <c r="L229" s="3">
        <v>0.04</v>
      </c>
      <c r="M229" s="2" t="s">
        <v>24</v>
      </c>
      <c r="N229" s="3" t="str" cm="1">
        <f t="array" ref="N229">_xlfn.IFS(G229&gt;=90,"Excellent",G229&gt;=80,"Good",G229&gt;=70,"Average",G229&lt;70,"Poor")</f>
        <v>Excellent</v>
      </c>
    </row>
    <row r="230" spans="1:14" x14ac:dyDescent="0.35">
      <c r="A230" s="2">
        <v>229</v>
      </c>
      <c r="B230" s="2" t="s">
        <v>271</v>
      </c>
      <c r="C230" s="2" t="s">
        <v>64</v>
      </c>
      <c r="D230" s="2" t="s">
        <v>2</v>
      </c>
      <c r="E230" s="2" t="s">
        <v>74</v>
      </c>
      <c r="F230" s="2">
        <v>2015</v>
      </c>
      <c r="G230" s="2">
        <v>75</v>
      </c>
      <c r="H230" s="3">
        <v>0.13</v>
      </c>
      <c r="I230" s="3">
        <v>0.05</v>
      </c>
      <c r="J230" s="3">
        <v>0.04</v>
      </c>
      <c r="K230" s="3">
        <v>0.02</v>
      </c>
      <c r="L230" s="3">
        <v>0.02</v>
      </c>
      <c r="M230" s="2" t="s">
        <v>24</v>
      </c>
      <c r="N230" s="3" t="str" cm="1">
        <f t="array" ref="N230">_xlfn.IFS(G230&gt;=90,"Excellent",G230&gt;=80,"Good",G230&gt;=70,"Average",G230&lt;70,"Poor")</f>
        <v>Average</v>
      </c>
    </row>
    <row r="231" spans="1:14" x14ac:dyDescent="0.35">
      <c r="A231" s="2">
        <v>230</v>
      </c>
      <c r="B231" s="2" t="s">
        <v>272</v>
      </c>
      <c r="C231" s="2" t="s">
        <v>19</v>
      </c>
      <c r="D231" s="2" t="s">
        <v>2</v>
      </c>
      <c r="E231" s="2" t="s">
        <v>41</v>
      </c>
      <c r="F231" s="2">
        <v>2015</v>
      </c>
      <c r="G231" s="2">
        <v>86</v>
      </c>
      <c r="H231" s="3">
        <v>1.6</v>
      </c>
      <c r="I231" s="3">
        <v>0.77</v>
      </c>
      <c r="J231" s="3">
        <v>0.56000000000000005</v>
      </c>
      <c r="K231" s="3">
        <v>0.21</v>
      </c>
      <c r="L231" s="3">
        <v>0.06</v>
      </c>
      <c r="M231" s="2" t="s">
        <v>17</v>
      </c>
      <c r="N231" s="3" t="str" cm="1">
        <f t="array" ref="N231">_xlfn.IFS(G231&gt;=90,"Excellent",G231&gt;=80,"Good",G231&gt;=70,"Average",G231&lt;70,"Poor")</f>
        <v>Good</v>
      </c>
    </row>
    <row r="232" spans="1:14" x14ac:dyDescent="0.35">
      <c r="A232" s="2">
        <v>231</v>
      </c>
      <c r="B232" s="2" t="s">
        <v>273</v>
      </c>
      <c r="C232" s="2" t="s">
        <v>19</v>
      </c>
      <c r="D232" s="2" t="s">
        <v>37</v>
      </c>
      <c r="E232" s="2" t="s">
        <v>54</v>
      </c>
      <c r="F232" s="2">
        <v>2017</v>
      </c>
      <c r="G232" s="2">
        <v>94</v>
      </c>
      <c r="H232" s="3">
        <v>0.28000000000000003</v>
      </c>
      <c r="I232" s="3">
        <v>0.1</v>
      </c>
      <c r="J232" s="3">
        <v>0.06</v>
      </c>
      <c r="K232" s="3">
        <v>0.05</v>
      </c>
      <c r="L232" s="3">
        <v>7.0000000000000007E-2</v>
      </c>
      <c r="M232" s="2" t="s">
        <v>24</v>
      </c>
      <c r="N232" s="3" t="str" cm="1">
        <f t="array" ref="N232">_xlfn.IFS(G232&gt;=90,"Excellent",G232&gt;=80,"Good",G232&gt;=70,"Average",G232&lt;70,"Poor")</f>
        <v>Excellent</v>
      </c>
    </row>
    <row r="233" spans="1:14" x14ac:dyDescent="0.35">
      <c r="A233" s="2">
        <v>232</v>
      </c>
      <c r="B233" s="2" t="s">
        <v>274</v>
      </c>
      <c r="C233" s="2" t="s">
        <v>23</v>
      </c>
      <c r="D233" s="2" t="s">
        <v>62</v>
      </c>
      <c r="E233" s="2" t="s">
        <v>41</v>
      </c>
      <c r="F233" s="2">
        <v>2024</v>
      </c>
      <c r="G233" s="2">
        <v>83</v>
      </c>
      <c r="H233" s="3">
        <v>0.72</v>
      </c>
      <c r="I233" s="3">
        <v>0.26</v>
      </c>
      <c r="J233" s="3">
        <v>0.23</v>
      </c>
      <c r="K233" s="3">
        <v>7.0000000000000007E-2</v>
      </c>
      <c r="L233" s="3">
        <v>0.16</v>
      </c>
      <c r="M233" s="2" t="s">
        <v>17</v>
      </c>
      <c r="N233" s="3" t="str" cm="1">
        <f t="array" ref="N233">_xlfn.IFS(G233&gt;=90,"Excellent",G233&gt;=80,"Good",G233&gt;=70,"Average",G233&lt;70,"Poor")</f>
        <v>Good</v>
      </c>
    </row>
    <row r="234" spans="1:14" x14ac:dyDescent="0.35">
      <c r="A234" s="2">
        <v>233</v>
      </c>
      <c r="B234" s="2" t="s">
        <v>275</v>
      </c>
      <c r="C234" s="2" t="s">
        <v>14</v>
      </c>
      <c r="D234" s="2" t="s">
        <v>65</v>
      </c>
      <c r="E234" s="2" t="s">
        <v>46</v>
      </c>
      <c r="F234" s="2">
        <v>2009</v>
      </c>
      <c r="G234" s="2">
        <v>91</v>
      </c>
      <c r="H234" s="3">
        <v>2.92</v>
      </c>
      <c r="I234" s="3">
        <v>1.34</v>
      </c>
      <c r="J234" s="3">
        <v>0.63</v>
      </c>
      <c r="K234" s="3">
        <v>0.2</v>
      </c>
      <c r="L234" s="3">
        <v>0.75</v>
      </c>
      <c r="M234" s="2" t="s">
        <v>27</v>
      </c>
      <c r="N234" s="3" t="str" cm="1">
        <f t="array" ref="N234">_xlfn.IFS(G234&gt;=90,"Excellent",G234&gt;=80,"Good",G234&gt;=70,"Average",G234&lt;70,"Poor")</f>
        <v>Excellent</v>
      </c>
    </row>
    <row r="235" spans="1:14" x14ac:dyDescent="0.35">
      <c r="A235" s="2">
        <v>234</v>
      </c>
      <c r="B235" s="2" t="s">
        <v>276</v>
      </c>
      <c r="C235" s="2" t="s">
        <v>64</v>
      </c>
      <c r="D235" s="2" t="s">
        <v>29</v>
      </c>
      <c r="E235" s="2" t="s">
        <v>60</v>
      </c>
      <c r="F235" s="2">
        <v>2019</v>
      </c>
      <c r="G235" s="2">
        <v>89</v>
      </c>
      <c r="H235" s="3">
        <v>0.14000000000000001</v>
      </c>
      <c r="I235" s="3">
        <v>7.0000000000000007E-2</v>
      </c>
      <c r="J235" s="3">
        <v>0.04</v>
      </c>
      <c r="K235" s="3">
        <v>0.01</v>
      </c>
      <c r="L235" s="3">
        <v>0.02</v>
      </c>
      <c r="M235" s="2" t="s">
        <v>24</v>
      </c>
      <c r="N235" s="3" t="str" cm="1">
        <f t="array" ref="N235">_xlfn.IFS(G235&gt;=90,"Excellent",G235&gt;=80,"Good",G235&gt;=70,"Average",G235&lt;70,"Poor")</f>
        <v>Good</v>
      </c>
    </row>
    <row r="236" spans="1:14" x14ac:dyDescent="0.35">
      <c r="A236" s="2">
        <v>235</v>
      </c>
      <c r="B236" s="2" t="s">
        <v>277</v>
      </c>
      <c r="C236" s="2" t="s">
        <v>64</v>
      </c>
      <c r="D236" s="2" t="s">
        <v>62</v>
      </c>
      <c r="E236" s="2" t="s">
        <v>46</v>
      </c>
      <c r="F236" s="2">
        <v>2011</v>
      </c>
      <c r="G236" s="2">
        <v>83</v>
      </c>
      <c r="H236" s="3">
        <v>0.54</v>
      </c>
      <c r="I236" s="3">
        <v>0.27</v>
      </c>
      <c r="J236" s="3">
        <v>0.16</v>
      </c>
      <c r="K236" s="3">
        <v>0.1</v>
      </c>
      <c r="L236" s="3">
        <v>0.01</v>
      </c>
      <c r="M236" s="2" t="s">
        <v>17</v>
      </c>
      <c r="N236" s="3" t="str" cm="1">
        <f t="array" ref="N236">_xlfn.IFS(G236&gt;=90,"Excellent",G236&gt;=80,"Good",G236&gt;=70,"Average",G236&lt;70,"Poor")</f>
        <v>Good</v>
      </c>
    </row>
    <row r="237" spans="1:14" x14ac:dyDescent="0.35">
      <c r="A237" s="2">
        <v>236</v>
      </c>
      <c r="B237" s="2" t="s">
        <v>278</v>
      </c>
      <c r="C237" s="2" t="s">
        <v>23</v>
      </c>
      <c r="D237" s="2" t="s">
        <v>45</v>
      </c>
      <c r="E237" s="2" t="s">
        <v>54</v>
      </c>
      <c r="F237" s="2">
        <v>2025</v>
      </c>
      <c r="G237" s="2">
        <v>68</v>
      </c>
      <c r="H237" s="3">
        <v>0.93</v>
      </c>
      <c r="I237" s="3">
        <v>0.44</v>
      </c>
      <c r="J237" s="3">
        <v>0.21</v>
      </c>
      <c r="K237" s="3">
        <v>0.18</v>
      </c>
      <c r="L237" s="3">
        <v>0.1</v>
      </c>
      <c r="M237" s="2" t="s">
        <v>17</v>
      </c>
      <c r="N237" s="3" t="str" cm="1">
        <f t="array" ref="N237">_xlfn.IFS(G237&gt;=90,"Excellent",G237&gt;=80,"Good",G237&gt;=70,"Average",G237&lt;70,"Poor")</f>
        <v>Poor</v>
      </c>
    </row>
    <row r="238" spans="1:14" x14ac:dyDescent="0.35">
      <c r="A238" s="2">
        <v>237</v>
      </c>
      <c r="B238" s="2" t="s">
        <v>279</v>
      </c>
      <c r="C238" s="2" t="s">
        <v>14</v>
      </c>
      <c r="D238" s="2" t="s">
        <v>2</v>
      </c>
      <c r="E238" s="2" t="s">
        <v>46</v>
      </c>
      <c r="F238" s="2">
        <v>2010</v>
      </c>
      <c r="G238" s="2">
        <v>63</v>
      </c>
      <c r="H238" s="3">
        <v>1.1299999999999999</v>
      </c>
      <c r="I238" s="3">
        <v>0.59</v>
      </c>
      <c r="J238" s="3">
        <v>0.27</v>
      </c>
      <c r="K238" s="3">
        <v>0.18</v>
      </c>
      <c r="L238" s="3">
        <v>0.09</v>
      </c>
      <c r="M238" s="2" t="s">
        <v>17</v>
      </c>
      <c r="N238" s="3" t="str" cm="1">
        <f t="array" ref="N238">_xlfn.IFS(G238&gt;=90,"Excellent",G238&gt;=80,"Good",G238&gt;=70,"Average",G238&lt;70,"Poor")</f>
        <v>Poor</v>
      </c>
    </row>
    <row r="239" spans="1:14" x14ac:dyDescent="0.35">
      <c r="A239" s="2">
        <v>238</v>
      </c>
      <c r="B239" s="2" t="s">
        <v>280</v>
      </c>
      <c r="C239" s="2" t="s">
        <v>64</v>
      </c>
      <c r="D239" s="2" t="s">
        <v>45</v>
      </c>
      <c r="E239" s="2" t="s">
        <v>16</v>
      </c>
      <c r="F239" s="2">
        <v>2014</v>
      </c>
      <c r="G239" s="2">
        <v>95</v>
      </c>
      <c r="H239" s="3">
        <v>0.16</v>
      </c>
      <c r="I239" s="3">
        <v>7.0000000000000007E-2</v>
      </c>
      <c r="J239" s="3">
        <v>0.05</v>
      </c>
      <c r="K239" s="3">
        <v>0.03</v>
      </c>
      <c r="L239" s="3">
        <v>0.01</v>
      </c>
      <c r="M239" s="2" t="s">
        <v>24</v>
      </c>
      <c r="N239" s="3" t="str" cm="1">
        <f t="array" ref="N239">_xlfn.IFS(G239&gt;=90,"Excellent",G239&gt;=80,"Good",G239&gt;=70,"Average",G239&lt;70,"Poor")</f>
        <v>Excellent</v>
      </c>
    </row>
    <row r="240" spans="1:14" x14ac:dyDescent="0.35">
      <c r="A240" s="2">
        <v>239</v>
      </c>
      <c r="B240" s="2" t="s">
        <v>281</v>
      </c>
      <c r="C240" s="2" t="s">
        <v>59</v>
      </c>
      <c r="D240" s="2" t="s">
        <v>65</v>
      </c>
      <c r="E240" s="2" t="s">
        <v>46</v>
      </c>
      <c r="F240" s="2">
        <v>1998</v>
      </c>
      <c r="G240" s="2">
        <v>86</v>
      </c>
      <c r="H240" s="3">
        <v>1.97</v>
      </c>
      <c r="I240" s="3">
        <v>0.98</v>
      </c>
      <c r="J240" s="3">
        <v>0.53</v>
      </c>
      <c r="K240" s="3">
        <v>0.28999999999999998</v>
      </c>
      <c r="L240" s="3">
        <v>0.17</v>
      </c>
      <c r="M240" s="2" t="s">
        <v>17</v>
      </c>
      <c r="N240" s="3" t="str" cm="1">
        <f t="array" ref="N240">_xlfn.IFS(G240&gt;=90,"Excellent",G240&gt;=80,"Good",G240&gt;=70,"Average",G240&lt;70,"Poor")</f>
        <v>Good</v>
      </c>
    </row>
    <row r="241" spans="1:14" x14ac:dyDescent="0.35">
      <c r="A241" s="2">
        <v>240</v>
      </c>
      <c r="B241" s="2" t="s">
        <v>282</v>
      </c>
      <c r="C241" s="2" t="s">
        <v>14</v>
      </c>
      <c r="D241" s="2" t="s">
        <v>65</v>
      </c>
      <c r="E241" s="2" t="s">
        <v>41</v>
      </c>
      <c r="F241" s="2">
        <v>2007</v>
      </c>
      <c r="G241" s="2">
        <v>68</v>
      </c>
      <c r="H241" s="3">
        <v>0.57999999999999996</v>
      </c>
      <c r="I241" s="3">
        <v>0.24</v>
      </c>
      <c r="J241" s="3">
        <v>0.16</v>
      </c>
      <c r="K241" s="3">
        <v>0.04</v>
      </c>
      <c r="L241" s="3">
        <v>0.14000000000000001</v>
      </c>
      <c r="M241" s="2" t="s">
        <v>17</v>
      </c>
      <c r="N241" s="3" t="str" cm="1">
        <f t="array" ref="N241">_xlfn.IFS(G241&gt;=90,"Excellent",G241&gt;=80,"Good",G241&gt;=70,"Average",G241&lt;70,"Poor")</f>
        <v>Poor</v>
      </c>
    </row>
    <row r="242" spans="1:14" x14ac:dyDescent="0.35">
      <c r="A242" s="2">
        <v>241</v>
      </c>
      <c r="B242" s="2" t="s">
        <v>283</v>
      </c>
      <c r="C242" s="2" t="s">
        <v>64</v>
      </c>
      <c r="D242" s="2" t="s">
        <v>29</v>
      </c>
      <c r="E242" s="2" t="s">
        <v>20</v>
      </c>
      <c r="F242" s="2">
        <v>2018</v>
      </c>
      <c r="G242" s="2">
        <v>95</v>
      </c>
      <c r="H242" s="3">
        <v>0.66</v>
      </c>
      <c r="I242" s="3">
        <v>0.25</v>
      </c>
      <c r="J242" s="3">
        <v>0.22</v>
      </c>
      <c r="K242" s="3">
        <v>0.08</v>
      </c>
      <c r="L242" s="3">
        <v>0.11</v>
      </c>
      <c r="M242" s="2" t="s">
        <v>17</v>
      </c>
      <c r="N242" s="3" t="str" cm="1">
        <f t="array" ref="N242">_xlfn.IFS(G242&gt;=90,"Excellent",G242&gt;=80,"Good",G242&gt;=70,"Average",G242&lt;70,"Poor")</f>
        <v>Excellent</v>
      </c>
    </row>
    <row r="243" spans="1:14" x14ac:dyDescent="0.35">
      <c r="A243" s="2">
        <v>242</v>
      </c>
      <c r="B243" s="2" t="s">
        <v>284</v>
      </c>
      <c r="C243" s="2" t="s">
        <v>59</v>
      </c>
      <c r="D243" s="2" t="s">
        <v>48</v>
      </c>
      <c r="E243" s="2" t="s">
        <v>54</v>
      </c>
      <c r="F243" s="2">
        <v>1998</v>
      </c>
      <c r="G243" s="2">
        <v>72</v>
      </c>
      <c r="H243" s="3">
        <v>0.15</v>
      </c>
      <c r="I243" s="3">
        <v>0.05</v>
      </c>
      <c r="J243" s="3">
        <v>0.04</v>
      </c>
      <c r="K243" s="3">
        <v>0.02</v>
      </c>
      <c r="L243" s="3">
        <v>0.04</v>
      </c>
      <c r="M243" s="2" t="s">
        <v>24</v>
      </c>
      <c r="N243" s="3" t="str" cm="1">
        <f t="array" ref="N243">_xlfn.IFS(G243&gt;=90,"Excellent",G243&gt;=80,"Good",G243&gt;=70,"Average",G243&lt;70,"Poor")</f>
        <v>Average</v>
      </c>
    </row>
    <row r="244" spans="1:14" x14ac:dyDescent="0.35">
      <c r="A244" s="2">
        <v>243</v>
      </c>
      <c r="B244" s="2" t="s">
        <v>285</v>
      </c>
      <c r="C244" s="2" t="s">
        <v>59</v>
      </c>
      <c r="D244" s="2" t="s">
        <v>51</v>
      </c>
      <c r="E244" s="2" t="s">
        <v>52</v>
      </c>
      <c r="F244" s="2">
        <v>1998</v>
      </c>
      <c r="G244" s="2">
        <v>61</v>
      </c>
      <c r="H244" s="3">
        <v>0.19</v>
      </c>
      <c r="I244" s="3">
        <v>0.09</v>
      </c>
      <c r="J244" s="3">
        <v>0.04</v>
      </c>
      <c r="K244" s="3">
        <v>0.03</v>
      </c>
      <c r="L244" s="3">
        <v>0.03</v>
      </c>
      <c r="M244" s="2" t="s">
        <v>24</v>
      </c>
      <c r="N244" s="3" t="str" cm="1">
        <f t="array" ref="N244">_xlfn.IFS(G244&gt;=90,"Excellent",G244&gt;=80,"Good",G244&gt;=70,"Average",G244&lt;70,"Poor")</f>
        <v>Poor</v>
      </c>
    </row>
    <row r="245" spans="1:14" x14ac:dyDescent="0.35">
      <c r="A245" s="2">
        <v>244</v>
      </c>
      <c r="B245" s="2" t="s">
        <v>286</v>
      </c>
      <c r="C245" s="2" t="s">
        <v>64</v>
      </c>
      <c r="D245" s="2" t="s">
        <v>45</v>
      </c>
      <c r="E245" s="2" t="s">
        <v>54</v>
      </c>
      <c r="F245" s="2">
        <v>2012</v>
      </c>
      <c r="G245" s="2">
        <v>69</v>
      </c>
      <c r="H245" s="3">
        <v>0.15</v>
      </c>
      <c r="I245" s="3">
        <v>0.06</v>
      </c>
      <c r="J245" s="3">
        <v>0.04</v>
      </c>
      <c r="K245" s="3">
        <v>0.03</v>
      </c>
      <c r="L245" s="3">
        <v>0.02</v>
      </c>
      <c r="M245" s="2" t="s">
        <v>24</v>
      </c>
      <c r="N245" s="3" t="str" cm="1">
        <f t="array" ref="N245">_xlfn.IFS(G245&gt;=90,"Excellent",G245&gt;=80,"Good",G245&gt;=70,"Average",G245&lt;70,"Poor")</f>
        <v>Poor</v>
      </c>
    </row>
    <row r="246" spans="1:14" x14ac:dyDescent="0.35">
      <c r="A246" s="2">
        <v>245</v>
      </c>
      <c r="B246" s="2" t="s">
        <v>287</v>
      </c>
      <c r="C246" s="2" t="s">
        <v>31</v>
      </c>
      <c r="D246" s="2" t="s">
        <v>37</v>
      </c>
      <c r="E246" s="2" t="s">
        <v>54</v>
      </c>
      <c r="F246" s="2">
        <v>2003</v>
      </c>
      <c r="G246" s="2">
        <v>91</v>
      </c>
      <c r="H246" s="3">
        <v>0.48</v>
      </c>
      <c r="I246" s="3">
        <v>0.23</v>
      </c>
      <c r="J246" s="3">
        <v>0.11</v>
      </c>
      <c r="K246" s="3">
        <v>0.05</v>
      </c>
      <c r="L246" s="3">
        <v>0.09</v>
      </c>
      <c r="M246" s="2" t="s">
        <v>24</v>
      </c>
      <c r="N246" s="3" t="str" cm="1">
        <f t="array" ref="N246">_xlfn.IFS(G246&gt;=90,"Excellent",G246&gt;=80,"Good",G246&gt;=70,"Average",G246&lt;70,"Poor")</f>
        <v>Excellent</v>
      </c>
    </row>
    <row r="247" spans="1:14" x14ac:dyDescent="0.35">
      <c r="A247" s="2">
        <v>246</v>
      </c>
      <c r="B247" s="2" t="s">
        <v>288</v>
      </c>
      <c r="C247" s="2" t="s">
        <v>57</v>
      </c>
      <c r="D247" s="2" t="s">
        <v>48</v>
      </c>
      <c r="E247" s="2" t="s">
        <v>49</v>
      </c>
      <c r="F247" s="2">
        <v>2011</v>
      </c>
      <c r="G247" s="2">
        <v>62</v>
      </c>
      <c r="H247" s="3">
        <v>0.6</v>
      </c>
      <c r="I247" s="3">
        <v>0.33</v>
      </c>
      <c r="J247" s="3">
        <v>0.15</v>
      </c>
      <c r="K247" s="3">
        <v>0.04</v>
      </c>
      <c r="L247" s="3">
        <v>0.08</v>
      </c>
      <c r="M247" s="2" t="s">
        <v>17</v>
      </c>
      <c r="N247" s="3" t="str" cm="1">
        <f t="array" ref="N247">_xlfn.IFS(G247&gt;=90,"Excellent",G247&gt;=80,"Good",G247&gt;=70,"Average",G247&lt;70,"Poor")</f>
        <v>Poor</v>
      </c>
    </row>
    <row r="248" spans="1:14" x14ac:dyDescent="0.35">
      <c r="A248" s="2">
        <v>247</v>
      </c>
      <c r="B248" s="2" t="s">
        <v>289</v>
      </c>
      <c r="C248" s="2" t="s">
        <v>14</v>
      </c>
      <c r="D248" s="2" t="s">
        <v>48</v>
      </c>
      <c r="E248" s="2" t="s">
        <v>60</v>
      </c>
      <c r="F248" s="2">
        <v>2007</v>
      </c>
      <c r="G248" s="2">
        <v>93</v>
      </c>
      <c r="H248" s="3">
        <v>1.22</v>
      </c>
      <c r="I248" s="3">
        <v>0.57999999999999996</v>
      </c>
      <c r="J248" s="3">
        <v>0.28000000000000003</v>
      </c>
      <c r="K248" s="3">
        <v>0.13</v>
      </c>
      <c r="L248" s="3">
        <v>0.23</v>
      </c>
      <c r="M248" s="2" t="s">
        <v>17</v>
      </c>
      <c r="N248" s="3" t="str" cm="1">
        <f t="array" ref="N248">_xlfn.IFS(G248&gt;=90,"Excellent",G248&gt;=80,"Good",G248&gt;=70,"Average",G248&lt;70,"Poor")</f>
        <v>Excellent</v>
      </c>
    </row>
    <row r="249" spans="1:14" x14ac:dyDescent="0.35">
      <c r="A249" s="2">
        <v>248</v>
      </c>
      <c r="B249" s="2" t="s">
        <v>290</v>
      </c>
      <c r="C249" s="2" t="s">
        <v>57</v>
      </c>
      <c r="D249" s="2" t="s">
        <v>48</v>
      </c>
      <c r="E249" s="2" t="s">
        <v>16</v>
      </c>
      <c r="F249" s="2">
        <v>2004</v>
      </c>
      <c r="G249" s="2">
        <v>70</v>
      </c>
      <c r="H249" s="3">
        <v>0.49</v>
      </c>
      <c r="I249" s="3">
        <v>0.22</v>
      </c>
      <c r="J249" s="3">
        <v>0.17</v>
      </c>
      <c r="K249" s="3">
        <v>0.1</v>
      </c>
      <c r="L249" s="3">
        <v>0</v>
      </c>
      <c r="M249" s="2" t="s">
        <v>24</v>
      </c>
      <c r="N249" s="3" t="str" cm="1">
        <f t="array" ref="N249">_xlfn.IFS(G249&gt;=90,"Excellent",G249&gt;=80,"Good",G249&gt;=70,"Average",G249&lt;70,"Poor")</f>
        <v>Average</v>
      </c>
    </row>
    <row r="250" spans="1:14" x14ac:dyDescent="0.35">
      <c r="A250" s="2">
        <v>249</v>
      </c>
      <c r="B250" s="2" t="s">
        <v>291</v>
      </c>
      <c r="C250" s="2" t="s">
        <v>14</v>
      </c>
      <c r="D250" s="2" t="s">
        <v>45</v>
      </c>
      <c r="E250" s="2" t="s">
        <v>74</v>
      </c>
      <c r="F250" s="2">
        <v>2008</v>
      </c>
      <c r="G250" s="2">
        <v>89</v>
      </c>
      <c r="H250" s="3">
        <v>1.94</v>
      </c>
      <c r="I250" s="3">
        <v>1.05</v>
      </c>
      <c r="J250" s="3">
        <v>0.61</v>
      </c>
      <c r="K250" s="3">
        <v>0.1</v>
      </c>
      <c r="L250" s="3">
        <v>0.18</v>
      </c>
      <c r="M250" s="2" t="s">
        <v>17</v>
      </c>
      <c r="N250" s="3" t="str" cm="1">
        <f t="array" ref="N250">_xlfn.IFS(G250&gt;=90,"Excellent",G250&gt;=80,"Good",G250&gt;=70,"Average",G250&lt;70,"Poor")</f>
        <v>Good</v>
      </c>
    </row>
    <row r="251" spans="1:14" x14ac:dyDescent="0.35">
      <c r="A251" s="2">
        <v>250</v>
      </c>
      <c r="B251" s="2" t="s">
        <v>292</v>
      </c>
      <c r="C251" s="2" t="s">
        <v>59</v>
      </c>
      <c r="D251" s="2" t="s">
        <v>51</v>
      </c>
      <c r="E251" s="2" t="s">
        <v>52</v>
      </c>
      <c r="F251" s="2">
        <v>1995</v>
      </c>
      <c r="G251" s="2">
        <v>80</v>
      </c>
      <c r="H251" s="3">
        <v>0.42</v>
      </c>
      <c r="I251" s="3">
        <v>0.19</v>
      </c>
      <c r="J251" s="3">
        <v>0.11</v>
      </c>
      <c r="K251" s="3">
        <v>7.0000000000000007E-2</v>
      </c>
      <c r="L251" s="3">
        <v>0.05</v>
      </c>
      <c r="M251" s="2" t="s">
        <v>24</v>
      </c>
      <c r="N251" s="3" t="str" cm="1">
        <f t="array" ref="N251">_xlfn.IFS(G251&gt;=90,"Excellent",G251&gt;=80,"Good",G251&gt;=70,"Average",G251&lt;70,"Poor")</f>
        <v>Good</v>
      </c>
    </row>
    <row r="252" spans="1:14" x14ac:dyDescent="0.35">
      <c r="A252" s="2">
        <v>251</v>
      </c>
      <c r="B252" s="2" t="s">
        <v>293</v>
      </c>
      <c r="C252" s="2" t="s">
        <v>59</v>
      </c>
      <c r="D252" s="2" t="s">
        <v>65</v>
      </c>
      <c r="E252" s="2" t="s">
        <v>60</v>
      </c>
      <c r="F252" s="2">
        <v>2000</v>
      </c>
      <c r="G252" s="2">
        <v>72</v>
      </c>
      <c r="H252" s="3">
        <v>0.18</v>
      </c>
      <c r="I252" s="3">
        <v>0.08</v>
      </c>
      <c r="J252" s="3">
        <v>0.06</v>
      </c>
      <c r="K252" s="3">
        <v>0.03</v>
      </c>
      <c r="L252" s="3">
        <v>0.01</v>
      </c>
      <c r="M252" s="2" t="s">
        <v>24</v>
      </c>
      <c r="N252" s="3" t="str" cm="1">
        <f t="array" ref="N252">_xlfn.IFS(G252&gt;=90,"Excellent",G252&gt;=80,"Good",G252&gt;=70,"Average",G252&lt;70,"Poor")</f>
        <v>Average</v>
      </c>
    </row>
    <row r="253" spans="1:14" x14ac:dyDescent="0.35">
      <c r="A253" s="2">
        <v>252</v>
      </c>
      <c r="B253" s="2" t="s">
        <v>294</v>
      </c>
      <c r="C253" s="2" t="s">
        <v>57</v>
      </c>
      <c r="D253" s="2" t="s">
        <v>51</v>
      </c>
      <c r="E253" s="2" t="s">
        <v>41</v>
      </c>
      <c r="F253" s="2">
        <v>2005</v>
      </c>
      <c r="G253" s="2">
        <v>70</v>
      </c>
      <c r="H253" s="3">
        <v>0.15</v>
      </c>
      <c r="I253" s="3">
        <v>7.0000000000000007E-2</v>
      </c>
      <c r="J253" s="3">
        <v>0.04</v>
      </c>
      <c r="K253" s="3">
        <v>0.01</v>
      </c>
      <c r="L253" s="3">
        <v>0.03</v>
      </c>
      <c r="M253" s="2" t="s">
        <v>24</v>
      </c>
      <c r="N253" s="3" t="str" cm="1">
        <f t="array" ref="N253">_xlfn.IFS(G253&gt;=90,"Excellent",G253&gt;=80,"Good",G253&gt;=70,"Average",G253&lt;70,"Poor")</f>
        <v>Average</v>
      </c>
    </row>
    <row r="254" spans="1:14" x14ac:dyDescent="0.35">
      <c r="A254" s="2">
        <v>253</v>
      </c>
      <c r="B254" s="2" t="s">
        <v>295</v>
      </c>
      <c r="C254" s="2" t="s">
        <v>57</v>
      </c>
      <c r="D254" s="2" t="s">
        <v>37</v>
      </c>
      <c r="E254" s="2" t="s">
        <v>49</v>
      </c>
      <c r="F254" s="2">
        <v>2014</v>
      </c>
      <c r="G254" s="2">
        <v>55</v>
      </c>
      <c r="H254" s="3">
        <v>0.56000000000000005</v>
      </c>
      <c r="I254" s="3">
        <v>0.28000000000000003</v>
      </c>
      <c r="J254" s="3">
        <v>0.13</v>
      </c>
      <c r="K254" s="3">
        <v>0.04</v>
      </c>
      <c r="L254" s="3">
        <v>0.11</v>
      </c>
      <c r="M254" s="2" t="s">
        <v>17</v>
      </c>
      <c r="N254" s="3" t="str" cm="1">
        <f t="array" ref="N254">_xlfn.IFS(G254&gt;=90,"Excellent",G254&gt;=80,"Good",G254&gt;=70,"Average",G254&lt;70,"Poor")</f>
        <v>Poor</v>
      </c>
    </row>
    <row r="255" spans="1:14" x14ac:dyDescent="0.35">
      <c r="A255" s="2">
        <v>254</v>
      </c>
      <c r="B255" s="2" t="s">
        <v>296</v>
      </c>
      <c r="C255" s="2" t="s">
        <v>64</v>
      </c>
      <c r="D255" s="2" t="s">
        <v>33</v>
      </c>
      <c r="E255" s="2" t="s">
        <v>20</v>
      </c>
      <c r="F255" s="2">
        <v>2015</v>
      </c>
      <c r="G255" s="2">
        <v>72</v>
      </c>
      <c r="H255" s="3">
        <v>0.31</v>
      </c>
      <c r="I255" s="3">
        <v>0.17</v>
      </c>
      <c r="J255" s="3">
        <v>0.09</v>
      </c>
      <c r="K255" s="3">
        <v>0.04</v>
      </c>
      <c r="L255" s="3">
        <v>0.01</v>
      </c>
      <c r="M255" s="2" t="s">
        <v>24</v>
      </c>
      <c r="N255" s="3" t="str" cm="1">
        <f t="array" ref="N255">_xlfn.IFS(G255&gt;=90,"Excellent",G255&gt;=80,"Good",G255&gt;=70,"Average",G255&lt;70,"Poor")</f>
        <v>Average</v>
      </c>
    </row>
    <row r="256" spans="1:14" x14ac:dyDescent="0.35">
      <c r="A256" s="2">
        <v>255</v>
      </c>
      <c r="B256" s="2" t="s">
        <v>297</v>
      </c>
      <c r="C256" s="2" t="s">
        <v>23</v>
      </c>
      <c r="D256" s="2" t="s">
        <v>15</v>
      </c>
      <c r="E256" s="2" t="s">
        <v>16</v>
      </c>
      <c r="F256" s="2">
        <v>2022</v>
      </c>
      <c r="G256" s="2">
        <v>78</v>
      </c>
      <c r="H256" s="3">
        <v>4.7699999999999996</v>
      </c>
      <c r="I256" s="3">
        <v>1.78</v>
      </c>
      <c r="J256" s="3">
        <v>1.48</v>
      </c>
      <c r="K256" s="3">
        <v>0.24</v>
      </c>
      <c r="L256" s="3">
        <v>1.27</v>
      </c>
      <c r="M256" s="2" t="s">
        <v>27</v>
      </c>
      <c r="N256" s="3" t="str" cm="1">
        <f t="array" ref="N256">_xlfn.IFS(G256&gt;=90,"Excellent",G256&gt;=80,"Good",G256&gt;=70,"Average",G256&lt;70,"Poor")</f>
        <v>Average</v>
      </c>
    </row>
    <row r="257" spans="1:14" x14ac:dyDescent="0.35">
      <c r="A257" s="2">
        <v>256</v>
      </c>
      <c r="B257" s="2" t="s">
        <v>298</v>
      </c>
      <c r="C257" s="2" t="s">
        <v>64</v>
      </c>
      <c r="D257" s="2" t="s">
        <v>48</v>
      </c>
      <c r="E257" s="2" t="s">
        <v>20</v>
      </c>
      <c r="F257" s="2">
        <v>2011</v>
      </c>
      <c r="G257" s="2">
        <v>79</v>
      </c>
      <c r="H257" s="3">
        <v>0.65</v>
      </c>
      <c r="I257" s="3">
        <v>0.35</v>
      </c>
      <c r="J257" s="3">
        <v>0.13</v>
      </c>
      <c r="K257" s="3">
        <v>0.11</v>
      </c>
      <c r="L257" s="3">
        <v>0.06</v>
      </c>
      <c r="M257" s="2" t="s">
        <v>17</v>
      </c>
      <c r="N257" s="3" t="str" cm="1">
        <f t="array" ref="N257">_xlfn.IFS(G257&gt;=90,"Excellent",G257&gt;=80,"Good",G257&gt;=70,"Average",G257&lt;70,"Poor")</f>
        <v>Average</v>
      </c>
    </row>
    <row r="258" spans="1:14" x14ac:dyDescent="0.35">
      <c r="A258" s="2">
        <v>257</v>
      </c>
      <c r="B258" s="2" t="s">
        <v>299</v>
      </c>
      <c r="C258" s="2" t="s">
        <v>57</v>
      </c>
      <c r="D258" s="2" t="s">
        <v>45</v>
      </c>
      <c r="E258" s="2" t="s">
        <v>52</v>
      </c>
      <c r="F258" s="2">
        <v>2014</v>
      </c>
      <c r="G258" s="2">
        <v>81</v>
      </c>
      <c r="H258" s="3">
        <v>1.23</v>
      </c>
      <c r="I258" s="3">
        <v>0.63</v>
      </c>
      <c r="J258" s="3">
        <v>0.35</v>
      </c>
      <c r="K258" s="3">
        <v>0.08</v>
      </c>
      <c r="L258" s="3">
        <v>0.17</v>
      </c>
      <c r="M258" s="2" t="s">
        <v>17</v>
      </c>
      <c r="N258" s="3" t="str" cm="1">
        <f t="array" ref="N258">_xlfn.IFS(G258&gt;=90,"Excellent",G258&gt;=80,"Good",G258&gt;=70,"Average",G258&lt;70,"Poor")</f>
        <v>Good</v>
      </c>
    </row>
    <row r="259" spans="1:14" x14ac:dyDescent="0.35">
      <c r="A259" s="2">
        <v>258</v>
      </c>
      <c r="B259" s="2" t="s">
        <v>300</v>
      </c>
      <c r="C259" s="2" t="s">
        <v>57</v>
      </c>
      <c r="D259" s="2" t="s">
        <v>37</v>
      </c>
      <c r="E259" s="2" t="s">
        <v>52</v>
      </c>
      <c r="F259" s="2">
        <v>2004</v>
      </c>
      <c r="G259" s="2">
        <v>80</v>
      </c>
      <c r="H259" s="3">
        <v>0.14000000000000001</v>
      </c>
      <c r="I259" s="3">
        <v>0.06</v>
      </c>
      <c r="J259" s="3">
        <v>0.05</v>
      </c>
      <c r="K259" s="3">
        <v>0.01</v>
      </c>
      <c r="L259" s="3">
        <v>0.02</v>
      </c>
      <c r="M259" s="2" t="s">
        <v>24</v>
      </c>
      <c r="N259" s="3" t="str" cm="1">
        <f t="array" ref="N259">_xlfn.IFS(G259&gt;=90,"Excellent",G259&gt;=80,"Good",G259&gt;=70,"Average",G259&lt;70,"Poor")</f>
        <v>Good</v>
      </c>
    </row>
    <row r="260" spans="1:14" x14ac:dyDescent="0.35">
      <c r="A260" s="2">
        <v>259</v>
      </c>
      <c r="B260" s="2" t="s">
        <v>301</v>
      </c>
      <c r="C260" s="2" t="s">
        <v>23</v>
      </c>
      <c r="D260" s="2" t="s">
        <v>15</v>
      </c>
      <c r="E260" s="2" t="s">
        <v>43</v>
      </c>
      <c r="F260" s="2">
        <v>2023</v>
      </c>
      <c r="G260" s="2">
        <v>91</v>
      </c>
      <c r="H260" s="3">
        <v>3.98</v>
      </c>
      <c r="I260" s="3">
        <v>1.59</v>
      </c>
      <c r="J260" s="3">
        <v>1.02</v>
      </c>
      <c r="K260" s="3">
        <v>0.78</v>
      </c>
      <c r="L260" s="3">
        <v>0.59</v>
      </c>
      <c r="M260" s="2" t="s">
        <v>27</v>
      </c>
      <c r="N260" s="3" t="str" cm="1">
        <f t="array" ref="N260">_xlfn.IFS(G260&gt;=90,"Excellent",G260&gt;=80,"Good",G260&gt;=70,"Average",G260&lt;70,"Poor")</f>
        <v>Excellent</v>
      </c>
    </row>
    <row r="261" spans="1:14" x14ac:dyDescent="0.35">
      <c r="A261" s="2">
        <v>260</v>
      </c>
      <c r="B261" s="2" t="s">
        <v>302</v>
      </c>
      <c r="C261" s="2" t="s">
        <v>64</v>
      </c>
      <c r="D261" s="2" t="s">
        <v>65</v>
      </c>
      <c r="E261" s="2" t="s">
        <v>52</v>
      </c>
      <c r="F261" s="2">
        <v>2014</v>
      </c>
      <c r="G261" s="2">
        <v>81</v>
      </c>
      <c r="H261" s="3">
        <v>0.57999999999999996</v>
      </c>
      <c r="I261" s="3">
        <v>0.2</v>
      </c>
      <c r="J261" s="3">
        <v>0.15</v>
      </c>
      <c r="K261" s="3">
        <v>0.1</v>
      </c>
      <c r="L261" s="3">
        <v>0.13</v>
      </c>
      <c r="M261" s="2" t="s">
        <v>17</v>
      </c>
      <c r="N261" s="3" t="str" cm="1">
        <f t="array" ref="N261">_xlfn.IFS(G261&gt;=90,"Excellent",G261&gt;=80,"Good",G261&gt;=70,"Average",G261&lt;70,"Poor")</f>
        <v>Good</v>
      </c>
    </row>
    <row r="262" spans="1:14" x14ac:dyDescent="0.35">
      <c r="A262" s="2">
        <v>261</v>
      </c>
      <c r="B262" s="2" t="s">
        <v>303</v>
      </c>
      <c r="C262" s="2" t="s">
        <v>19</v>
      </c>
      <c r="D262" s="2" t="s">
        <v>33</v>
      </c>
      <c r="E262" s="2" t="s">
        <v>52</v>
      </c>
      <c r="F262" s="2">
        <v>2017</v>
      </c>
      <c r="G262" s="2">
        <v>81</v>
      </c>
      <c r="H262" s="3">
        <v>0.8</v>
      </c>
      <c r="I262" s="3">
        <v>0.44</v>
      </c>
      <c r="J262" s="3">
        <v>0.25</v>
      </c>
      <c r="K262" s="3">
        <v>0.05</v>
      </c>
      <c r="L262" s="3">
        <v>0.06</v>
      </c>
      <c r="M262" s="2" t="s">
        <v>17</v>
      </c>
      <c r="N262" s="3" t="str" cm="1">
        <f t="array" ref="N262">_xlfn.IFS(G262&gt;=90,"Excellent",G262&gt;=80,"Good",G262&gt;=70,"Average",G262&lt;70,"Poor")</f>
        <v>Good</v>
      </c>
    </row>
    <row r="263" spans="1:14" x14ac:dyDescent="0.35">
      <c r="A263" s="2">
        <v>262</v>
      </c>
      <c r="B263" s="2" t="s">
        <v>304</v>
      </c>
      <c r="C263" s="2" t="s">
        <v>31</v>
      </c>
      <c r="D263" s="2" t="s">
        <v>65</v>
      </c>
      <c r="E263" s="2" t="s">
        <v>41</v>
      </c>
      <c r="F263" s="2">
        <v>2006</v>
      </c>
      <c r="G263" s="2">
        <v>60</v>
      </c>
      <c r="H263" s="3">
        <v>0.85</v>
      </c>
      <c r="I263" s="3">
        <v>0.41</v>
      </c>
      <c r="J263" s="3">
        <v>0.22</v>
      </c>
      <c r="K263" s="3">
        <v>0.12</v>
      </c>
      <c r="L263" s="3">
        <v>0.1</v>
      </c>
      <c r="M263" s="2" t="s">
        <v>17</v>
      </c>
      <c r="N263" s="3" t="str" cm="1">
        <f t="array" ref="N263">_xlfn.IFS(G263&gt;=90,"Excellent",G263&gt;=80,"Good",G263&gt;=70,"Average",G263&lt;70,"Poor")</f>
        <v>Poor</v>
      </c>
    </row>
    <row r="264" spans="1:14" x14ac:dyDescent="0.35">
      <c r="A264" s="2">
        <v>263</v>
      </c>
      <c r="B264" s="2" t="s">
        <v>305</v>
      </c>
      <c r="C264" s="2" t="s">
        <v>59</v>
      </c>
      <c r="D264" s="2" t="s">
        <v>37</v>
      </c>
      <c r="E264" s="2" t="s">
        <v>52</v>
      </c>
      <c r="F264" s="2">
        <v>1998</v>
      </c>
      <c r="G264" s="2">
        <v>75</v>
      </c>
      <c r="H264" s="3">
        <v>1.2</v>
      </c>
      <c r="I264" s="3">
        <v>0.62</v>
      </c>
      <c r="J264" s="3">
        <v>0.3</v>
      </c>
      <c r="K264" s="3">
        <v>0.14000000000000001</v>
      </c>
      <c r="L264" s="3">
        <v>0.14000000000000001</v>
      </c>
      <c r="M264" s="2" t="s">
        <v>17</v>
      </c>
      <c r="N264" s="3" t="str" cm="1">
        <f t="array" ref="N264">_xlfn.IFS(G264&gt;=90,"Excellent",G264&gt;=80,"Good",G264&gt;=70,"Average",G264&lt;70,"Poor")</f>
        <v>Average</v>
      </c>
    </row>
    <row r="265" spans="1:14" x14ac:dyDescent="0.35">
      <c r="A265" s="2">
        <v>264</v>
      </c>
      <c r="B265" s="2" t="s">
        <v>306</v>
      </c>
      <c r="C265" s="2" t="s">
        <v>31</v>
      </c>
      <c r="D265" s="2" t="s">
        <v>48</v>
      </c>
      <c r="E265" s="2" t="s">
        <v>54</v>
      </c>
      <c r="F265" s="2">
        <v>2000</v>
      </c>
      <c r="G265" s="2">
        <v>64</v>
      </c>
      <c r="H265" s="3">
        <v>0.22</v>
      </c>
      <c r="I265" s="3">
        <v>0.09</v>
      </c>
      <c r="J265" s="3">
        <v>0.05</v>
      </c>
      <c r="K265" s="3">
        <v>0.02</v>
      </c>
      <c r="L265" s="3">
        <v>0.06</v>
      </c>
      <c r="M265" s="2" t="s">
        <v>24</v>
      </c>
      <c r="N265" s="3" t="str" cm="1">
        <f t="array" ref="N265">_xlfn.IFS(G265&gt;=90,"Excellent",G265&gt;=80,"Good",G265&gt;=70,"Average",G265&lt;70,"Poor")</f>
        <v>Poor</v>
      </c>
    </row>
    <row r="266" spans="1:14" x14ac:dyDescent="0.35">
      <c r="A266" s="2">
        <v>265</v>
      </c>
      <c r="B266" s="2" t="s">
        <v>307</v>
      </c>
      <c r="C266" s="2" t="s">
        <v>64</v>
      </c>
      <c r="D266" s="2" t="s">
        <v>62</v>
      </c>
      <c r="E266" s="2" t="s">
        <v>46</v>
      </c>
      <c r="F266" s="2">
        <v>2014</v>
      </c>
      <c r="G266" s="2">
        <v>62</v>
      </c>
      <c r="H266" s="3">
        <v>0.11</v>
      </c>
      <c r="I266" s="3">
        <v>0.05</v>
      </c>
      <c r="J266" s="3">
        <v>0.03</v>
      </c>
      <c r="K266" s="3">
        <v>0.02</v>
      </c>
      <c r="L266" s="3">
        <v>0.01</v>
      </c>
      <c r="M266" s="2" t="s">
        <v>24</v>
      </c>
      <c r="N266" s="3" t="str" cm="1">
        <f t="array" ref="N266">_xlfn.IFS(G266&gt;=90,"Excellent",G266&gt;=80,"Good",G266&gt;=70,"Average",G266&lt;70,"Poor")</f>
        <v>Poor</v>
      </c>
    </row>
    <row r="267" spans="1:14" x14ac:dyDescent="0.35">
      <c r="A267" s="2">
        <v>266</v>
      </c>
      <c r="B267" s="2" t="s">
        <v>308</v>
      </c>
      <c r="C267" s="2" t="s">
        <v>31</v>
      </c>
      <c r="D267" s="2" t="s">
        <v>48</v>
      </c>
      <c r="E267" s="2" t="s">
        <v>43</v>
      </c>
      <c r="F267" s="2">
        <v>2000</v>
      </c>
      <c r="G267" s="2">
        <v>58</v>
      </c>
      <c r="H267" s="3">
        <v>0.96</v>
      </c>
      <c r="I267" s="3">
        <v>0.53</v>
      </c>
      <c r="J267" s="3">
        <v>0.2</v>
      </c>
      <c r="K267" s="3">
        <v>0.11</v>
      </c>
      <c r="L267" s="3">
        <v>0.12</v>
      </c>
      <c r="M267" s="2" t="s">
        <v>17</v>
      </c>
      <c r="N267" s="3" t="str" cm="1">
        <f t="array" ref="N267">_xlfn.IFS(G267&gt;=90,"Excellent",G267&gt;=80,"Good",G267&gt;=70,"Average",G267&lt;70,"Poor")</f>
        <v>Poor</v>
      </c>
    </row>
    <row r="268" spans="1:14" x14ac:dyDescent="0.35">
      <c r="A268" s="2">
        <v>267</v>
      </c>
      <c r="B268" s="2" t="s">
        <v>309</v>
      </c>
      <c r="C268" s="2" t="s">
        <v>19</v>
      </c>
      <c r="D268" s="2" t="s">
        <v>65</v>
      </c>
      <c r="E268" s="2" t="s">
        <v>52</v>
      </c>
      <c r="F268" s="2">
        <v>2021</v>
      </c>
      <c r="G268" s="2">
        <v>61</v>
      </c>
      <c r="H268" s="3">
        <v>1.4</v>
      </c>
      <c r="I268" s="3">
        <v>0.49</v>
      </c>
      <c r="J268" s="3">
        <v>0.45</v>
      </c>
      <c r="K268" s="3">
        <v>0.28000000000000003</v>
      </c>
      <c r="L268" s="3">
        <v>0.18</v>
      </c>
      <c r="M268" s="2" t="s">
        <v>17</v>
      </c>
      <c r="N268" s="3" t="str" cm="1">
        <f t="array" ref="N268">_xlfn.IFS(G268&gt;=90,"Excellent",G268&gt;=80,"Good",G268&gt;=70,"Average",G268&lt;70,"Poor")</f>
        <v>Poor</v>
      </c>
    </row>
    <row r="269" spans="1:14" x14ac:dyDescent="0.35">
      <c r="A269" s="2">
        <v>268</v>
      </c>
      <c r="B269" s="2" t="s">
        <v>310</v>
      </c>
      <c r="C269" s="2" t="s">
        <v>31</v>
      </c>
      <c r="D269" s="2" t="s">
        <v>45</v>
      </c>
      <c r="E269" s="2" t="s">
        <v>43</v>
      </c>
      <c r="F269" s="2">
        <v>2001</v>
      </c>
      <c r="G269" s="2">
        <v>92</v>
      </c>
      <c r="H269" s="3">
        <v>0.09</v>
      </c>
      <c r="I269" s="3">
        <v>0.03</v>
      </c>
      <c r="J269" s="3">
        <v>0.02</v>
      </c>
      <c r="K269" s="3">
        <v>0.02</v>
      </c>
      <c r="L269" s="3">
        <v>0.02</v>
      </c>
      <c r="M269" s="2" t="s">
        <v>24</v>
      </c>
      <c r="N269" s="3" t="str" cm="1">
        <f t="array" ref="N269">_xlfn.IFS(G269&gt;=90,"Excellent",G269&gt;=80,"Good",G269&gt;=70,"Average",G269&lt;70,"Poor")</f>
        <v>Excellent</v>
      </c>
    </row>
    <row r="270" spans="1:14" x14ac:dyDescent="0.35">
      <c r="A270" s="2">
        <v>269</v>
      </c>
      <c r="B270" s="2" t="s">
        <v>311</v>
      </c>
      <c r="C270" s="2" t="s">
        <v>19</v>
      </c>
      <c r="D270" s="2" t="s">
        <v>33</v>
      </c>
      <c r="E270" s="2" t="s">
        <v>43</v>
      </c>
      <c r="F270" s="2">
        <v>2015</v>
      </c>
      <c r="G270" s="2">
        <v>84</v>
      </c>
      <c r="H270" s="3">
        <v>0.56000000000000005</v>
      </c>
      <c r="I270" s="3">
        <v>0.25</v>
      </c>
      <c r="J270" s="3">
        <v>0.14000000000000001</v>
      </c>
      <c r="K270" s="3">
        <v>0.06</v>
      </c>
      <c r="L270" s="3">
        <v>0.11</v>
      </c>
      <c r="M270" s="2" t="s">
        <v>17</v>
      </c>
      <c r="N270" s="3" t="str" cm="1">
        <f t="array" ref="N270">_xlfn.IFS(G270&gt;=90,"Excellent",G270&gt;=80,"Good",G270&gt;=70,"Average",G270&lt;70,"Poor")</f>
        <v>Good</v>
      </c>
    </row>
    <row r="271" spans="1:14" x14ac:dyDescent="0.35">
      <c r="A271" s="2">
        <v>270</v>
      </c>
      <c r="B271" s="2" t="s">
        <v>312</v>
      </c>
      <c r="C271" s="2" t="s">
        <v>14</v>
      </c>
      <c r="D271" s="2" t="s">
        <v>37</v>
      </c>
      <c r="E271" s="2" t="s">
        <v>46</v>
      </c>
      <c r="F271" s="2">
        <v>2009</v>
      </c>
      <c r="G271" s="2">
        <v>64</v>
      </c>
      <c r="H271" s="3">
        <v>0.34</v>
      </c>
      <c r="I271" s="3">
        <v>0.15</v>
      </c>
      <c r="J271" s="3">
        <v>0.1</v>
      </c>
      <c r="K271" s="3">
        <v>0.02</v>
      </c>
      <c r="L271" s="3">
        <v>7.0000000000000007E-2</v>
      </c>
      <c r="M271" s="2" t="s">
        <v>24</v>
      </c>
      <c r="N271" s="3" t="str" cm="1">
        <f t="array" ref="N271">_xlfn.IFS(G271&gt;=90,"Excellent",G271&gt;=80,"Good",G271&gt;=70,"Average",G271&lt;70,"Poor")</f>
        <v>Poor</v>
      </c>
    </row>
    <row r="272" spans="1:14" x14ac:dyDescent="0.35">
      <c r="A272" s="2">
        <v>271</v>
      </c>
      <c r="B272" s="2" t="s">
        <v>313</v>
      </c>
      <c r="C272" s="2" t="s">
        <v>14</v>
      </c>
      <c r="D272" s="2" t="s">
        <v>37</v>
      </c>
      <c r="E272" s="2" t="s">
        <v>41</v>
      </c>
      <c r="F272" s="2">
        <v>2012</v>
      </c>
      <c r="G272" s="2">
        <v>70</v>
      </c>
      <c r="H272" s="3">
        <v>1.67</v>
      </c>
      <c r="I272" s="3">
        <v>0.83</v>
      </c>
      <c r="J272" s="3">
        <v>0.56999999999999995</v>
      </c>
      <c r="K272" s="3">
        <v>0.27</v>
      </c>
      <c r="L272" s="3">
        <v>0</v>
      </c>
      <c r="M272" s="2" t="s">
        <v>17</v>
      </c>
      <c r="N272" s="3" t="str" cm="1">
        <f t="array" ref="N272">_xlfn.IFS(G272&gt;=90,"Excellent",G272&gt;=80,"Good",G272&gt;=70,"Average",G272&lt;70,"Poor")</f>
        <v>Average</v>
      </c>
    </row>
    <row r="273" spans="1:14" x14ac:dyDescent="0.35">
      <c r="A273" s="2">
        <v>272</v>
      </c>
      <c r="B273" s="2" t="s">
        <v>314</v>
      </c>
      <c r="C273" s="2" t="s">
        <v>14</v>
      </c>
      <c r="D273" s="2" t="s">
        <v>65</v>
      </c>
      <c r="E273" s="2" t="s">
        <v>16</v>
      </c>
      <c r="F273" s="2">
        <v>2013</v>
      </c>
      <c r="G273" s="2">
        <v>87</v>
      </c>
      <c r="H273" s="3">
        <v>0.4</v>
      </c>
      <c r="I273" s="3">
        <v>0.14000000000000001</v>
      </c>
      <c r="J273" s="3">
        <v>0.12</v>
      </c>
      <c r="K273" s="3">
        <v>0.02</v>
      </c>
      <c r="L273" s="3">
        <v>0.12</v>
      </c>
      <c r="M273" s="2" t="s">
        <v>24</v>
      </c>
      <c r="N273" s="3" t="str" cm="1">
        <f t="array" ref="N273">_xlfn.IFS(G273&gt;=90,"Excellent",G273&gt;=80,"Good",G273&gt;=70,"Average",G273&lt;70,"Poor")</f>
        <v>Good</v>
      </c>
    </row>
    <row r="274" spans="1:14" x14ac:dyDescent="0.35">
      <c r="A274" s="2">
        <v>273</v>
      </c>
      <c r="B274" s="2" t="s">
        <v>315</v>
      </c>
      <c r="C274" s="2" t="s">
        <v>64</v>
      </c>
      <c r="D274" s="2" t="s">
        <v>15</v>
      </c>
      <c r="E274" s="2" t="s">
        <v>16</v>
      </c>
      <c r="F274" s="2">
        <v>2015</v>
      </c>
      <c r="G274" s="2">
        <v>92</v>
      </c>
      <c r="H274" s="3">
        <v>0.05</v>
      </c>
      <c r="I274" s="3">
        <v>0.02</v>
      </c>
      <c r="J274" s="3">
        <v>0.02</v>
      </c>
      <c r="K274" s="3">
        <v>0.01</v>
      </c>
      <c r="L274" s="3">
        <v>0</v>
      </c>
      <c r="M274" s="2" t="s">
        <v>24</v>
      </c>
      <c r="N274" s="3" t="str" cm="1">
        <f t="array" ref="N274">_xlfn.IFS(G274&gt;=90,"Excellent",G274&gt;=80,"Good",G274&gt;=70,"Average",G274&lt;70,"Poor")</f>
        <v>Excellent</v>
      </c>
    </row>
    <row r="275" spans="1:14" x14ac:dyDescent="0.35">
      <c r="A275" s="2">
        <v>274</v>
      </c>
      <c r="B275" s="2" t="s">
        <v>316</v>
      </c>
      <c r="C275" s="2" t="s">
        <v>59</v>
      </c>
      <c r="D275" s="2" t="s">
        <v>2</v>
      </c>
      <c r="E275" s="2" t="s">
        <v>41</v>
      </c>
      <c r="F275" s="2">
        <v>1996</v>
      </c>
      <c r="G275" s="2">
        <v>66</v>
      </c>
      <c r="H275" s="3">
        <v>0.22</v>
      </c>
      <c r="I275" s="3">
        <v>0.11</v>
      </c>
      <c r="J275" s="3">
        <v>0.06</v>
      </c>
      <c r="K275" s="3">
        <v>0.03</v>
      </c>
      <c r="L275" s="3">
        <v>0.02</v>
      </c>
      <c r="M275" s="2" t="s">
        <v>24</v>
      </c>
      <c r="N275" s="3" t="str" cm="1">
        <f t="array" ref="N275">_xlfn.IFS(G275&gt;=90,"Excellent",G275&gt;=80,"Good",G275&gt;=70,"Average",G275&lt;70,"Poor")</f>
        <v>Poor</v>
      </c>
    </row>
    <row r="276" spans="1:14" x14ac:dyDescent="0.35">
      <c r="A276" s="2">
        <v>275</v>
      </c>
      <c r="B276" s="2" t="s">
        <v>317</v>
      </c>
      <c r="C276" s="2" t="s">
        <v>57</v>
      </c>
      <c r="D276" s="2" t="s">
        <v>2</v>
      </c>
      <c r="E276" s="2" t="s">
        <v>74</v>
      </c>
      <c r="F276" s="2">
        <v>2009</v>
      </c>
      <c r="G276" s="2">
        <v>67</v>
      </c>
      <c r="H276" s="3">
        <v>2.34</v>
      </c>
      <c r="I276" s="3">
        <v>0.9</v>
      </c>
      <c r="J276" s="3">
        <v>0.48</v>
      </c>
      <c r="K276" s="3">
        <v>0.14000000000000001</v>
      </c>
      <c r="L276" s="3">
        <v>0.82</v>
      </c>
      <c r="M276" s="2" t="s">
        <v>27</v>
      </c>
      <c r="N276" s="3" t="str" cm="1">
        <f t="array" ref="N276">_xlfn.IFS(G276&gt;=90,"Excellent",G276&gt;=80,"Good",G276&gt;=70,"Average",G276&lt;70,"Poor")</f>
        <v>Poor</v>
      </c>
    </row>
    <row r="277" spans="1:14" x14ac:dyDescent="0.35">
      <c r="A277" s="2">
        <v>276</v>
      </c>
      <c r="B277" s="2" t="s">
        <v>318</v>
      </c>
      <c r="C277" s="2" t="s">
        <v>23</v>
      </c>
      <c r="D277" s="2" t="s">
        <v>15</v>
      </c>
      <c r="E277" s="2" t="s">
        <v>60</v>
      </c>
      <c r="F277" s="2">
        <v>2021</v>
      </c>
      <c r="G277" s="2">
        <v>76</v>
      </c>
      <c r="H277" s="3">
        <v>1.65</v>
      </c>
      <c r="I277" s="3">
        <v>0.62</v>
      </c>
      <c r="J277" s="3">
        <v>0.51</v>
      </c>
      <c r="K277" s="3">
        <v>0.31</v>
      </c>
      <c r="L277" s="3">
        <v>0.21</v>
      </c>
      <c r="M277" s="2" t="s">
        <v>17</v>
      </c>
      <c r="N277" s="3" t="str" cm="1">
        <f t="array" ref="N277">_xlfn.IFS(G277&gt;=90,"Excellent",G277&gt;=80,"Good",G277&gt;=70,"Average",G277&lt;70,"Poor")</f>
        <v>Average</v>
      </c>
    </row>
    <row r="278" spans="1:14" x14ac:dyDescent="0.35">
      <c r="A278" s="2">
        <v>277</v>
      </c>
      <c r="B278" s="2" t="s">
        <v>319</v>
      </c>
      <c r="C278" s="2" t="s">
        <v>64</v>
      </c>
      <c r="D278" s="2" t="s">
        <v>15</v>
      </c>
      <c r="E278" s="2" t="s">
        <v>20</v>
      </c>
      <c r="F278" s="2">
        <v>2016</v>
      </c>
      <c r="G278" s="2">
        <v>64</v>
      </c>
      <c r="H278" s="3">
        <v>0.25</v>
      </c>
      <c r="I278" s="3">
        <v>0.1</v>
      </c>
      <c r="J278" s="3">
        <v>0.06</v>
      </c>
      <c r="K278" s="3">
        <v>0.02</v>
      </c>
      <c r="L278" s="3">
        <v>7.0000000000000007E-2</v>
      </c>
      <c r="M278" s="2" t="s">
        <v>24</v>
      </c>
      <c r="N278" s="3" t="str" cm="1">
        <f t="array" ref="N278">_xlfn.IFS(G278&gt;=90,"Excellent",G278&gt;=80,"Good",G278&gt;=70,"Average",G278&lt;70,"Poor")</f>
        <v>Poor</v>
      </c>
    </row>
    <row r="279" spans="1:14" x14ac:dyDescent="0.35">
      <c r="A279" s="2">
        <v>278</v>
      </c>
      <c r="B279" s="2" t="s">
        <v>320</v>
      </c>
      <c r="C279" s="2" t="s">
        <v>19</v>
      </c>
      <c r="D279" s="2" t="s">
        <v>29</v>
      </c>
      <c r="E279" s="2" t="s">
        <v>54</v>
      </c>
      <c r="F279" s="2">
        <v>2020</v>
      </c>
      <c r="G279" s="2">
        <v>77</v>
      </c>
      <c r="H279" s="3">
        <v>0.28999999999999998</v>
      </c>
      <c r="I279" s="3">
        <v>0.11</v>
      </c>
      <c r="J279" s="3">
        <v>7.0000000000000007E-2</v>
      </c>
      <c r="K279" s="3">
        <v>0.04</v>
      </c>
      <c r="L279" s="3">
        <v>7.0000000000000007E-2</v>
      </c>
      <c r="M279" s="2" t="s">
        <v>24</v>
      </c>
      <c r="N279" s="3" t="str" cm="1">
        <f t="array" ref="N279">_xlfn.IFS(G279&gt;=90,"Excellent",G279&gt;=80,"Good",G279&gt;=70,"Average",G279&lt;70,"Poor")</f>
        <v>Average</v>
      </c>
    </row>
    <row r="280" spans="1:14" x14ac:dyDescent="0.35">
      <c r="A280" s="2">
        <v>279</v>
      </c>
      <c r="B280" s="2" t="s">
        <v>321</v>
      </c>
      <c r="C280" s="2" t="s">
        <v>31</v>
      </c>
      <c r="D280" s="2" t="s">
        <v>15</v>
      </c>
      <c r="E280" s="2" t="s">
        <v>74</v>
      </c>
      <c r="F280" s="2">
        <v>2001</v>
      </c>
      <c r="G280" s="2">
        <v>57</v>
      </c>
      <c r="H280" s="3">
        <v>0.32</v>
      </c>
      <c r="I280" s="3">
        <v>0.16</v>
      </c>
      <c r="J280" s="3">
        <v>0.09</v>
      </c>
      <c r="K280" s="3">
        <v>0.05</v>
      </c>
      <c r="L280" s="3">
        <v>0.02</v>
      </c>
      <c r="M280" s="2" t="s">
        <v>24</v>
      </c>
      <c r="N280" s="3" t="str" cm="1">
        <f t="array" ref="N280">_xlfn.IFS(G280&gt;=90,"Excellent",G280&gt;=80,"Good",G280&gt;=70,"Average",G280&lt;70,"Poor")</f>
        <v>Poor</v>
      </c>
    </row>
    <row r="281" spans="1:14" x14ac:dyDescent="0.35">
      <c r="A281" s="2">
        <v>280</v>
      </c>
      <c r="B281" s="2" t="s">
        <v>322</v>
      </c>
      <c r="C281" s="2" t="s">
        <v>59</v>
      </c>
      <c r="D281" s="2" t="s">
        <v>37</v>
      </c>
      <c r="E281" s="2" t="s">
        <v>43</v>
      </c>
      <c r="F281" s="2">
        <v>1998</v>
      </c>
      <c r="G281" s="2">
        <v>77</v>
      </c>
      <c r="H281" s="3">
        <v>0.99</v>
      </c>
      <c r="I281" s="3">
        <v>0.52</v>
      </c>
      <c r="J281" s="3">
        <v>0.26</v>
      </c>
      <c r="K281" s="3">
        <v>0.09</v>
      </c>
      <c r="L281" s="3">
        <v>0.12</v>
      </c>
      <c r="M281" s="2" t="s">
        <v>17</v>
      </c>
      <c r="N281" s="3" t="str" cm="1">
        <f t="array" ref="N281">_xlfn.IFS(G281&gt;=90,"Excellent",G281&gt;=80,"Good",G281&gt;=70,"Average",G281&lt;70,"Poor")</f>
        <v>Average</v>
      </c>
    </row>
    <row r="282" spans="1:14" x14ac:dyDescent="0.35">
      <c r="A282" s="2">
        <v>281</v>
      </c>
      <c r="B282" s="2" t="s">
        <v>323</v>
      </c>
      <c r="C282" s="2" t="s">
        <v>31</v>
      </c>
      <c r="D282" s="2" t="s">
        <v>33</v>
      </c>
      <c r="E282" s="2" t="s">
        <v>43</v>
      </c>
      <c r="F282" s="2">
        <v>2005</v>
      </c>
      <c r="G282" s="2">
        <v>55</v>
      </c>
      <c r="H282" s="3">
        <v>0.19</v>
      </c>
      <c r="I282" s="3">
        <v>0.08</v>
      </c>
      <c r="J282" s="3">
        <v>0.04</v>
      </c>
      <c r="K282" s="3">
        <v>0.02</v>
      </c>
      <c r="L282" s="3">
        <v>0.05</v>
      </c>
      <c r="M282" s="2" t="s">
        <v>24</v>
      </c>
      <c r="N282" s="3" t="str" cm="1">
        <f t="array" ref="N282">_xlfn.IFS(G282&gt;=90,"Excellent",G282&gt;=80,"Good",G282&gt;=70,"Average",G282&lt;70,"Poor")</f>
        <v>Poor</v>
      </c>
    </row>
    <row r="283" spans="1:14" x14ac:dyDescent="0.35">
      <c r="A283" s="2">
        <v>282</v>
      </c>
      <c r="B283" s="2" t="s">
        <v>324</v>
      </c>
      <c r="C283" s="2" t="s">
        <v>19</v>
      </c>
      <c r="D283" s="2" t="s">
        <v>65</v>
      </c>
      <c r="E283" s="2" t="s">
        <v>41</v>
      </c>
      <c r="F283" s="2">
        <v>2018</v>
      </c>
      <c r="G283" s="2">
        <v>91</v>
      </c>
      <c r="H283" s="3">
        <v>1.71</v>
      </c>
      <c r="I283" s="3">
        <v>0.65</v>
      </c>
      <c r="J283" s="3">
        <v>0.36</v>
      </c>
      <c r="K283" s="3">
        <v>0.3</v>
      </c>
      <c r="L283" s="3">
        <v>0.4</v>
      </c>
      <c r="M283" s="2" t="s">
        <v>17</v>
      </c>
      <c r="N283" s="3" t="str" cm="1">
        <f t="array" ref="N283">_xlfn.IFS(G283&gt;=90,"Excellent",G283&gt;=80,"Good",G283&gt;=70,"Average",G283&lt;70,"Poor")</f>
        <v>Excellent</v>
      </c>
    </row>
    <row r="284" spans="1:14" x14ac:dyDescent="0.35">
      <c r="A284" s="2">
        <v>283</v>
      </c>
      <c r="B284" s="2" t="s">
        <v>325</v>
      </c>
      <c r="C284" s="2" t="s">
        <v>14</v>
      </c>
      <c r="D284" s="2" t="s">
        <v>29</v>
      </c>
      <c r="E284" s="2" t="s">
        <v>46</v>
      </c>
      <c r="F284" s="2">
        <v>2006</v>
      </c>
      <c r="G284" s="2">
        <v>76</v>
      </c>
      <c r="H284" s="3">
        <v>0.26</v>
      </c>
      <c r="I284" s="3">
        <v>0.13</v>
      </c>
      <c r="J284" s="3">
        <v>7.0000000000000007E-2</v>
      </c>
      <c r="K284" s="3">
        <v>0.05</v>
      </c>
      <c r="L284" s="3">
        <v>0.01</v>
      </c>
      <c r="M284" s="2" t="s">
        <v>24</v>
      </c>
      <c r="N284" s="3" t="str" cm="1">
        <f t="array" ref="N284">_xlfn.IFS(G284&gt;=90,"Excellent",G284&gt;=80,"Good",G284&gt;=70,"Average",G284&lt;70,"Poor")</f>
        <v>Average</v>
      </c>
    </row>
    <row r="285" spans="1:14" x14ac:dyDescent="0.35">
      <c r="A285" s="2">
        <v>284</v>
      </c>
      <c r="B285" s="2" t="s">
        <v>326</v>
      </c>
      <c r="C285" s="2" t="s">
        <v>59</v>
      </c>
      <c r="D285" s="2" t="s">
        <v>2</v>
      </c>
      <c r="E285" s="2" t="s">
        <v>74</v>
      </c>
      <c r="F285" s="2">
        <v>1997</v>
      </c>
      <c r="G285" s="2">
        <v>82</v>
      </c>
      <c r="H285" s="3">
        <v>0.83</v>
      </c>
      <c r="I285" s="3">
        <v>0.31</v>
      </c>
      <c r="J285" s="3">
        <v>0.19</v>
      </c>
      <c r="K285" s="3">
        <v>7.0000000000000007E-2</v>
      </c>
      <c r="L285" s="3">
        <v>0.26</v>
      </c>
      <c r="M285" s="2" t="s">
        <v>17</v>
      </c>
      <c r="N285" s="3" t="str" cm="1">
        <f t="array" ref="N285">_xlfn.IFS(G285&gt;=90,"Excellent",G285&gt;=80,"Good",G285&gt;=70,"Average",G285&lt;70,"Poor")</f>
        <v>Good</v>
      </c>
    </row>
    <row r="286" spans="1:14" x14ac:dyDescent="0.35">
      <c r="A286" s="2">
        <v>285</v>
      </c>
      <c r="B286" s="2" t="s">
        <v>327</v>
      </c>
      <c r="C286" s="2" t="s">
        <v>57</v>
      </c>
      <c r="D286" s="2" t="s">
        <v>65</v>
      </c>
      <c r="E286" s="2" t="s">
        <v>46</v>
      </c>
      <c r="F286" s="2">
        <v>2012</v>
      </c>
      <c r="G286" s="2">
        <v>70</v>
      </c>
      <c r="H286" s="3">
        <v>0.17</v>
      </c>
      <c r="I286" s="3">
        <v>0.08</v>
      </c>
      <c r="J286" s="3">
        <v>0.05</v>
      </c>
      <c r="K286" s="3">
        <v>0.01</v>
      </c>
      <c r="L286" s="3">
        <v>0.03</v>
      </c>
      <c r="M286" s="2" t="s">
        <v>24</v>
      </c>
      <c r="N286" s="3" t="str" cm="1">
        <f t="array" ref="N286">_xlfn.IFS(G286&gt;=90,"Excellent",G286&gt;=80,"Good",G286&gt;=70,"Average",G286&lt;70,"Poor")</f>
        <v>Average</v>
      </c>
    </row>
    <row r="287" spans="1:14" x14ac:dyDescent="0.35">
      <c r="A287" s="2">
        <v>286</v>
      </c>
      <c r="B287" s="2" t="s">
        <v>328</v>
      </c>
      <c r="C287" s="2" t="s">
        <v>59</v>
      </c>
      <c r="D287" s="2" t="s">
        <v>33</v>
      </c>
      <c r="E287" s="2" t="s">
        <v>46</v>
      </c>
      <c r="F287" s="2">
        <v>1998</v>
      </c>
      <c r="G287" s="2">
        <v>67</v>
      </c>
      <c r="H287" s="3">
        <v>0.18</v>
      </c>
      <c r="I287" s="3">
        <v>0.09</v>
      </c>
      <c r="J287" s="3">
        <v>0.06</v>
      </c>
      <c r="K287" s="3">
        <v>0.02</v>
      </c>
      <c r="L287" s="3">
        <v>0.01</v>
      </c>
      <c r="M287" s="2" t="s">
        <v>24</v>
      </c>
      <c r="N287" s="3" t="str" cm="1">
        <f t="array" ref="N287">_xlfn.IFS(G287&gt;=90,"Excellent",G287&gt;=80,"Good",G287&gt;=70,"Average",G287&lt;70,"Poor")</f>
        <v>Poor</v>
      </c>
    </row>
    <row r="288" spans="1:14" x14ac:dyDescent="0.35">
      <c r="A288" s="2">
        <v>287</v>
      </c>
      <c r="B288" s="2" t="s">
        <v>329</v>
      </c>
      <c r="C288" s="2" t="s">
        <v>59</v>
      </c>
      <c r="D288" s="2" t="s">
        <v>45</v>
      </c>
      <c r="E288" s="2" t="s">
        <v>16</v>
      </c>
      <c r="F288" s="2">
        <v>1997</v>
      </c>
      <c r="G288" s="2">
        <v>60</v>
      </c>
      <c r="H288" s="3">
        <v>0.57999999999999996</v>
      </c>
      <c r="I288" s="3">
        <v>0.25</v>
      </c>
      <c r="J288" s="3">
        <v>0.15</v>
      </c>
      <c r="K288" s="3">
        <v>0.05</v>
      </c>
      <c r="L288" s="3">
        <v>0.13</v>
      </c>
      <c r="M288" s="2" t="s">
        <v>17</v>
      </c>
      <c r="N288" s="3" t="str" cm="1">
        <f t="array" ref="N288">_xlfn.IFS(G288&gt;=90,"Excellent",G288&gt;=80,"Good",G288&gt;=70,"Average",G288&lt;70,"Poor")</f>
        <v>Poor</v>
      </c>
    </row>
    <row r="289" spans="1:14" x14ac:dyDescent="0.35">
      <c r="A289" s="2">
        <v>288</v>
      </c>
      <c r="B289" s="2" t="s">
        <v>330</v>
      </c>
      <c r="C289" s="2" t="s">
        <v>59</v>
      </c>
      <c r="D289" s="2" t="s">
        <v>62</v>
      </c>
      <c r="E289" s="2" t="s">
        <v>16</v>
      </c>
      <c r="F289" s="2">
        <v>1997</v>
      </c>
      <c r="G289" s="2">
        <v>72</v>
      </c>
      <c r="H289" s="3">
        <v>0.46</v>
      </c>
      <c r="I289" s="3">
        <v>0.23</v>
      </c>
      <c r="J289" s="3">
        <v>0.1</v>
      </c>
      <c r="K289" s="3">
        <v>7.0000000000000007E-2</v>
      </c>
      <c r="L289" s="3">
        <v>0.06</v>
      </c>
      <c r="M289" s="2" t="s">
        <v>24</v>
      </c>
      <c r="N289" s="3" t="str" cm="1">
        <f t="array" ref="N289">_xlfn.IFS(G289&gt;=90,"Excellent",G289&gt;=80,"Good",G289&gt;=70,"Average",G289&lt;70,"Poor")</f>
        <v>Average</v>
      </c>
    </row>
    <row r="290" spans="1:14" x14ac:dyDescent="0.35">
      <c r="A290" s="2">
        <v>289</v>
      </c>
      <c r="B290" s="2" t="s">
        <v>331</v>
      </c>
      <c r="C290" s="2" t="s">
        <v>64</v>
      </c>
      <c r="D290" s="2" t="s">
        <v>45</v>
      </c>
      <c r="E290" s="2" t="s">
        <v>74</v>
      </c>
      <c r="F290" s="2">
        <v>2019</v>
      </c>
      <c r="G290" s="2">
        <v>58</v>
      </c>
      <c r="H290" s="3">
        <v>0.22</v>
      </c>
      <c r="I290" s="3">
        <v>0.12</v>
      </c>
      <c r="J290" s="3">
        <v>0.06</v>
      </c>
      <c r="K290" s="3">
        <v>0.04</v>
      </c>
      <c r="L290" s="3">
        <v>0</v>
      </c>
      <c r="M290" s="2" t="s">
        <v>24</v>
      </c>
      <c r="N290" s="3" t="str" cm="1">
        <f t="array" ref="N290">_xlfn.IFS(G290&gt;=90,"Excellent",G290&gt;=80,"Good",G290&gt;=70,"Average",G290&lt;70,"Poor")</f>
        <v>Poor</v>
      </c>
    </row>
    <row r="291" spans="1:14" x14ac:dyDescent="0.35">
      <c r="A291" s="2">
        <v>290</v>
      </c>
      <c r="B291" s="2" t="s">
        <v>332</v>
      </c>
      <c r="C291" s="2" t="s">
        <v>19</v>
      </c>
      <c r="D291" s="2" t="s">
        <v>33</v>
      </c>
      <c r="E291" s="2" t="s">
        <v>41</v>
      </c>
      <c r="F291" s="2">
        <v>2017</v>
      </c>
      <c r="G291" s="2">
        <v>91</v>
      </c>
      <c r="H291" s="3">
        <v>1.67</v>
      </c>
      <c r="I291" s="3">
        <v>0.62</v>
      </c>
      <c r="J291" s="3">
        <v>0.52</v>
      </c>
      <c r="K291" s="3">
        <v>0.13</v>
      </c>
      <c r="L291" s="3">
        <v>0.4</v>
      </c>
      <c r="M291" s="2" t="s">
        <v>17</v>
      </c>
      <c r="N291" s="3" t="str" cm="1">
        <f t="array" ref="N291">_xlfn.IFS(G291&gt;=90,"Excellent",G291&gt;=80,"Good",G291&gt;=70,"Average",G291&lt;70,"Poor")</f>
        <v>Excellent</v>
      </c>
    </row>
    <row r="292" spans="1:14" x14ac:dyDescent="0.35">
      <c r="A292" s="2">
        <v>291</v>
      </c>
      <c r="B292" s="2" t="s">
        <v>333</v>
      </c>
      <c r="C292" s="2" t="s">
        <v>31</v>
      </c>
      <c r="D292" s="2" t="s">
        <v>48</v>
      </c>
      <c r="E292" s="2" t="s">
        <v>54</v>
      </c>
      <c r="F292" s="2">
        <v>2001</v>
      </c>
      <c r="G292" s="2">
        <v>60</v>
      </c>
      <c r="H292" s="3">
        <v>2.56</v>
      </c>
      <c r="I292" s="3">
        <v>1.38</v>
      </c>
      <c r="J292" s="3">
        <v>0.74</v>
      </c>
      <c r="K292" s="3">
        <v>0.44</v>
      </c>
      <c r="L292" s="3">
        <v>0</v>
      </c>
      <c r="M292" s="2" t="s">
        <v>27</v>
      </c>
      <c r="N292" s="3" t="str" cm="1">
        <f t="array" ref="N292">_xlfn.IFS(G292&gt;=90,"Excellent",G292&gt;=80,"Good",G292&gt;=70,"Average",G292&lt;70,"Poor")</f>
        <v>Poor</v>
      </c>
    </row>
    <row r="293" spans="1:14" x14ac:dyDescent="0.35">
      <c r="A293" s="2">
        <v>292</v>
      </c>
      <c r="B293" s="2" t="s">
        <v>334</v>
      </c>
      <c r="C293" s="2" t="s">
        <v>14</v>
      </c>
      <c r="D293" s="2" t="s">
        <v>33</v>
      </c>
      <c r="E293" s="2" t="s">
        <v>49</v>
      </c>
      <c r="F293" s="2">
        <v>2011</v>
      </c>
      <c r="G293" s="2">
        <v>80</v>
      </c>
      <c r="H293" s="3">
        <v>1.03</v>
      </c>
      <c r="I293" s="3">
        <v>0.47</v>
      </c>
      <c r="J293" s="3">
        <v>0.35</v>
      </c>
      <c r="K293" s="3">
        <v>0.05</v>
      </c>
      <c r="L293" s="3">
        <v>0.16</v>
      </c>
      <c r="M293" s="2" t="s">
        <v>17</v>
      </c>
      <c r="N293" s="3" t="str" cm="1">
        <f t="array" ref="N293">_xlfn.IFS(G293&gt;=90,"Excellent",G293&gt;=80,"Good",G293&gt;=70,"Average",G293&lt;70,"Poor")</f>
        <v>Good</v>
      </c>
    </row>
    <row r="294" spans="1:14" x14ac:dyDescent="0.35">
      <c r="A294" s="2">
        <v>293</v>
      </c>
      <c r="B294" s="2" t="s">
        <v>335</v>
      </c>
      <c r="C294" s="2" t="s">
        <v>57</v>
      </c>
      <c r="D294" s="2" t="s">
        <v>2</v>
      </c>
      <c r="E294" s="2" t="s">
        <v>60</v>
      </c>
      <c r="F294" s="2">
        <v>2013</v>
      </c>
      <c r="G294" s="2">
        <v>81</v>
      </c>
      <c r="H294" s="3">
        <v>0.14000000000000001</v>
      </c>
      <c r="I294" s="3">
        <v>7.0000000000000007E-2</v>
      </c>
      <c r="J294" s="3">
        <v>0.05</v>
      </c>
      <c r="K294" s="3">
        <v>0.01</v>
      </c>
      <c r="L294" s="3">
        <v>0.01</v>
      </c>
      <c r="M294" s="2" t="s">
        <v>24</v>
      </c>
      <c r="N294" s="3" t="str" cm="1">
        <f t="array" ref="N294">_xlfn.IFS(G294&gt;=90,"Excellent",G294&gt;=80,"Good",G294&gt;=70,"Average",G294&lt;70,"Poor")</f>
        <v>Good</v>
      </c>
    </row>
    <row r="295" spans="1:14" x14ac:dyDescent="0.35">
      <c r="A295" s="2">
        <v>294</v>
      </c>
      <c r="B295" s="2" t="s">
        <v>336</v>
      </c>
      <c r="C295" s="2" t="s">
        <v>59</v>
      </c>
      <c r="D295" s="2" t="s">
        <v>33</v>
      </c>
      <c r="E295" s="2" t="s">
        <v>46</v>
      </c>
      <c r="F295" s="2">
        <v>1999</v>
      </c>
      <c r="G295" s="2">
        <v>81</v>
      </c>
      <c r="H295" s="3">
        <v>0.14000000000000001</v>
      </c>
      <c r="I295" s="3">
        <v>7.0000000000000007E-2</v>
      </c>
      <c r="J295" s="3">
        <v>0.04</v>
      </c>
      <c r="K295" s="3">
        <v>0.01</v>
      </c>
      <c r="L295" s="3">
        <v>0.02</v>
      </c>
      <c r="M295" s="2" t="s">
        <v>24</v>
      </c>
      <c r="N295" s="3" t="str" cm="1">
        <f t="array" ref="N295">_xlfn.IFS(G295&gt;=90,"Excellent",G295&gt;=80,"Good",G295&gt;=70,"Average",G295&lt;70,"Poor")</f>
        <v>Good</v>
      </c>
    </row>
    <row r="296" spans="1:14" x14ac:dyDescent="0.35">
      <c r="A296" s="2">
        <v>295</v>
      </c>
      <c r="B296" s="2" t="s">
        <v>337</v>
      </c>
      <c r="C296" s="2" t="s">
        <v>19</v>
      </c>
      <c r="D296" s="2" t="s">
        <v>2</v>
      </c>
      <c r="E296" s="2" t="s">
        <v>74</v>
      </c>
      <c r="F296" s="2">
        <v>2015</v>
      </c>
      <c r="G296" s="2">
        <v>80</v>
      </c>
      <c r="H296" s="3">
        <v>1.99</v>
      </c>
      <c r="I296" s="3">
        <v>0.79</v>
      </c>
      <c r="J296" s="3">
        <v>0.62</v>
      </c>
      <c r="K296" s="3">
        <v>0.37</v>
      </c>
      <c r="L296" s="3">
        <v>0.21</v>
      </c>
      <c r="M296" s="2" t="s">
        <v>17</v>
      </c>
      <c r="N296" s="3" t="str" cm="1">
        <f t="array" ref="N296">_xlfn.IFS(G296&gt;=90,"Excellent",G296&gt;=80,"Good",G296&gt;=70,"Average",G296&lt;70,"Poor")</f>
        <v>Good</v>
      </c>
    </row>
    <row r="297" spans="1:14" x14ac:dyDescent="0.35">
      <c r="A297" s="2">
        <v>296</v>
      </c>
      <c r="B297" s="2" t="s">
        <v>338</v>
      </c>
      <c r="C297" s="2" t="s">
        <v>14</v>
      </c>
      <c r="D297" s="2" t="s">
        <v>29</v>
      </c>
      <c r="E297" s="2" t="s">
        <v>46</v>
      </c>
      <c r="F297" s="2">
        <v>2006</v>
      </c>
      <c r="G297" s="2">
        <v>86</v>
      </c>
      <c r="H297" s="3">
        <v>3.41</v>
      </c>
      <c r="I297" s="3">
        <v>1.86</v>
      </c>
      <c r="J297" s="3">
        <v>0.8</v>
      </c>
      <c r="K297" s="3">
        <v>0.32</v>
      </c>
      <c r="L297" s="3">
        <v>0.43</v>
      </c>
      <c r="M297" s="2" t="s">
        <v>27</v>
      </c>
      <c r="N297" s="3" t="str" cm="1">
        <f t="array" ref="N297">_xlfn.IFS(G297&gt;=90,"Excellent",G297&gt;=80,"Good",G297&gt;=70,"Average",G297&lt;70,"Poor")</f>
        <v>Good</v>
      </c>
    </row>
    <row r="298" spans="1:14" x14ac:dyDescent="0.35">
      <c r="A298" s="2">
        <v>297</v>
      </c>
      <c r="B298" s="2" t="s">
        <v>339</v>
      </c>
      <c r="C298" s="2" t="s">
        <v>57</v>
      </c>
      <c r="D298" s="2" t="s">
        <v>29</v>
      </c>
      <c r="E298" s="2" t="s">
        <v>46</v>
      </c>
      <c r="F298" s="2">
        <v>2011</v>
      </c>
      <c r="G298" s="2">
        <v>96</v>
      </c>
      <c r="H298" s="3">
        <v>0.15</v>
      </c>
      <c r="I298" s="3">
        <v>0.08</v>
      </c>
      <c r="J298" s="3">
        <v>0.04</v>
      </c>
      <c r="K298" s="3">
        <v>0.02</v>
      </c>
      <c r="L298" s="3">
        <v>0.01</v>
      </c>
      <c r="M298" s="2" t="s">
        <v>24</v>
      </c>
      <c r="N298" s="3" t="str" cm="1">
        <f t="array" ref="N298">_xlfn.IFS(G298&gt;=90,"Excellent",G298&gt;=80,"Good",G298&gt;=70,"Average",G298&lt;70,"Poor")</f>
        <v>Excellent</v>
      </c>
    </row>
    <row r="299" spans="1:14" x14ac:dyDescent="0.35">
      <c r="A299" s="2">
        <v>298</v>
      </c>
      <c r="B299" s="2" t="s">
        <v>340</v>
      </c>
      <c r="C299" s="2" t="s">
        <v>23</v>
      </c>
      <c r="D299" s="2" t="s">
        <v>29</v>
      </c>
      <c r="E299" s="2" t="s">
        <v>20</v>
      </c>
      <c r="F299" s="2">
        <v>2026</v>
      </c>
      <c r="G299" s="2">
        <v>59</v>
      </c>
      <c r="H299" s="3">
        <v>0.41</v>
      </c>
      <c r="I299" s="3">
        <v>0.15</v>
      </c>
      <c r="J299" s="3">
        <v>0.13</v>
      </c>
      <c r="K299" s="3">
        <v>7.0000000000000007E-2</v>
      </c>
      <c r="L299" s="3">
        <v>0.06</v>
      </c>
      <c r="M299" s="2" t="s">
        <v>24</v>
      </c>
      <c r="N299" s="3" t="str" cm="1">
        <f t="array" ref="N299">_xlfn.IFS(G299&gt;=90,"Excellent",G299&gt;=80,"Good",G299&gt;=70,"Average",G299&lt;70,"Poor")</f>
        <v>Poor</v>
      </c>
    </row>
    <row r="300" spans="1:14" x14ac:dyDescent="0.35">
      <c r="A300" s="2">
        <v>299</v>
      </c>
      <c r="B300" s="2" t="s">
        <v>341</v>
      </c>
      <c r="C300" s="2" t="s">
        <v>59</v>
      </c>
      <c r="D300" s="2" t="s">
        <v>48</v>
      </c>
      <c r="E300" s="2" t="s">
        <v>52</v>
      </c>
      <c r="F300" s="2">
        <v>1996</v>
      </c>
      <c r="G300" s="2">
        <v>57</v>
      </c>
      <c r="H300" s="3">
        <v>0.18</v>
      </c>
      <c r="I300" s="3">
        <v>0.09</v>
      </c>
      <c r="J300" s="3">
        <v>0.04</v>
      </c>
      <c r="K300" s="3">
        <v>0.03</v>
      </c>
      <c r="L300" s="3">
        <v>0.02</v>
      </c>
      <c r="M300" s="2" t="s">
        <v>24</v>
      </c>
      <c r="N300" s="3" t="str" cm="1">
        <f t="array" ref="N300">_xlfn.IFS(G300&gt;=90,"Excellent",G300&gt;=80,"Good",G300&gt;=70,"Average",G300&lt;70,"Poor")</f>
        <v>Poor</v>
      </c>
    </row>
    <row r="301" spans="1:14" x14ac:dyDescent="0.35">
      <c r="A301" s="2">
        <v>300</v>
      </c>
      <c r="B301" s="2" t="s">
        <v>342</v>
      </c>
      <c r="C301" s="2" t="s">
        <v>23</v>
      </c>
      <c r="D301" s="2" t="s">
        <v>33</v>
      </c>
      <c r="E301" s="2" t="s">
        <v>20</v>
      </c>
      <c r="F301" s="2">
        <v>2023</v>
      </c>
      <c r="G301" s="2">
        <v>86</v>
      </c>
      <c r="H301" s="3">
        <v>0.88</v>
      </c>
      <c r="I301" s="3">
        <v>0.46</v>
      </c>
      <c r="J301" s="3">
        <v>0.25</v>
      </c>
      <c r="K301" s="3">
        <v>0.09</v>
      </c>
      <c r="L301" s="3">
        <v>0.08</v>
      </c>
      <c r="M301" s="2" t="s">
        <v>17</v>
      </c>
      <c r="N301" s="3" t="str" cm="1">
        <f t="array" ref="N301">_xlfn.IFS(G301&gt;=90,"Excellent",G301&gt;=80,"Good",G301&gt;=70,"Average",G301&lt;70,"Poor")</f>
        <v>Good</v>
      </c>
    </row>
    <row r="302" spans="1:14" x14ac:dyDescent="0.35">
      <c r="A302" s="2">
        <v>301</v>
      </c>
      <c r="B302" s="2" t="s">
        <v>343</v>
      </c>
      <c r="C302" s="2" t="s">
        <v>31</v>
      </c>
      <c r="D302" s="2" t="s">
        <v>51</v>
      </c>
      <c r="E302" s="2" t="s">
        <v>49</v>
      </c>
      <c r="F302" s="2">
        <v>2006</v>
      </c>
      <c r="G302" s="2">
        <v>79</v>
      </c>
      <c r="H302" s="3">
        <v>1.1499999999999999</v>
      </c>
      <c r="I302" s="3">
        <v>0.45</v>
      </c>
      <c r="J302" s="3">
        <v>0.27</v>
      </c>
      <c r="K302" s="3">
        <v>0.09</v>
      </c>
      <c r="L302" s="3">
        <v>0.34</v>
      </c>
      <c r="M302" s="2" t="s">
        <v>17</v>
      </c>
      <c r="N302" s="3" t="str" cm="1">
        <f t="array" ref="N302">_xlfn.IFS(G302&gt;=90,"Excellent",G302&gt;=80,"Good",G302&gt;=70,"Average",G302&lt;70,"Poor")</f>
        <v>Average</v>
      </c>
    </row>
    <row r="303" spans="1:14" x14ac:dyDescent="0.35">
      <c r="A303" s="2">
        <v>302</v>
      </c>
      <c r="B303" s="2" t="s">
        <v>344</v>
      </c>
      <c r="C303" s="2" t="s">
        <v>57</v>
      </c>
      <c r="D303" s="2" t="s">
        <v>65</v>
      </c>
      <c r="E303" s="2" t="s">
        <v>20</v>
      </c>
      <c r="F303" s="2">
        <v>2010</v>
      </c>
      <c r="G303" s="2">
        <v>63</v>
      </c>
      <c r="H303" s="3">
        <v>0.85</v>
      </c>
      <c r="I303" s="3">
        <v>0.3</v>
      </c>
      <c r="J303" s="3">
        <v>0.2</v>
      </c>
      <c r="K303" s="3">
        <v>0.15</v>
      </c>
      <c r="L303" s="3">
        <v>0.2</v>
      </c>
      <c r="M303" s="2" t="s">
        <v>17</v>
      </c>
      <c r="N303" s="3" t="str" cm="1">
        <f t="array" ref="N303">_xlfn.IFS(G303&gt;=90,"Excellent",G303&gt;=80,"Good",G303&gt;=70,"Average",G303&lt;70,"Poor")</f>
        <v>Poor</v>
      </c>
    </row>
    <row r="304" spans="1:14" x14ac:dyDescent="0.35">
      <c r="A304" s="2">
        <v>303</v>
      </c>
      <c r="B304" s="2" t="s">
        <v>345</v>
      </c>
      <c r="C304" s="2" t="s">
        <v>14</v>
      </c>
      <c r="D304" s="2" t="s">
        <v>45</v>
      </c>
      <c r="E304" s="2" t="s">
        <v>41</v>
      </c>
      <c r="F304" s="2">
        <v>2010</v>
      </c>
      <c r="G304" s="2">
        <v>71</v>
      </c>
      <c r="H304" s="3">
        <v>0.32</v>
      </c>
      <c r="I304" s="3">
        <v>0.15</v>
      </c>
      <c r="J304" s="3">
        <v>0.09</v>
      </c>
      <c r="K304" s="3">
        <v>0.04</v>
      </c>
      <c r="L304" s="3">
        <v>0.04</v>
      </c>
      <c r="M304" s="2" t="s">
        <v>24</v>
      </c>
      <c r="N304" s="3" t="str" cm="1">
        <f t="array" ref="N304">_xlfn.IFS(G304&gt;=90,"Excellent",G304&gt;=80,"Good",G304&gt;=70,"Average",G304&lt;70,"Poor")</f>
        <v>Average</v>
      </c>
    </row>
    <row r="305" spans="1:14" x14ac:dyDescent="0.35">
      <c r="A305" s="2">
        <v>304</v>
      </c>
      <c r="B305" s="2" t="s">
        <v>346</v>
      </c>
      <c r="C305" s="2" t="s">
        <v>59</v>
      </c>
      <c r="D305" s="2" t="s">
        <v>29</v>
      </c>
      <c r="E305" s="2" t="s">
        <v>60</v>
      </c>
      <c r="F305" s="2">
        <v>1999</v>
      </c>
      <c r="G305" s="2">
        <v>73</v>
      </c>
      <c r="H305" s="3">
        <v>0.28999999999999998</v>
      </c>
      <c r="I305" s="3">
        <v>0.11</v>
      </c>
      <c r="J305" s="3">
        <v>0.1</v>
      </c>
      <c r="K305" s="3">
        <v>0.04</v>
      </c>
      <c r="L305" s="3">
        <v>0.04</v>
      </c>
      <c r="M305" s="2" t="s">
        <v>24</v>
      </c>
      <c r="N305" s="3" t="str" cm="1">
        <f t="array" ref="N305">_xlfn.IFS(G305&gt;=90,"Excellent",G305&gt;=80,"Good",G305&gt;=70,"Average",G305&lt;70,"Poor")</f>
        <v>Average</v>
      </c>
    </row>
    <row r="306" spans="1:14" x14ac:dyDescent="0.35">
      <c r="A306" s="2">
        <v>305</v>
      </c>
      <c r="B306" s="2" t="s">
        <v>347</v>
      </c>
      <c r="C306" s="2" t="s">
        <v>64</v>
      </c>
      <c r="D306" s="2" t="s">
        <v>51</v>
      </c>
      <c r="E306" s="2" t="s">
        <v>46</v>
      </c>
      <c r="F306" s="2">
        <v>2015</v>
      </c>
      <c r="G306" s="2">
        <v>88</v>
      </c>
      <c r="H306" s="3">
        <v>0.46</v>
      </c>
      <c r="I306" s="3">
        <v>0.22</v>
      </c>
      <c r="J306" s="3">
        <v>0.14000000000000001</v>
      </c>
      <c r="K306" s="3">
        <v>7.0000000000000007E-2</v>
      </c>
      <c r="L306" s="3">
        <v>0.03</v>
      </c>
      <c r="M306" s="2" t="s">
        <v>24</v>
      </c>
      <c r="N306" s="3" t="str" cm="1">
        <f t="array" ref="N306">_xlfn.IFS(G306&gt;=90,"Excellent",G306&gt;=80,"Good",G306&gt;=70,"Average",G306&lt;70,"Poor")</f>
        <v>Good</v>
      </c>
    </row>
    <row r="307" spans="1:14" x14ac:dyDescent="0.35">
      <c r="A307" s="2">
        <v>306</v>
      </c>
      <c r="B307" s="2" t="s">
        <v>348</v>
      </c>
      <c r="C307" s="2" t="s">
        <v>14</v>
      </c>
      <c r="D307" s="2" t="s">
        <v>45</v>
      </c>
      <c r="E307" s="2" t="s">
        <v>41</v>
      </c>
      <c r="F307" s="2">
        <v>2010</v>
      </c>
      <c r="G307" s="2">
        <v>92</v>
      </c>
      <c r="H307" s="3">
        <v>1.25</v>
      </c>
      <c r="I307" s="3">
        <v>0.48</v>
      </c>
      <c r="J307" s="3">
        <v>0.39</v>
      </c>
      <c r="K307" s="3">
        <v>0.1</v>
      </c>
      <c r="L307" s="3">
        <v>0.28000000000000003</v>
      </c>
      <c r="M307" s="2" t="s">
        <v>17</v>
      </c>
      <c r="N307" s="3" t="str" cm="1">
        <f t="array" ref="N307">_xlfn.IFS(G307&gt;=90,"Excellent",G307&gt;=80,"Good",G307&gt;=70,"Average",G307&lt;70,"Poor")</f>
        <v>Excellent</v>
      </c>
    </row>
    <row r="308" spans="1:14" x14ac:dyDescent="0.35">
      <c r="A308" s="2">
        <v>307</v>
      </c>
      <c r="B308" s="2" t="s">
        <v>349</v>
      </c>
      <c r="C308" s="2" t="s">
        <v>23</v>
      </c>
      <c r="D308" s="2" t="s">
        <v>62</v>
      </c>
      <c r="E308" s="2" t="s">
        <v>43</v>
      </c>
      <c r="F308" s="2">
        <v>2025</v>
      </c>
      <c r="G308" s="2">
        <v>65</v>
      </c>
      <c r="H308" s="3">
        <v>0.43</v>
      </c>
      <c r="I308" s="3">
        <v>0.16</v>
      </c>
      <c r="J308" s="3">
        <v>0.1</v>
      </c>
      <c r="K308" s="3">
        <v>7.0000000000000007E-2</v>
      </c>
      <c r="L308" s="3">
        <v>0.1</v>
      </c>
      <c r="M308" s="2" t="s">
        <v>24</v>
      </c>
      <c r="N308" s="3" t="str" cm="1">
        <f t="array" ref="N308">_xlfn.IFS(G308&gt;=90,"Excellent",G308&gt;=80,"Good",G308&gt;=70,"Average",G308&lt;70,"Poor")</f>
        <v>Poor</v>
      </c>
    </row>
    <row r="309" spans="1:14" x14ac:dyDescent="0.35">
      <c r="A309" s="2">
        <v>308</v>
      </c>
      <c r="B309" s="2" t="s">
        <v>350</v>
      </c>
      <c r="C309" s="2" t="s">
        <v>64</v>
      </c>
      <c r="D309" s="2" t="s">
        <v>29</v>
      </c>
      <c r="E309" s="2" t="s">
        <v>49</v>
      </c>
      <c r="F309" s="2">
        <v>2013</v>
      </c>
      <c r="G309" s="2">
        <v>69</v>
      </c>
      <c r="H309" s="3">
        <v>0.51</v>
      </c>
      <c r="I309" s="3">
        <v>0.26</v>
      </c>
      <c r="J309" s="3">
        <v>0.13</v>
      </c>
      <c r="K309" s="3">
        <v>0.05</v>
      </c>
      <c r="L309" s="3">
        <v>7.0000000000000007E-2</v>
      </c>
      <c r="M309" s="2" t="s">
        <v>17</v>
      </c>
      <c r="N309" s="3" t="str" cm="1">
        <f t="array" ref="N309">_xlfn.IFS(G309&gt;=90,"Excellent",G309&gt;=80,"Good",G309&gt;=70,"Average",G309&lt;70,"Poor")</f>
        <v>Poor</v>
      </c>
    </row>
    <row r="310" spans="1:14" x14ac:dyDescent="0.35">
      <c r="A310" s="2">
        <v>309</v>
      </c>
      <c r="B310" s="2" t="s">
        <v>351</v>
      </c>
      <c r="C310" s="2" t="s">
        <v>14</v>
      </c>
      <c r="D310" s="2" t="s">
        <v>33</v>
      </c>
      <c r="E310" s="2" t="s">
        <v>16</v>
      </c>
      <c r="F310" s="2">
        <v>2013</v>
      </c>
      <c r="G310" s="2">
        <v>92</v>
      </c>
      <c r="H310" s="3">
        <v>1.96</v>
      </c>
      <c r="I310" s="3">
        <v>1.03</v>
      </c>
      <c r="J310" s="3">
        <v>0.5</v>
      </c>
      <c r="K310" s="3">
        <v>0.19</v>
      </c>
      <c r="L310" s="3">
        <v>0.24</v>
      </c>
      <c r="M310" s="2" t="s">
        <v>17</v>
      </c>
      <c r="N310" s="3" t="str" cm="1">
        <f t="array" ref="N310">_xlfn.IFS(G310&gt;=90,"Excellent",G310&gt;=80,"Good",G310&gt;=70,"Average",G310&lt;70,"Poor")</f>
        <v>Excellent</v>
      </c>
    </row>
    <row r="311" spans="1:14" x14ac:dyDescent="0.35">
      <c r="A311" s="2">
        <v>310</v>
      </c>
      <c r="B311" s="2" t="s">
        <v>352</v>
      </c>
      <c r="C311" s="2" t="s">
        <v>59</v>
      </c>
      <c r="D311" s="2" t="s">
        <v>37</v>
      </c>
      <c r="E311" s="2" t="s">
        <v>52</v>
      </c>
      <c r="F311" s="2">
        <v>1996</v>
      </c>
      <c r="G311" s="2">
        <v>91</v>
      </c>
      <c r="H311" s="3">
        <v>0.3</v>
      </c>
      <c r="I311" s="3">
        <v>0.13</v>
      </c>
      <c r="J311" s="3">
        <v>7.0000000000000007E-2</v>
      </c>
      <c r="K311" s="3">
        <v>0.05</v>
      </c>
      <c r="L311" s="3">
        <v>0.05</v>
      </c>
      <c r="M311" s="2" t="s">
        <v>24</v>
      </c>
      <c r="N311" s="3" t="str" cm="1">
        <f t="array" ref="N311">_xlfn.IFS(G311&gt;=90,"Excellent",G311&gt;=80,"Good",G311&gt;=70,"Average",G311&lt;70,"Poor")</f>
        <v>Excellent</v>
      </c>
    </row>
    <row r="312" spans="1:14" x14ac:dyDescent="0.35">
      <c r="A312" s="2">
        <v>311</v>
      </c>
      <c r="B312" s="2" t="s">
        <v>353</v>
      </c>
      <c r="C312" s="2" t="s">
        <v>23</v>
      </c>
      <c r="D312" s="2" t="s">
        <v>37</v>
      </c>
      <c r="E312" s="2" t="s">
        <v>16</v>
      </c>
      <c r="F312" s="2">
        <v>2026</v>
      </c>
      <c r="G312" s="2">
        <v>94</v>
      </c>
      <c r="H312" s="3">
        <v>0.62</v>
      </c>
      <c r="I312" s="3">
        <v>0.27</v>
      </c>
      <c r="J312" s="3">
        <v>0.17</v>
      </c>
      <c r="K312" s="3">
        <v>0.03</v>
      </c>
      <c r="L312" s="3">
        <v>0.15</v>
      </c>
      <c r="M312" s="2" t="s">
        <v>17</v>
      </c>
      <c r="N312" s="3" t="str" cm="1">
        <f t="array" ref="N312">_xlfn.IFS(G312&gt;=90,"Excellent",G312&gt;=80,"Good",G312&gt;=70,"Average",G312&lt;70,"Poor")</f>
        <v>Excellent</v>
      </c>
    </row>
    <row r="313" spans="1:14" x14ac:dyDescent="0.35">
      <c r="A313" s="2">
        <v>312</v>
      </c>
      <c r="B313" s="2" t="s">
        <v>354</v>
      </c>
      <c r="C313" s="2" t="s">
        <v>23</v>
      </c>
      <c r="D313" s="2" t="s">
        <v>29</v>
      </c>
      <c r="E313" s="2" t="s">
        <v>20</v>
      </c>
      <c r="F313" s="2">
        <v>2021</v>
      </c>
      <c r="G313" s="2">
        <v>67</v>
      </c>
      <c r="H313" s="3">
        <v>1.17</v>
      </c>
      <c r="I313" s="3">
        <v>0.61</v>
      </c>
      <c r="J313" s="3">
        <v>0.28999999999999998</v>
      </c>
      <c r="K313" s="3">
        <v>0.08</v>
      </c>
      <c r="L313" s="3">
        <v>0.19</v>
      </c>
      <c r="M313" s="2" t="s">
        <v>17</v>
      </c>
      <c r="N313" s="3" t="str" cm="1">
        <f t="array" ref="N313">_xlfn.IFS(G313&gt;=90,"Excellent",G313&gt;=80,"Good",G313&gt;=70,"Average",G313&lt;70,"Poor")</f>
        <v>Poor</v>
      </c>
    </row>
    <row r="314" spans="1:14" x14ac:dyDescent="0.35">
      <c r="A314" s="2">
        <v>313</v>
      </c>
      <c r="B314" s="2" t="s">
        <v>355</v>
      </c>
      <c r="C314" s="2" t="s">
        <v>23</v>
      </c>
      <c r="D314" s="2" t="s">
        <v>51</v>
      </c>
      <c r="E314" s="2" t="s">
        <v>54</v>
      </c>
      <c r="F314" s="2">
        <v>2024</v>
      </c>
      <c r="G314" s="2">
        <v>74</v>
      </c>
      <c r="H314" s="3">
        <v>2.63</v>
      </c>
      <c r="I314" s="3">
        <v>1.19</v>
      </c>
      <c r="J314" s="3">
        <v>0.73</v>
      </c>
      <c r="K314" s="3">
        <v>0.3</v>
      </c>
      <c r="L314" s="3">
        <v>0.41</v>
      </c>
      <c r="M314" s="2" t="s">
        <v>27</v>
      </c>
      <c r="N314" s="3" t="str" cm="1">
        <f t="array" ref="N314">_xlfn.IFS(G314&gt;=90,"Excellent",G314&gt;=80,"Good",G314&gt;=70,"Average",G314&lt;70,"Poor")</f>
        <v>Average</v>
      </c>
    </row>
    <row r="315" spans="1:14" x14ac:dyDescent="0.35">
      <c r="A315" s="2">
        <v>314</v>
      </c>
      <c r="B315" s="2" t="s">
        <v>356</v>
      </c>
      <c r="C315" s="2" t="s">
        <v>57</v>
      </c>
      <c r="D315" s="2" t="s">
        <v>29</v>
      </c>
      <c r="E315" s="2" t="s">
        <v>16</v>
      </c>
      <c r="F315" s="2">
        <v>2006</v>
      </c>
      <c r="G315" s="2">
        <v>65</v>
      </c>
      <c r="H315" s="3">
        <v>0.39</v>
      </c>
      <c r="I315" s="3">
        <v>0.19</v>
      </c>
      <c r="J315" s="3">
        <v>0.09</v>
      </c>
      <c r="K315" s="3">
        <v>0.06</v>
      </c>
      <c r="L315" s="3">
        <v>0.05</v>
      </c>
      <c r="M315" s="2" t="s">
        <v>24</v>
      </c>
      <c r="N315" s="3" t="str" cm="1">
        <f t="array" ref="N315">_xlfn.IFS(G315&gt;=90,"Excellent",G315&gt;=80,"Good",G315&gt;=70,"Average",G315&lt;70,"Poor")</f>
        <v>Poor</v>
      </c>
    </row>
    <row r="316" spans="1:14" x14ac:dyDescent="0.35">
      <c r="A316" s="2">
        <v>315</v>
      </c>
      <c r="B316" s="2" t="s">
        <v>357</v>
      </c>
      <c r="C316" s="2" t="s">
        <v>23</v>
      </c>
      <c r="D316" s="2" t="s">
        <v>37</v>
      </c>
      <c r="E316" s="2" t="s">
        <v>49</v>
      </c>
      <c r="F316" s="2">
        <v>2024</v>
      </c>
      <c r="G316" s="2">
        <v>79</v>
      </c>
      <c r="H316" s="3">
        <v>1.61</v>
      </c>
      <c r="I316" s="3">
        <v>0.74</v>
      </c>
      <c r="J316" s="3">
        <v>0.33</v>
      </c>
      <c r="K316" s="3">
        <v>0.32</v>
      </c>
      <c r="L316" s="3">
        <v>0.22</v>
      </c>
      <c r="M316" s="2" t="s">
        <v>17</v>
      </c>
      <c r="N316" s="3" t="str" cm="1">
        <f t="array" ref="N316">_xlfn.IFS(G316&gt;=90,"Excellent",G316&gt;=80,"Good",G316&gt;=70,"Average",G316&lt;70,"Poor")</f>
        <v>Average</v>
      </c>
    </row>
    <row r="317" spans="1:14" x14ac:dyDescent="0.35">
      <c r="A317" s="2">
        <v>316</v>
      </c>
      <c r="B317" s="2" t="s">
        <v>358</v>
      </c>
      <c r="C317" s="2" t="s">
        <v>57</v>
      </c>
      <c r="D317" s="2" t="s">
        <v>15</v>
      </c>
      <c r="E317" s="2" t="s">
        <v>20</v>
      </c>
      <c r="F317" s="2">
        <v>2005</v>
      </c>
      <c r="G317" s="2">
        <v>83</v>
      </c>
      <c r="H317" s="3">
        <v>0.32</v>
      </c>
      <c r="I317" s="3">
        <v>0.14000000000000001</v>
      </c>
      <c r="J317" s="3">
        <v>7.0000000000000007E-2</v>
      </c>
      <c r="K317" s="3">
        <v>0.05</v>
      </c>
      <c r="L317" s="3">
        <v>0.06</v>
      </c>
      <c r="M317" s="2" t="s">
        <v>24</v>
      </c>
      <c r="N317" s="3" t="str" cm="1">
        <f t="array" ref="N317">_xlfn.IFS(G317&gt;=90,"Excellent",G317&gt;=80,"Good",G317&gt;=70,"Average",G317&lt;70,"Poor")</f>
        <v>Good</v>
      </c>
    </row>
    <row r="318" spans="1:14" x14ac:dyDescent="0.35">
      <c r="A318" s="2">
        <v>317</v>
      </c>
      <c r="B318" s="2" t="s">
        <v>359</v>
      </c>
      <c r="C318" s="2" t="s">
        <v>57</v>
      </c>
      <c r="D318" s="2" t="s">
        <v>51</v>
      </c>
      <c r="E318" s="2" t="s">
        <v>41</v>
      </c>
      <c r="F318" s="2">
        <v>2004</v>
      </c>
      <c r="G318" s="2">
        <v>72</v>
      </c>
      <c r="H318" s="3">
        <v>0.9</v>
      </c>
      <c r="I318" s="3">
        <v>0.39</v>
      </c>
      <c r="J318" s="3">
        <v>0.3</v>
      </c>
      <c r="K318" s="3">
        <v>0.11</v>
      </c>
      <c r="L318" s="3">
        <v>0.1</v>
      </c>
      <c r="M318" s="2" t="s">
        <v>17</v>
      </c>
      <c r="N318" s="3" t="str" cm="1">
        <f t="array" ref="N318">_xlfn.IFS(G318&gt;=90,"Excellent",G318&gt;=80,"Good",G318&gt;=70,"Average",G318&lt;70,"Poor")</f>
        <v>Average</v>
      </c>
    </row>
    <row r="319" spans="1:14" x14ac:dyDescent="0.35">
      <c r="A319" s="2">
        <v>318</v>
      </c>
      <c r="B319" s="2" t="s">
        <v>360</v>
      </c>
      <c r="C319" s="2" t="s">
        <v>23</v>
      </c>
      <c r="D319" s="2" t="s">
        <v>51</v>
      </c>
      <c r="E319" s="2" t="s">
        <v>49</v>
      </c>
      <c r="F319" s="2">
        <v>2020</v>
      </c>
      <c r="G319" s="2">
        <v>67</v>
      </c>
      <c r="H319" s="3">
        <v>1.57</v>
      </c>
      <c r="I319" s="3">
        <v>0.81</v>
      </c>
      <c r="J319" s="3">
        <v>0.54</v>
      </c>
      <c r="K319" s="3">
        <v>0.16</v>
      </c>
      <c r="L319" s="3">
        <v>0.06</v>
      </c>
      <c r="M319" s="2" t="s">
        <v>17</v>
      </c>
      <c r="N319" s="3" t="str" cm="1">
        <f t="array" ref="N319">_xlfn.IFS(G319&gt;=90,"Excellent",G319&gt;=80,"Good",G319&gt;=70,"Average",G319&lt;70,"Poor")</f>
        <v>Poor</v>
      </c>
    </row>
    <row r="320" spans="1:14" x14ac:dyDescent="0.35">
      <c r="A320" s="2">
        <v>319</v>
      </c>
      <c r="B320" s="2" t="s">
        <v>361</v>
      </c>
      <c r="C320" s="2" t="s">
        <v>19</v>
      </c>
      <c r="D320" s="2" t="s">
        <v>37</v>
      </c>
      <c r="E320" s="2" t="s">
        <v>20</v>
      </c>
      <c r="F320" s="2">
        <v>2017</v>
      </c>
      <c r="G320" s="2">
        <v>68</v>
      </c>
      <c r="H320" s="3">
        <v>1.42</v>
      </c>
      <c r="I320" s="3">
        <v>0.56000000000000005</v>
      </c>
      <c r="J320" s="3">
        <v>0.28999999999999998</v>
      </c>
      <c r="K320" s="3">
        <v>0.09</v>
      </c>
      <c r="L320" s="3">
        <v>0.48</v>
      </c>
      <c r="M320" s="2" t="s">
        <v>17</v>
      </c>
      <c r="N320" s="3" t="str" cm="1">
        <f t="array" ref="N320">_xlfn.IFS(G320&gt;=90,"Excellent",G320&gt;=80,"Good",G320&gt;=70,"Average",G320&lt;70,"Poor")</f>
        <v>Poor</v>
      </c>
    </row>
    <row r="321" spans="1:14" x14ac:dyDescent="0.35">
      <c r="A321" s="2">
        <v>320</v>
      </c>
      <c r="B321" s="2" t="s">
        <v>362</v>
      </c>
      <c r="C321" s="2" t="s">
        <v>59</v>
      </c>
      <c r="D321" s="2" t="s">
        <v>62</v>
      </c>
      <c r="E321" s="2" t="s">
        <v>54</v>
      </c>
      <c r="F321" s="2">
        <v>1999</v>
      </c>
      <c r="G321" s="2">
        <v>59</v>
      </c>
      <c r="H321" s="3">
        <v>0.59</v>
      </c>
      <c r="I321" s="3">
        <v>0.24</v>
      </c>
      <c r="J321" s="3">
        <v>0.14000000000000001</v>
      </c>
      <c r="K321" s="3">
        <v>0.12</v>
      </c>
      <c r="L321" s="3">
        <v>0.09</v>
      </c>
      <c r="M321" s="2" t="s">
        <v>17</v>
      </c>
      <c r="N321" s="3" t="str" cm="1">
        <f t="array" ref="N321">_xlfn.IFS(G321&gt;=90,"Excellent",G321&gt;=80,"Good",G321&gt;=70,"Average",G321&lt;70,"Poor")</f>
        <v>Poor</v>
      </c>
    </row>
    <row r="322" spans="1:14" x14ac:dyDescent="0.35">
      <c r="A322" s="2">
        <v>321</v>
      </c>
      <c r="B322" s="2" t="s">
        <v>363</v>
      </c>
      <c r="C322" s="2" t="s">
        <v>14</v>
      </c>
      <c r="D322" s="2" t="s">
        <v>62</v>
      </c>
      <c r="E322" s="2" t="s">
        <v>20</v>
      </c>
      <c r="F322" s="2">
        <v>2010</v>
      </c>
      <c r="G322" s="2">
        <v>57</v>
      </c>
      <c r="H322" s="3">
        <v>1.38</v>
      </c>
      <c r="I322" s="3">
        <v>0.67</v>
      </c>
      <c r="J322" s="3">
        <v>0.36</v>
      </c>
      <c r="K322" s="3">
        <v>0.09</v>
      </c>
      <c r="L322" s="3">
        <v>0.26</v>
      </c>
      <c r="M322" s="2" t="s">
        <v>17</v>
      </c>
      <c r="N322" s="3" t="str" cm="1">
        <f t="array" ref="N322">_xlfn.IFS(G322&gt;=90,"Excellent",G322&gt;=80,"Good",G322&gt;=70,"Average",G322&lt;70,"Poor")</f>
        <v>Poor</v>
      </c>
    </row>
    <row r="323" spans="1:14" x14ac:dyDescent="0.35">
      <c r="A323" s="2">
        <v>322</v>
      </c>
      <c r="B323" s="2" t="s">
        <v>364</v>
      </c>
      <c r="C323" s="2" t="s">
        <v>64</v>
      </c>
      <c r="D323" s="2" t="s">
        <v>15</v>
      </c>
      <c r="E323" s="2" t="s">
        <v>54</v>
      </c>
      <c r="F323" s="2">
        <v>2011</v>
      </c>
      <c r="G323" s="2">
        <v>77</v>
      </c>
      <c r="H323" s="3">
        <v>0.08</v>
      </c>
      <c r="I323" s="3">
        <v>0.03</v>
      </c>
      <c r="J323" s="3">
        <v>0.02</v>
      </c>
      <c r="K323" s="3">
        <v>0.01</v>
      </c>
      <c r="L323" s="3">
        <v>0.02</v>
      </c>
      <c r="M323" s="2" t="s">
        <v>24</v>
      </c>
      <c r="N323" s="3" t="str" cm="1">
        <f t="array" ref="N323">_xlfn.IFS(G323&gt;=90,"Excellent",G323&gt;=80,"Good",G323&gt;=70,"Average",G323&lt;70,"Poor")</f>
        <v>Average</v>
      </c>
    </row>
    <row r="324" spans="1:14" x14ac:dyDescent="0.35">
      <c r="A324" s="2">
        <v>323</v>
      </c>
      <c r="B324" s="2" t="s">
        <v>365</v>
      </c>
      <c r="C324" s="2" t="s">
        <v>19</v>
      </c>
      <c r="D324" s="2" t="s">
        <v>51</v>
      </c>
      <c r="E324" s="2" t="s">
        <v>41</v>
      </c>
      <c r="F324" s="2">
        <v>2020</v>
      </c>
      <c r="G324" s="2">
        <v>96</v>
      </c>
      <c r="H324" s="3">
        <v>1.66</v>
      </c>
      <c r="I324" s="3">
        <v>0.62</v>
      </c>
      <c r="J324" s="3">
        <v>0.51</v>
      </c>
      <c r="K324" s="3">
        <v>0.33</v>
      </c>
      <c r="L324" s="3">
        <v>0.2</v>
      </c>
      <c r="M324" s="2" t="s">
        <v>17</v>
      </c>
      <c r="N324" s="3" t="str" cm="1">
        <f t="array" ref="N324">_xlfn.IFS(G324&gt;=90,"Excellent",G324&gt;=80,"Good",G324&gt;=70,"Average",G324&lt;70,"Poor")</f>
        <v>Excellent</v>
      </c>
    </row>
    <row r="325" spans="1:14" x14ac:dyDescent="0.35">
      <c r="A325" s="2">
        <v>324</v>
      </c>
      <c r="B325" s="2" t="s">
        <v>366</v>
      </c>
      <c r="C325" s="2" t="s">
        <v>64</v>
      </c>
      <c r="D325" s="2" t="s">
        <v>33</v>
      </c>
      <c r="E325" s="2" t="s">
        <v>41</v>
      </c>
      <c r="F325" s="2">
        <v>2013</v>
      </c>
      <c r="G325" s="2">
        <v>91</v>
      </c>
      <c r="H325" s="3">
        <v>0.41</v>
      </c>
      <c r="I325" s="3">
        <v>0.17</v>
      </c>
      <c r="J325" s="3">
        <v>0.1</v>
      </c>
      <c r="K325" s="3">
        <v>0.02</v>
      </c>
      <c r="L325" s="3">
        <v>0.12</v>
      </c>
      <c r="M325" s="2" t="s">
        <v>24</v>
      </c>
      <c r="N325" s="3" t="str" cm="1">
        <f t="array" ref="N325">_xlfn.IFS(G325&gt;=90,"Excellent",G325&gt;=80,"Good",G325&gt;=70,"Average",G325&lt;70,"Poor")</f>
        <v>Excellent</v>
      </c>
    </row>
    <row r="326" spans="1:14" x14ac:dyDescent="0.35">
      <c r="A326" s="2">
        <v>325</v>
      </c>
      <c r="B326" s="2" t="s">
        <v>367</v>
      </c>
      <c r="C326" s="2" t="s">
        <v>57</v>
      </c>
      <c r="D326" s="2" t="s">
        <v>62</v>
      </c>
      <c r="E326" s="2" t="s">
        <v>16</v>
      </c>
      <c r="F326" s="2">
        <v>2006</v>
      </c>
      <c r="G326" s="2">
        <v>83</v>
      </c>
      <c r="H326" s="3">
        <v>0.19</v>
      </c>
      <c r="I326" s="3">
        <v>0.08</v>
      </c>
      <c r="J326" s="3">
        <v>0.06</v>
      </c>
      <c r="K326" s="3">
        <v>0.03</v>
      </c>
      <c r="L326" s="3">
        <v>0.02</v>
      </c>
      <c r="M326" s="2" t="s">
        <v>24</v>
      </c>
      <c r="N326" s="3" t="str" cm="1">
        <f t="array" ref="N326">_xlfn.IFS(G326&gt;=90,"Excellent",G326&gt;=80,"Good",G326&gt;=70,"Average",G326&lt;70,"Poor")</f>
        <v>Good</v>
      </c>
    </row>
    <row r="327" spans="1:14" x14ac:dyDescent="0.35">
      <c r="A327" s="2">
        <v>326</v>
      </c>
      <c r="B327" s="2" t="s">
        <v>368</v>
      </c>
      <c r="C327" s="2" t="s">
        <v>64</v>
      </c>
      <c r="D327" s="2" t="s">
        <v>29</v>
      </c>
      <c r="E327" s="2" t="s">
        <v>60</v>
      </c>
      <c r="F327" s="2">
        <v>2014</v>
      </c>
      <c r="G327" s="2">
        <v>61</v>
      </c>
      <c r="H327" s="3">
        <v>0.2</v>
      </c>
      <c r="I327" s="3">
        <v>0.09</v>
      </c>
      <c r="J327" s="3">
        <v>0.06</v>
      </c>
      <c r="K327" s="3">
        <v>0.03</v>
      </c>
      <c r="L327" s="3">
        <v>0.02</v>
      </c>
      <c r="M327" s="2" t="s">
        <v>24</v>
      </c>
      <c r="N327" s="3" t="str" cm="1">
        <f t="array" ref="N327">_xlfn.IFS(G327&gt;=90,"Excellent",G327&gt;=80,"Good",G327&gt;=70,"Average",G327&lt;70,"Poor")</f>
        <v>Poor</v>
      </c>
    </row>
    <row r="328" spans="1:14" x14ac:dyDescent="0.35">
      <c r="A328" s="2">
        <v>327</v>
      </c>
      <c r="B328" s="2" t="s">
        <v>369</v>
      </c>
      <c r="C328" s="2" t="s">
        <v>31</v>
      </c>
      <c r="D328" s="2" t="s">
        <v>65</v>
      </c>
      <c r="E328" s="2" t="s">
        <v>74</v>
      </c>
      <c r="F328" s="2">
        <v>2006</v>
      </c>
      <c r="G328" s="2">
        <v>96</v>
      </c>
      <c r="H328" s="3">
        <v>2.57</v>
      </c>
      <c r="I328" s="3">
        <v>1.1399999999999999</v>
      </c>
      <c r="J328" s="3">
        <v>0.71</v>
      </c>
      <c r="K328" s="3">
        <v>0.19</v>
      </c>
      <c r="L328" s="3">
        <v>0.53</v>
      </c>
      <c r="M328" s="2" t="s">
        <v>27</v>
      </c>
      <c r="N328" s="3" t="str" cm="1">
        <f t="array" ref="N328">_xlfn.IFS(G328&gt;=90,"Excellent",G328&gt;=80,"Good",G328&gt;=70,"Average",G328&lt;70,"Poor")</f>
        <v>Excellent</v>
      </c>
    </row>
    <row r="329" spans="1:14" x14ac:dyDescent="0.35">
      <c r="A329" s="2">
        <v>328</v>
      </c>
      <c r="B329" s="2" t="s">
        <v>370</v>
      </c>
      <c r="C329" s="2" t="s">
        <v>64</v>
      </c>
      <c r="D329" s="2" t="s">
        <v>29</v>
      </c>
      <c r="E329" s="2" t="s">
        <v>52</v>
      </c>
      <c r="F329" s="2">
        <v>2018</v>
      </c>
      <c r="G329" s="2">
        <v>58</v>
      </c>
      <c r="H329" s="3">
        <v>0.3</v>
      </c>
      <c r="I329" s="3">
        <v>0.13</v>
      </c>
      <c r="J329" s="3">
        <v>0.1</v>
      </c>
      <c r="K329" s="3">
        <v>0.02</v>
      </c>
      <c r="L329" s="3">
        <v>0.05</v>
      </c>
      <c r="M329" s="2" t="s">
        <v>24</v>
      </c>
      <c r="N329" s="3" t="str" cm="1">
        <f t="array" ref="N329">_xlfn.IFS(G329&gt;=90,"Excellent",G329&gt;=80,"Good",G329&gt;=70,"Average",G329&lt;70,"Poor")</f>
        <v>Poor</v>
      </c>
    </row>
    <row r="330" spans="1:14" x14ac:dyDescent="0.35">
      <c r="A330" s="2">
        <v>329</v>
      </c>
      <c r="B330" s="2" t="s">
        <v>371</v>
      </c>
      <c r="C330" s="2" t="s">
        <v>19</v>
      </c>
      <c r="D330" s="2" t="s">
        <v>33</v>
      </c>
      <c r="E330" s="2" t="s">
        <v>16</v>
      </c>
      <c r="F330" s="2">
        <v>2020</v>
      </c>
      <c r="G330" s="2">
        <v>62</v>
      </c>
      <c r="H330" s="3">
        <v>0.23</v>
      </c>
      <c r="I330" s="3">
        <v>0.08</v>
      </c>
      <c r="J330" s="3">
        <v>0.06</v>
      </c>
      <c r="K330" s="3">
        <v>0.04</v>
      </c>
      <c r="L330" s="3">
        <v>0.05</v>
      </c>
      <c r="M330" s="2" t="s">
        <v>24</v>
      </c>
      <c r="N330" s="3" t="str" cm="1">
        <f t="array" ref="N330">_xlfn.IFS(G330&gt;=90,"Excellent",G330&gt;=80,"Good",G330&gt;=70,"Average",G330&lt;70,"Poor")</f>
        <v>Poor</v>
      </c>
    </row>
    <row r="331" spans="1:14" x14ac:dyDescent="0.35">
      <c r="A331" s="2">
        <v>330</v>
      </c>
      <c r="B331" s="2" t="s">
        <v>372</v>
      </c>
      <c r="C331" s="2" t="s">
        <v>64</v>
      </c>
      <c r="D331" s="2" t="s">
        <v>65</v>
      </c>
      <c r="E331" s="2" t="s">
        <v>60</v>
      </c>
      <c r="F331" s="2">
        <v>2015</v>
      </c>
      <c r="G331" s="2">
        <v>76</v>
      </c>
      <c r="H331" s="3">
        <v>0.24</v>
      </c>
      <c r="I331" s="3">
        <v>0.09</v>
      </c>
      <c r="J331" s="3">
        <v>0.06</v>
      </c>
      <c r="K331" s="3">
        <v>0.03</v>
      </c>
      <c r="L331" s="3">
        <v>0.06</v>
      </c>
      <c r="M331" s="2" t="s">
        <v>24</v>
      </c>
      <c r="N331" s="3" t="str" cm="1">
        <f t="array" ref="N331">_xlfn.IFS(G331&gt;=90,"Excellent",G331&gt;=80,"Good",G331&gt;=70,"Average",G331&lt;70,"Poor")</f>
        <v>Average</v>
      </c>
    </row>
    <row r="332" spans="1:14" x14ac:dyDescent="0.35">
      <c r="A332" s="2">
        <v>331</v>
      </c>
      <c r="B332" s="2" t="s">
        <v>373</v>
      </c>
      <c r="C332" s="2" t="s">
        <v>23</v>
      </c>
      <c r="D332" s="2" t="s">
        <v>62</v>
      </c>
      <c r="E332" s="2" t="s">
        <v>43</v>
      </c>
      <c r="F332" s="2">
        <v>2024</v>
      </c>
      <c r="G332" s="2">
        <v>61</v>
      </c>
      <c r="H332" s="3">
        <v>1.23</v>
      </c>
      <c r="I332" s="3">
        <v>0.51</v>
      </c>
      <c r="J332" s="3">
        <v>0.4</v>
      </c>
      <c r="K332" s="3">
        <v>0.24</v>
      </c>
      <c r="L332" s="3">
        <v>0.08</v>
      </c>
      <c r="M332" s="2" t="s">
        <v>17</v>
      </c>
      <c r="N332" s="3" t="str" cm="1">
        <f t="array" ref="N332">_xlfn.IFS(G332&gt;=90,"Excellent",G332&gt;=80,"Good",G332&gt;=70,"Average",G332&lt;70,"Poor")</f>
        <v>Poor</v>
      </c>
    </row>
    <row r="333" spans="1:14" x14ac:dyDescent="0.35">
      <c r="A333" s="2">
        <v>332</v>
      </c>
      <c r="B333" s="2" t="s">
        <v>374</v>
      </c>
      <c r="C333" s="2" t="s">
        <v>14</v>
      </c>
      <c r="D333" s="2" t="s">
        <v>33</v>
      </c>
      <c r="E333" s="2" t="s">
        <v>20</v>
      </c>
      <c r="F333" s="2">
        <v>2011</v>
      </c>
      <c r="G333" s="2">
        <v>63</v>
      </c>
      <c r="H333" s="3">
        <v>4.0599999999999996</v>
      </c>
      <c r="I333" s="3">
        <v>1.75</v>
      </c>
      <c r="J333" s="3">
        <v>0.97</v>
      </c>
      <c r="K333" s="3">
        <v>0.32</v>
      </c>
      <c r="L333" s="3">
        <v>1.02</v>
      </c>
      <c r="M333" s="2" t="s">
        <v>27</v>
      </c>
      <c r="N333" s="3" t="str" cm="1">
        <f t="array" ref="N333">_xlfn.IFS(G333&gt;=90,"Excellent",G333&gt;=80,"Good",G333&gt;=70,"Average",G333&lt;70,"Poor")</f>
        <v>Poor</v>
      </c>
    </row>
    <row r="334" spans="1:14" x14ac:dyDescent="0.35">
      <c r="A334" s="2">
        <v>333</v>
      </c>
      <c r="B334" s="2" t="s">
        <v>375</v>
      </c>
      <c r="C334" s="2" t="s">
        <v>59</v>
      </c>
      <c r="D334" s="2" t="s">
        <v>48</v>
      </c>
      <c r="E334" s="2" t="s">
        <v>16</v>
      </c>
      <c r="F334" s="2">
        <v>1998</v>
      </c>
      <c r="G334" s="2">
        <v>61</v>
      </c>
      <c r="H334" s="3">
        <v>0.76</v>
      </c>
      <c r="I334" s="3">
        <v>0.28000000000000003</v>
      </c>
      <c r="J334" s="3">
        <v>0.25</v>
      </c>
      <c r="K334" s="3">
        <v>0.09</v>
      </c>
      <c r="L334" s="3">
        <v>0.14000000000000001</v>
      </c>
      <c r="M334" s="2" t="s">
        <v>17</v>
      </c>
      <c r="N334" s="3" t="str" cm="1">
        <f t="array" ref="N334">_xlfn.IFS(G334&gt;=90,"Excellent",G334&gt;=80,"Good",G334&gt;=70,"Average",G334&lt;70,"Poor")</f>
        <v>Poor</v>
      </c>
    </row>
    <row r="335" spans="1:14" x14ac:dyDescent="0.35">
      <c r="A335" s="2">
        <v>334</v>
      </c>
      <c r="B335" s="2" t="s">
        <v>376</v>
      </c>
      <c r="C335" s="2" t="s">
        <v>23</v>
      </c>
      <c r="D335" s="2" t="s">
        <v>37</v>
      </c>
      <c r="E335" s="2" t="s">
        <v>16</v>
      </c>
      <c r="F335" s="2">
        <v>2024</v>
      </c>
      <c r="G335" s="2">
        <v>58</v>
      </c>
      <c r="H335" s="3">
        <v>0.85</v>
      </c>
      <c r="I335" s="3">
        <v>0.4</v>
      </c>
      <c r="J335" s="3">
        <v>0.28999999999999998</v>
      </c>
      <c r="K335" s="3">
        <v>0.14000000000000001</v>
      </c>
      <c r="L335" s="3">
        <v>0.02</v>
      </c>
      <c r="M335" s="2" t="s">
        <v>17</v>
      </c>
      <c r="N335" s="3" t="str" cm="1">
        <f t="array" ref="N335">_xlfn.IFS(G335&gt;=90,"Excellent",G335&gt;=80,"Good",G335&gt;=70,"Average",G335&lt;70,"Poor")</f>
        <v>Poor</v>
      </c>
    </row>
    <row r="336" spans="1:14" x14ac:dyDescent="0.35">
      <c r="A336" s="2">
        <v>335</v>
      </c>
      <c r="B336" s="2" t="s">
        <v>377</v>
      </c>
      <c r="C336" s="2" t="s">
        <v>31</v>
      </c>
      <c r="D336" s="2" t="s">
        <v>2</v>
      </c>
      <c r="E336" s="2" t="s">
        <v>54</v>
      </c>
      <c r="F336" s="2">
        <v>2005</v>
      </c>
      <c r="G336" s="2">
        <v>79</v>
      </c>
      <c r="H336" s="3">
        <v>1.23</v>
      </c>
      <c r="I336" s="3">
        <v>0.51</v>
      </c>
      <c r="J336" s="3">
        <v>0.41</v>
      </c>
      <c r="K336" s="3">
        <v>0.14000000000000001</v>
      </c>
      <c r="L336" s="3">
        <v>0.17</v>
      </c>
      <c r="M336" s="2" t="s">
        <v>17</v>
      </c>
      <c r="N336" s="3" t="str" cm="1">
        <f t="array" ref="N336">_xlfn.IFS(G336&gt;=90,"Excellent",G336&gt;=80,"Good",G336&gt;=70,"Average",G336&lt;70,"Poor")</f>
        <v>Average</v>
      </c>
    </row>
    <row r="337" spans="1:14" x14ac:dyDescent="0.35">
      <c r="A337" s="2">
        <v>336</v>
      </c>
      <c r="B337" s="2" t="s">
        <v>378</v>
      </c>
      <c r="C337" s="2" t="s">
        <v>23</v>
      </c>
      <c r="D337" s="2" t="s">
        <v>48</v>
      </c>
      <c r="E337" s="2" t="s">
        <v>46</v>
      </c>
      <c r="F337" s="2">
        <v>2025</v>
      </c>
      <c r="G337" s="2">
        <v>73</v>
      </c>
      <c r="H337" s="3">
        <v>0.68</v>
      </c>
      <c r="I337" s="3">
        <v>0.28999999999999998</v>
      </c>
      <c r="J337" s="3">
        <v>0.21</v>
      </c>
      <c r="K337" s="3">
        <v>0.11</v>
      </c>
      <c r="L337" s="3">
        <v>7.0000000000000007E-2</v>
      </c>
      <c r="M337" s="2" t="s">
        <v>17</v>
      </c>
      <c r="N337" s="3" t="str" cm="1">
        <f t="array" ref="N337">_xlfn.IFS(G337&gt;=90,"Excellent",G337&gt;=80,"Good",G337&gt;=70,"Average",G337&lt;70,"Poor")</f>
        <v>Average</v>
      </c>
    </row>
    <row r="338" spans="1:14" x14ac:dyDescent="0.35">
      <c r="A338" s="2">
        <v>337</v>
      </c>
      <c r="B338" s="2" t="s">
        <v>379</v>
      </c>
      <c r="C338" s="2" t="s">
        <v>14</v>
      </c>
      <c r="D338" s="2" t="s">
        <v>65</v>
      </c>
      <c r="E338" s="2" t="s">
        <v>52</v>
      </c>
      <c r="F338" s="2">
        <v>2011</v>
      </c>
      <c r="G338" s="2">
        <v>94</v>
      </c>
      <c r="H338" s="3">
        <v>1.69</v>
      </c>
      <c r="I338" s="3">
        <v>0.9</v>
      </c>
      <c r="J338" s="3">
        <v>0.37</v>
      </c>
      <c r="K338" s="3">
        <v>0.26</v>
      </c>
      <c r="L338" s="3">
        <v>0.16</v>
      </c>
      <c r="M338" s="2" t="s">
        <v>17</v>
      </c>
      <c r="N338" s="3" t="str" cm="1">
        <f t="array" ref="N338">_xlfn.IFS(G338&gt;=90,"Excellent",G338&gt;=80,"Good",G338&gt;=70,"Average",G338&lt;70,"Poor")</f>
        <v>Excellent</v>
      </c>
    </row>
    <row r="339" spans="1:14" x14ac:dyDescent="0.35">
      <c r="A339" s="2">
        <v>338</v>
      </c>
      <c r="B339" s="2" t="s">
        <v>380</v>
      </c>
      <c r="C339" s="2" t="s">
        <v>31</v>
      </c>
      <c r="D339" s="2" t="s">
        <v>65</v>
      </c>
      <c r="E339" s="2" t="s">
        <v>43</v>
      </c>
      <c r="F339" s="2">
        <v>2004</v>
      </c>
      <c r="G339" s="2">
        <v>90</v>
      </c>
      <c r="H339" s="3">
        <v>0.62</v>
      </c>
      <c r="I339" s="3">
        <v>0.3</v>
      </c>
      <c r="J339" s="3">
        <v>0.16</v>
      </c>
      <c r="K339" s="3">
        <v>0.1</v>
      </c>
      <c r="L339" s="3">
        <v>0.06</v>
      </c>
      <c r="M339" s="2" t="s">
        <v>17</v>
      </c>
      <c r="N339" s="3" t="str" cm="1">
        <f t="array" ref="N339">_xlfn.IFS(G339&gt;=90,"Excellent",G339&gt;=80,"Good",G339&gt;=70,"Average",G339&lt;70,"Poor")</f>
        <v>Excellent</v>
      </c>
    </row>
    <row r="340" spans="1:14" x14ac:dyDescent="0.35">
      <c r="A340" s="2">
        <v>339</v>
      </c>
      <c r="B340" s="2" t="s">
        <v>381</v>
      </c>
      <c r="C340" s="2" t="s">
        <v>64</v>
      </c>
      <c r="D340" s="2" t="s">
        <v>51</v>
      </c>
      <c r="E340" s="2" t="s">
        <v>41</v>
      </c>
      <c r="F340" s="2">
        <v>2019</v>
      </c>
      <c r="G340" s="2">
        <v>61</v>
      </c>
      <c r="H340" s="3">
        <v>0.41</v>
      </c>
      <c r="I340" s="3">
        <v>0.21</v>
      </c>
      <c r="J340" s="3">
        <v>0.09</v>
      </c>
      <c r="K340" s="3">
        <v>0.04</v>
      </c>
      <c r="L340" s="3">
        <v>7.0000000000000007E-2</v>
      </c>
      <c r="M340" s="2" t="s">
        <v>24</v>
      </c>
      <c r="N340" s="3" t="str" cm="1">
        <f t="array" ref="N340">_xlfn.IFS(G340&gt;=90,"Excellent",G340&gt;=80,"Good",G340&gt;=70,"Average",G340&lt;70,"Poor")</f>
        <v>Poor</v>
      </c>
    </row>
    <row r="341" spans="1:14" x14ac:dyDescent="0.35">
      <c r="A341" s="2">
        <v>340</v>
      </c>
      <c r="B341" s="2" t="s">
        <v>382</v>
      </c>
      <c r="C341" s="2" t="s">
        <v>14</v>
      </c>
      <c r="D341" s="2" t="s">
        <v>15</v>
      </c>
      <c r="E341" s="2" t="s">
        <v>46</v>
      </c>
      <c r="F341" s="2">
        <v>2008</v>
      </c>
      <c r="G341" s="2">
        <v>57</v>
      </c>
      <c r="H341" s="3">
        <v>0.4</v>
      </c>
      <c r="I341" s="3">
        <v>0.19</v>
      </c>
      <c r="J341" s="3">
        <v>0.12</v>
      </c>
      <c r="K341" s="3">
        <v>0.05</v>
      </c>
      <c r="L341" s="3">
        <v>0.04</v>
      </c>
      <c r="M341" s="2" t="s">
        <v>24</v>
      </c>
      <c r="N341" s="3" t="str" cm="1">
        <f t="array" ref="N341">_xlfn.IFS(G341&gt;=90,"Excellent",G341&gt;=80,"Good",G341&gt;=70,"Average",G341&lt;70,"Poor")</f>
        <v>Poor</v>
      </c>
    </row>
    <row r="342" spans="1:14" x14ac:dyDescent="0.35">
      <c r="A342" s="2">
        <v>341</v>
      </c>
      <c r="B342" s="2" t="s">
        <v>383</v>
      </c>
      <c r="C342" s="2" t="s">
        <v>31</v>
      </c>
      <c r="D342" s="2" t="s">
        <v>65</v>
      </c>
      <c r="E342" s="2" t="s">
        <v>41</v>
      </c>
      <c r="F342" s="2">
        <v>2005</v>
      </c>
      <c r="G342" s="2">
        <v>73</v>
      </c>
      <c r="H342" s="3">
        <v>0.91</v>
      </c>
      <c r="I342" s="3">
        <v>0.39</v>
      </c>
      <c r="J342" s="3">
        <v>0.24</v>
      </c>
      <c r="K342" s="3">
        <v>0.15</v>
      </c>
      <c r="L342" s="3">
        <v>0.13</v>
      </c>
      <c r="M342" s="2" t="s">
        <v>17</v>
      </c>
      <c r="N342" s="3" t="str" cm="1">
        <f t="array" ref="N342">_xlfn.IFS(G342&gt;=90,"Excellent",G342&gt;=80,"Good",G342&gt;=70,"Average",G342&lt;70,"Poor")</f>
        <v>Average</v>
      </c>
    </row>
    <row r="343" spans="1:14" x14ac:dyDescent="0.35">
      <c r="A343" s="2">
        <v>342</v>
      </c>
      <c r="B343" s="2" t="s">
        <v>384</v>
      </c>
      <c r="C343" s="2" t="s">
        <v>57</v>
      </c>
      <c r="D343" s="2" t="s">
        <v>65</v>
      </c>
      <c r="E343" s="2" t="s">
        <v>20</v>
      </c>
      <c r="F343" s="2">
        <v>2009</v>
      </c>
      <c r="G343" s="2">
        <v>67</v>
      </c>
      <c r="H343" s="3">
        <v>1.1599999999999999</v>
      </c>
      <c r="I343" s="3">
        <v>0.59</v>
      </c>
      <c r="J343" s="3">
        <v>0.36</v>
      </c>
      <c r="K343" s="3">
        <v>0.21</v>
      </c>
      <c r="L343" s="3">
        <v>0</v>
      </c>
      <c r="M343" s="2" t="s">
        <v>17</v>
      </c>
      <c r="N343" s="3" t="str" cm="1">
        <f t="array" ref="N343">_xlfn.IFS(G343&gt;=90,"Excellent",G343&gt;=80,"Good",G343&gt;=70,"Average",G343&lt;70,"Poor")</f>
        <v>Poor</v>
      </c>
    </row>
    <row r="344" spans="1:14" x14ac:dyDescent="0.35">
      <c r="A344" s="2">
        <v>343</v>
      </c>
      <c r="B344" s="2" t="s">
        <v>385</v>
      </c>
      <c r="C344" s="2" t="s">
        <v>57</v>
      </c>
      <c r="D344" s="2" t="s">
        <v>29</v>
      </c>
      <c r="E344" s="2" t="s">
        <v>74</v>
      </c>
      <c r="F344" s="2">
        <v>2014</v>
      </c>
      <c r="G344" s="2">
        <v>67</v>
      </c>
      <c r="H344" s="3">
        <v>0.33</v>
      </c>
      <c r="I344" s="3">
        <v>0.16</v>
      </c>
      <c r="J344" s="3">
        <v>0.08</v>
      </c>
      <c r="K344" s="3">
        <v>0.03</v>
      </c>
      <c r="L344" s="3">
        <v>0.06</v>
      </c>
      <c r="M344" s="2" t="s">
        <v>24</v>
      </c>
      <c r="N344" s="3" t="str" cm="1">
        <f t="array" ref="N344">_xlfn.IFS(G344&gt;=90,"Excellent",G344&gt;=80,"Good",G344&gt;=70,"Average",G344&lt;70,"Poor")</f>
        <v>Poor</v>
      </c>
    </row>
    <row r="345" spans="1:14" x14ac:dyDescent="0.35">
      <c r="A345" s="2">
        <v>344</v>
      </c>
      <c r="B345" s="2" t="s">
        <v>386</v>
      </c>
      <c r="C345" s="2" t="s">
        <v>23</v>
      </c>
      <c r="D345" s="2" t="s">
        <v>45</v>
      </c>
      <c r="E345" s="2" t="s">
        <v>20</v>
      </c>
      <c r="F345" s="2">
        <v>2020</v>
      </c>
      <c r="G345" s="2">
        <v>90</v>
      </c>
      <c r="H345" s="3">
        <v>0.48</v>
      </c>
      <c r="I345" s="3">
        <v>0.25</v>
      </c>
      <c r="J345" s="3">
        <v>0.1</v>
      </c>
      <c r="K345" s="3">
        <v>0.06</v>
      </c>
      <c r="L345" s="3">
        <v>7.0000000000000007E-2</v>
      </c>
      <c r="M345" s="2" t="s">
        <v>24</v>
      </c>
      <c r="N345" s="3" t="str" cm="1">
        <f t="array" ref="N345">_xlfn.IFS(G345&gt;=90,"Excellent",G345&gt;=80,"Good",G345&gt;=70,"Average",G345&lt;70,"Poor")</f>
        <v>Excellent</v>
      </c>
    </row>
    <row r="346" spans="1:14" x14ac:dyDescent="0.35">
      <c r="A346" s="2">
        <v>345</v>
      </c>
      <c r="B346" s="2" t="s">
        <v>387</v>
      </c>
      <c r="C346" s="2" t="s">
        <v>31</v>
      </c>
      <c r="D346" s="2" t="s">
        <v>37</v>
      </c>
      <c r="E346" s="2" t="s">
        <v>43</v>
      </c>
      <c r="F346" s="2">
        <v>2000</v>
      </c>
      <c r="G346" s="2">
        <v>95</v>
      </c>
      <c r="H346" s="3">
        <v>1.1200000000000001</v>
      </c>
      <c r="I346" s="3">
        <v>0.5</v>
      </c>
      <c r="J346" s="3">
        <v>0.32</v>
      </c>
      <c r="K346" s="3">
        <v>0.12</v>
      </c>
      <c r="L346" s="3">
        <v>0.18</v>
      </c>
      <c r="M346" s="2" t="s">
        <v>17</v>
      </c>
      <c r="N346" s="3" t="str" cm="1">
        <f t="array" ref="N346">_xlfn.IFS(G346&gt;=90,"Excellent",G346&gt;=80,"Good",G346&gt;=70,"Average",G346&lt;70,"Poor")</f>
        <v>Excellent</v>
      </c>
    </row>
    <row r="347" spans="1:14" x14ac:dyDescent="0.35">
      <c r="A347" s="2">
        <v>346</v>
      </c>
      <c r="B347" s="2" t="s">
        <v>388</v>
      </c>
      <c r="C347" s="2" t="s">
        <v>64</v>
      </c>
      <c r="D347" s="2" t="s">
        <v>65</v>
      </c>
      <c r="E347" s="2" t="s">
        <v>52</v>
      </c>
      <c r="F347" s="2">
        <v>2016</v>
      </c>
      <c r="G347" s="2">
        <v>59</v>
      </c>
      <c r="H347" s="3">
        <v>0.5</v>
      </c>
      <c r="I347" s="3">
        <v>0.23</v>
      </c>
      <c r="J347" s="3">
        <v>0.13</v>
      </c>
      <c r="K347" s="3">
        <v>0.05</v>
      </c>
      <c r="L347" s="3">
        <v>0.09</v>
      </c>
      <c r="M347" s="2" t="s">
        <v>24</v>
      </c>
      <c r="N347" s="3" t="str" cm="1">
        <f t="array" ref="N347">_xlfn.IFS(G347&gt;=90,"Excellent",G347&gt;=80,"Good",G347&gt;=70,"Average",G347&lt;70,"Poor")</f>
        <v>Poor</v>
      </c>
    </row>
    <row r="348" spans="1:14" x14ac:dyDescent="0.35">
      <c r="A348" s="2">
        <v>347</v>
      </c>
      <c r="B348" s="2" t="s">
        <v>389</v>
      </c>
      <c r="C348" s="2" t="s">
        <v>31</v>
      </c>
      <c r="D348" s="2" t="s">
        <v>29</v>
      </c>
      <c r="E348" s="2" t="s">
        <v>43</v>
      </c>
      <c r="F348" s="2">
        <v>2005</v>
      </c>
      <c r="G348" s="2">
        <v>68</v>
      </c>
      <c r="H348" s="3">
        <v>0.61</v>
      </c>
      <c r="I348" s="3">
        <v>0.31</v>
      </c>
      <c r="J348" s="3">
        <v>0.18</v>
      </c>
      <c r="K348" s="3">
        <v>0.04</v>
      </c>
      <c r="L348" s="3">
        <v>0.08</v>
      </c>
      <c r="M348" s="2" t="s">
        <v>17</v>
      </c>
      <c r="N348" s="3" t="str" cm="1">
        <f t="array" ref="N348">_xlfn.IFS(G348&gt;=90,"Excellent",G348&gt;=80,"Good",G348&gt;=70,"Average",G348&lt;70,"Poor")</f>
        <v>Poor</v>
      </c>
    </row>
    <row r="349" spans="1:14" x14ac:dyDescent="0.35">
      <c r="A349" s="2">
        <v>348</v>
      </c>
      <c r="B349" s="2" t="s">
        <v>390</v>
      </c>
      <c r="C349" s="2" t="s">
        <v>14</v>
      </c>
      <c r="D349" s="2" t="s">
        <v>48</v>
      </c>
      <c r="E349" s="2" t="s">
        <v>74</v>
      </c>
      <c r="F349" s="2">
        <v>2013</v>
      </c>
      <c r="G349" s="2">
        <v>57</v>
      </c>
      <c r="H349" s="3">
        <v>0.89</v>
      </c>
      <c r="I349" s="3">
        <v>0.47</v>
      </c>
      <c r="J349" s="3">
        <v>0.3</v>
      </c>
      <c r="K349" s="3">
        <v>0.1</v>
      </c>
      <c r="L349" s="3">
        <v>0.02</v>
      </c>
      <c r="M349" s="2" t="s">
        <v>17</v>
      </c>
      <c r="N349" s="3" t="str" cm="1">
        <f t="array" ref="N349">_xlfn.IFS(G349&gt;=90,"Excellent",G349&gt;=80,"Good",G349&gt;=70,"Average",G349&lt;70,"Poor")</f>
        <v>Poor</v>
      </c>
    </row>
    <row r="350" spans="1:14" x14ac:dyDescent="0.35">
      <c r="A350" s="2">
        <v>349</v>
      </c>
      <c r="B350" s="2" t="s">
        <v>391</v>
      </c>
      <c r="C350" s="2" t="s">
        <v>23</v>
      </c>
      <c r="D350" s="2" t="s">
        <v>51</v>
      </c>
      <c r="E350" s="2" t="s">
        <v>20</v>
      </c>
      <c r="F350" s="2">
        <v>2025</v>
      </c>
      <c r="G350" s="2">
        <v>87</v>
      </c>
      <c r="H350" s="3">
        <v>1.71</v>
      </c>
      <c r="I350" s="3">
        <v>0.61</v>
      </c>
      <c r="J350" s="3">
        <v>0.56999999999999995</v>
      </c>
      <c r="K350" s="3">
        <v>0.13</v>
      </c>
      <c r="L350" s="3">
        <v>0.4</v>
      </c>
      <c r="M350" s="2" t="s">
        <v>17</v>
      </c>
      <c r="N350" s="3" t="str" cm="1">
        <f t="array" ref="N350">_xlfn.IFS(G350&gt;=90,"Excellent",G350&gt;=80,"Good",G350&gt;=70,"Average",G350&lt;70,"Poor")</f>
        <v>Good</v>
      </c>
    </row>
    <row r="351" spans="1:14" x14ac:dyDescent="0.35">
      <c r="A351" s="2">
        <v>350</v>
      </c>
      <c r="B351" s="2" t="s">
        <v>392</v>
      </c>
      <c r="C351" s="2" t="s">
        <v>23</v>
      </c>
      <c r="D351" s="2" t="s">
        <v>33</v>
      </c>
      <c r="E351" s="2" t="s">
        <v>54</v>
      </c>
      <c r="F351" s="2">
        <v>2020</v>
      </c>
      <c r="G351" s="2">
        <v>55</v>
      </c>
      <c r="H351" s="3">
        <v>0.94</v>
      </c>
      <c r="I351" s="3">
        <v>0.45</v>
      </c>
      <c r="J351" s="3">
        <v>0.22</v>
      </c>
      <c r="K351" s="3">
        <v>0.14000000000000001</v>
      </c>
      <c r="L351" s="3">
        <v>0.13</v>
      </c>
      <c r="M351" s="2" t="s">
        <v>17</v>
      </c>
      <c r="N351" s="3" t="str" cm="1">
        <f t="array" ref="N351">_xlfn.IFS(G351&gt;=90,"Excellent",G351&gt;=80,"Good",G351&gt;=70,"Average",G351&lt;70,"Poor")</f>
        <v>Poor</v>
      </c>
    </row>
    <row r="352" spans="1:14" x14ac:dyDescent="0.35">
      <c r="A352" s="2">
        <v>351</v>
      </c>
      <c r="B352" s="2" t="s">
        <v>393</v>
      </c>
      <c r="C352" s="2" t="s">
        <v>64</v>
      </c>
      <c r="D352" s="2" t="s">
        <v>48</v>
      </c>
      <c r="E352" s="2" t="s">
        <v>60</v>
      </c>
      <c r="F352" s="2">
        <v>2012</v>
      </c>
      <c r="G352" s="2">
        <v>98</v>
      </c>
      <c r="H352" s="3">
        <v>0.11</v>
      </c>
      <c r="I352" s="3">
        <v>0.05</v>
      </c>
      <c r="J352" s="3">
        <v>0.02</v>
      </c>
      <c r="K352" s="3">
        <v>0.01</v>
      </c>
      <c r="L352" s="3">
        <v>0.03</v>
      </c>
      <c r="M352" s="2" t="s">
        <v>24</v>
      </c>
      <c r="N352" s="3" t="str" cm="1">
        <f t="array" ref="N352">_xlfn.IFS(G352&gt;=90,"Excellent",G352&gt;=80,"Good",G352&gt;=70,"Average",G352&lt;70,"Poor")</f>
        <v>Excellent</v>
      </c>
    </row>
    <row r="353" spans="1:14" x14ac:dyDescent="0.35">
      <c r="A353" s="2">
        <v>352</v>
      </c>
      <c r="B353" s="2" t="s">
        <v>394</v>
      </c>
      <c r="C353" s="2" t="s">
        <v>64</v>
      </c>
      <c r="D353" s="2" t="s">
        <v>65</v>
      </c>
      <c r="E353" s="2" t="s">
        <v>49</v>
      </c>
      <c r="F353" s="2">
        <v>2015</v>
      </c>
      <c r="G353" s="2">
        <v>71</v>
      </c>
      <c r="H353" s="3">
        <v>0.23</v>
      </c>
      <c r="I353" s="3">
        <v>0.1</v>
      </c>
      <c r="J353" s="3">
        <v>0.06</v>
      </c>
      <c r="K353" s="3">
        <v>0.02</v>
      </c>
      <c r="L353" s="3">
        <v>0.05</v>
      </c>
      <c r="M353" s="2" t="s">
        <v>24</v>
      </c>
      <c r="N353" s="3" t="str" cm="1">
        <f t="array" ref="N353">_xlfn.IFS(G353&gt;=90,"Excellent",G353&gt;=80,"Good",G353&gt;=70,"Average",G353&lt;70,"Poor")</f>
        <v>Average</v>
      </c>
    </row>
    <row r="354" spans="1:14" x14ac:dyDescent="0.35">
      <c r="A354" s="2">
        <v>353</v>
      </c>
      <c r="B354" s="2" t="s">
        <v>395</v>
      </c>
      <c r="C354" s="2" t="s">
        <v>59</v>
      </c>
      <c r="D354" s="2" t="s">
        <v>15</v>
      </c>
      <c r="E354" s="2" t="s">
        <v>74</v>
      </c>
      <c r="F354" s="2">
        <v>1999</v>
      </c>
      <c r="G354" s="2">
        <v>57</v>
      </c>
      <c r="H354" s="3">
        <v>0.56999999999999995</v>
      </c>
      <c r="I354" s="3">
        <v>0.31</v>
      </c>
      <c r="J354" s="3">
        <v>0.12</v>
      </c>
      <c r="K354" s="3">
        <v>0.1</v>
      </c>
      <c r="L354" s="3">
        <v>0.04</v>
      </c>
      <c r="M354" s="2" t="s">
        <v>17</v>
      </c>
      <c r="N354" s="3" t="str" cm="1">
        <f t="array" ref="N354">_xlfn.IFS(G354&gt;=90,"Excellent",G354&gt;=80,"Good",G354&gt;=70,"Average",G354&lt;70,"Poor")</f>
        <v>Poor</v>
      </c>
    </row>
    <row r="355" spans="1:14" x14ac:dyDescent="0.35">
      <c r="A355" s="2">
        <v>354</v>
      </c>
      <c r="B355" s="2" t="s">
        <v>396</v>
      </c>
      <c r="C355" s="2" t="s">
        <v>14</v>
      </c>
      <c r="D355" s="2" t="s">
        <v>51</v>
      </c>
      <c r="E355" s="2" t="s">
        <v>16</v>
      </c>
      <c r="F355" s="2">
        <v>2007</v>
      </c>
      <c r="G355" s="2">
        <v>97</v>
      </c>
      <c r="H355" s="3">
        <v>0.11</v>
      </c>
      <c r="I355" s="3">
        <v>0.06</v>
      </c>
      <c r="J355" s="3">
        <v>0.04</v>
      </c>
      <c r="K355" s="3">
        <v>0.01</v>
      </c>
      <c r="L355" s="3">
        <v>0</v>
      </c>
      <c r="M355" s="2" t="s">
        <v>24</v>
      </c>
      <c r="N355" s="3" t="str" cm="1">
        <f t="array" ref="N355">_xlfn.IFS(G355&gt;=90,"Excellent",G355&gt;=80,"Good",G355&gt;=70,"Average",G355&lt;70,"Poor")</f>
        <v>Excellent</v>
      </c>
    </row>
    <row r="356" spans="1:14" x14ac:dyDescent="0.35">
      <c r="A356" s="2">
        <v>355</v>
      </c>
      <c r="B356" s="2" t="s">
        <v>397</v>
      </c>
      <c r="C356" s="2" t="s">
        <v>57</v>
      </c>
      <c r="D356" s="2" t="s">
        <v>51</v>
      </c>
      <c r="E356" s="2" t="s">
        <v>43</v>
      </c>
      <c r="F356" s="2">
        <v>2006</v>
      </c>
      <c r="G356" s="2">
        <v>90</v>
      </c>
      <c r="H356" s="3">
        <v>0.57999999999999996</v>
      </c>
      <c r="I356" s="3">
        <v>0.27</v>
      </c>
      <c r="J356" s="3">
        <v>0.12</v>
      </c>
      <c r="K356" s="3">
        <v>0.05</v>
      </c>
      <c r="L356" s="3">
        <v>0.14000000000000001</v>
      </c>
      <c r="M356" s="2" t="s">
        <v>17</v>
      </c>
      <c r="N356" s="3" t="str" cm="1">
        <f t="array" ref="N356">_xlfn.IFS(G356&gt;=90,"Excellent",G356&gt;=80,"Good",G356&gt;=70,"Average",G356&lt;70,"Poor")</f>
        <v>Excellent</v>
      </c>
    </row>
    <row r="357" spans="1:14" x14ac:dyDescent="0.35">
      <c r="A357" s="2">
        <v>356</v>
      </c>
      <c r="B357" s="2" t="s">
        <v>398</v>
      </c>
      <c r="C357" s="2" t="s">
        <v>57</v>
      </c>
      <c r="D357" s="2" t="s">
        <v>48</v>
      </c>
      <c r="E357" s="2" t="s">
        <v>41</v>
      </c>
      <c r="F357" s="2">
        <v>2009</v>
      </c>
      <c r="G357" s="2">
        <v>65</v>
      </c>
      <c r="H357" s="3">
        <v>0.13</v>
      </c>
      <c r="I357" s="3">
        <v>0.05</v>
      </c>
      <c r="J357" s="3">
        <v>0.03</v>
      </c>
      <c r="K357" s="3">
        <v>0.02</v>
      </c>
      <c r="L357" s="3">
        <v>0.03</v>
      </c>
      <c r="M357" s="2" t="s">
        <v>24</v>
      </c>
      <c r="N357" s="3" t="str" cm="1">
        <f t="array" ref="N357">_xlfn.IFS(G357&gt;=90,"Excellent",G357&gt;=80,"Good",G357&gt;=70,"Average",G357&lt;70,"Poor")</f>
        <v>Poor</v>
      </c>
    </row>
    <row r="358" spans="1:14" x14ac:dyDescent="0.35">
      <c r="A358" s="2">
        <v>357</v>
      </c>
      <c r="B358" s="2" t="s">
        <v>399</v>
      </c>
      <c r="C358" s="2" t="s">
        <v>23</v>
      </c>
      <c r="D358" s="2" t="s">
        <v>15</v>
      </c>
      <c r="E358" s="2" t="s">
        <v>60</v>
      </c>
      <c r="F358" s="2">
        <v>2026</v>
      </c>
      <c r="G358" s="2">
        <v>59</v>
      </c>
      <c r="H358" s="3">
        <v>0.52</v>
      </c>
      <c r="I358" s="3">
        <v>0.19</v>
      </c>
      <c r="J358" s="3">
        <v>0.16</v>
      </c>
      <c r="K358" s="3">
        <v>0.06</v>
      </c>
      <c r="L358" s="3">
        <v>0.11</v>
      </c>
      <c r="M358" s="2" t="s">
        <v>17</v>
      </c>
      <c r="N358" s="3" t="str" cm="1">
        <f t="array" ref="N358">_xlfn.IFS(G358&gt;=90,"Excellent",G358&gt;=80,"Good",G358&gt;=70,"Average",G358&lt;70,"Poor")</f>
        <v>Poor</v>
      </c>
    </row>
    <row r="359" spans="1:14" x14ac:dyDescent="0.35">
      <c r="A359" s="2">
        <v>358</v>
      </c>
      <c r="B359" s="2" t="s">
        <v>400</v>
      </c>
      <c r="C359" s="2" t="s">
        <v>14</v>
      </c>
      <c r="D359" s="2" t="s">
        <v>37</v>
      </c>
      <c r="E359" s="2" t="s">
        <v>52</v>
      </c>
      <c r="F359" s="2">
        <v>2011</v>
      </c>
      <c r="G359" s="2">
        <v>94</v>
      </c>
      <c r="H359" s="3">
        <v>0.26</v>
      </c>
      <c r="I359" s="3">
        <v>0.12</v>
      </c>
      <c r="J359" s="3">
        <v>0.06</v>
      </c>
      <c r="K359" s="3">
        <v>0.04</v>
      </c>
      <c r="L359" s="3">
        <v>0.04</v>
      </c>
      <c r="M359" s="2" t="s">
        <v>24</v>
      </c>
      <c r="N359" s="3" t="str" cm="1">
        <f t="array" ref="N359">_xlfn.IFS(G359&gt;=90,"Excellent",G359&gt;=80,"Good",G359&gt;=70,"Average",G359&lt;70,"Poor")</f>
        <v>Excellent</v>
      </c>
    </row>
    <row r="360" spans="1:14" x14ac:dyDescent="0.35">
      <c r="A360" s="2">
        <v>359</v>
      </c>
      <c r="B360" s="2" t="s">
        <v>401</v>
      </c>
      <c r="C360" s="2" t="s">
        <v>57</v>
      </c>
      <c r="D360" s="2" t="s">
        <v>37</v>
      </c>
      <c r="E360" s="2" t="s">
        <v>74</v>
      </c>
      <c r="F360" s="2">
        <v>2013</v>
      </c>
      <c r="G360" s="2">
        <v>75</v>
      </c>
      <c r="H360" s="3">
        <v>0.12</v>
      </c>
      <c r="I360" s="3">
        <v>0.06</v>
      </c>
      <c r="J360" s="3">
        <v>0.04</v>
      </c>
      <c r="K360" s="3">
        <v>0.01</v>
      </c>
      <c r="L360" s="3">
        <v>0.01</v>
      </c>
      <c r="M360" s="2" t="s">
        <v>24</v>
      </c>
      <c r="N360" s="3" t="str" cm="1">
        <f t="array" ref="N360">_xlfn.IFS(G360&gt;=90,"Excellent",G360&gt;=80,"Good",G360&gt;=70,"Average",G360&lt;70,"Poor")</f>
        <v>Average</v>
      </c>
    </row>
    <row r="361" spans="1:14" x14ac:dyDescent="0.35">
      <c r="A361" s="2">
        <v>360</v>
      </c>
      <c r="B361" s="2" t="s">
        <v>402</v>
      </c>
      <c r="C361" s="2" t="s">
        <v>14</v>
      </c>
      <c r="D361" s="2" t="s">
        <v>29</v>
      </c>
      <c r="E361" s="2" t="s">
        <v>16</v>
      </c>
      <c r="F361" s="2">
        <v>2008</v>
      </c>
      <c r="G361" s="2">
        <v>77</v>
      </c>
      <c r="H361" s="3">
        <v>1.35</v>
      </c>
      <c r="I361" s="3">
        <v>0.5</v>
      </c>
      <c r="J361" s="3">
        <v>0.4</v>
      </c>
      <c r="K361" s="3">
        <v>0.08</v>
      </c>
      <c r="L361" s="3">
        <v>0.37</v>
      </c>
      <c r="M361" s="2" t="s">
        <v>17</v>
      </c>
      <c r="N361" s="3" t="str" cm="1">
        <f t="array" ref="N361">_xlfn.IFS(G361&gt;=90,"Excellent",G361&gt;=80,"Good",G361&gt;=70,"Average",G361&lt;70,"Poor")</f>
        <v>Average</v>
      </c>
    </row>
    <row r="362" spans="1:14" x14ac:dyDescent="0.35">
      <c r="A362" s="2">
        <v>361</v>
      </c>
      <c r="B362" s="2" t="s">
        <v>403</v>
      </c>
      <c r="C362" s="2" t="s">
        <v>14</v>
      </c>
      <c r="D362" s="2" t="s">
        <v>65</v>
      </c>
      <c r="E362" s="2" t="s">
        <v>52</v>
      </c>
      <c r="F362" s="2">
        <v>2008</v>
      </c>
      <c r="G362" s="2">
        <v>59</v>
      </c>
      <c r="H362" s="3">
        <v>1.74</v>
      </c>
      <c r="I362" s="3">
        <v>0.81</v>
      </c>
      <c r="J362" s="3">
        <v>0.55000000000000004</v>
      </c>
      <c r="K362" s="3">
        <v>0.14000000000000001</v>
      </c>
      <c r="L362" s="3">
        <v>0.24</v>
      </c>
      <c r="M362" s="2" t="s">
        <v>17</v>
      </c>
      <c r="N362" s="3" t="str" cm="1">
        <f t="array" ref="N362">_xlfn.IFS(G362&gt;=90,"Excellent",G362&gt;=80,"Good",G362&gt;=70,"Average",G362&lt;70,"Poor")</f>
        <v>Poor</v>
      </c>
    </row>
    <row r="363" spans="1:14" x14ac:dyDescent="0.35">
      <c r="A363" s="2">
        <v>362</v>
      </c>
      <c r="B363" s="2" t="s">
        <v>404</v>
      </c>
      <c r="C363" s="2" t="s">
        <v>59</v>
      </c>
      <c r="D363" s="2" t="s">
        <v>51</v>
      </c>
      <c r="E363" s="2" t="s">
        <v>60</v>
      </c>
      <c r="F363" s="2">
        <v>1999</v>
      </c>
      <c r="G363" s="2">
        <v>96</v>
      </c>
      <c r="H363" s="3">
        <v>0.79</v>
      </c>
      <c r="I363" s="3">
        <v>0.31</v>
      </c>
      <c r="J363" s="3">
        <v>0.25</v>
      </c>
      <c r="K363" s="3">
        <v>0.13</v>
      </c>
      <c r="L363" s="3">
        <v>0.1</v>
      </c>
      <c r="M363" s="2" t="s">
        <v>17</v>
      </c>
      <c r="N363" s="3" t="str" cm="1">
        <f t="array" ref="N363">_xlfn.IFS(G363&gt;=90,"Excellent",G363&gt;=80,"Good",G363&gt;=70,"Average",G363&lt;70,"Poor")</f>
        <v>Excellent</v>
      </c>
    </row>
    <row r="364" spans="1:14" x14ac:dyDescent="0.35">
      <c r="A364" s="2">
        <v>363</v>
      </c>
      <c r="B364" s="2" t="s">
        <v>405</v>
      </c>
      <c r="C364" s="2" t="s">
        <v>14</v>
      </c>
      <c r="D364" s="2" t="s">
        <v>62</v>
      </c>
      <c r="E364" s="2" t="s">
        <v>60</v>
      </c>
      <c r="F364" s="2">
        <v>2008</v>
      </c>
      <c r="G364" s="2">
        <v>80</v>
      </c>
      <c r="H364" s="3">
        <v>0.94</v>
      </c>
      <c r="I364" s="3">
        <v>0.36</v>
      </c>
      <c r="J364" s="3">
        <v>0.27</v>
      </c>
      <c r="K364" s="3">
        <v>0.13</v>
      </c>
      <c r="L364" s="3">
        <v>0.18</v>
      </c>
      <c r="M364" s="2" t="s">
        <v>17</v>
      </c>
      <c r="N364" s="3" t="str" cm="1">
        <f t="array" ref="N364">_xlfn.IFS(G364&gt;=90,"Excellent",G364&gt;=80,"Good",G364&gt;=70,"Average",G364&lt;70,"Poor")</f>
        <v>Good</v>
      </c>
    </row>
    <row r="365" spans="1:14" x14ac:dyDescent="0.35">
      <c r="A365" s="2">
        <v>364</v>
      </c>
      <c r="B365" s="2" t="s">
        <v>406</v>
      </c>
      <c r="C365" s="2" t="s">
        <v>64</v>
      </c>
      <c r="D365" s="2" t="s">
        <v>62</v>
      </c>
      <c r="E365" s="2" t="s">
        <v>43</v>
      </c>
      <c r="F365" s="2">
        <v>2013</v>
      </c>
      <c r="G365" s="2">
        <v>86</v>
      </c>
      <c r="H365" s="3">
        <v>0.17</v>
      </c>
      <c r="I365" s="3">
        <v>7.0000000000000007E-2</v>
      </c>
      <c r="J365" s="3">
        <v>0.05</v>
      </c>
      <c r="K365" s="3">
        <v>0.02</v>
      </c>
      <c r="L365" s="3">
        <v>0.03</v>
      </c>
      <c r="M365" s="2" t="s">
        <v>24</v>
      </c>
      <c r="N365" s="3" t="str" cm="1">
        <f t="array" ref="N365">_xlfn.IFS(G365&gt;=90,"Excellent",G365&gt;=80,"Good",G365&gt;=70,"Average",G365&lt;70,"Poor")</f>
        <v>Good</v>
      </c>
    </row>
    <row r="366" spans="1:14" x14ac:dyDescent="0.35">
      <c r="A366" s="2">
        <v>365</v>
      </c>
      <c r="B366" s="2" t="s">
        <v>407</v>
      </c>
      <c r="C366" s="2" t="s">
        <v>64</v>
      </c>
      <c r="D366" s="2" t="s">
        <v>45</v>
      </c>
      <c r="E366" s="2" t="s">
        <v>16</v>
      </c>
      <c r="F366" s="2">
        <v>2016</v>
      </c>
      <c r="G366" s="2">
        <v>57</v>
      </c>
      <c r="H366" s="3">
        <v>0.88</v>
      </c>
      <c r="I366" s="3">
        <v>0.43</v>
      </c>
      <c r="J366" s="3">
        <v>0.24</v>
      </c>
      <c r="K366" s="3">
        <v>0.15</v>
      </c>
      <c r="L366" s="3">
        <v>0.06</v>
      </c>
      <c r="M366" s="2" t="s">
        <v>17</v>
      </c>
      <c r="N366" s="3" t="str" cm="1">
        <f t="array" ref="N366">_xlfn.IFS(G366&gt;=90,"Excellent",G366&gt;=80,"Good",G366&gt;=70,"Average",G366&lt;70,"Poor")</f>
        <v>Poor</v>
      </c>
    </row>
    <row r="367" spans="1:14" x14ac:dyDescent="0.35">
      <c r="A367" s="2">
        <v>366</v>
      </c>
      <c r="B367" s="2" t="s">
        <v>408</v>
      </c>
      <c r="C367" s="2" t="s">
        <v>64</v>
      </c>
      <c r="D367" s="2" t="s">
        <v>2</v>
      </c>
      <c r="E367" s="2" t="s">
        <v>60</v>
      </c>
      <c r="F367" s="2">
        <v>2015</v>
      </c>
      <c r="G367" s="2">
        <v>79</v>
      </c>
      <c r="H367" s="3">
        <v>0.43</v>
      </c>
      <c r="I367" s="3">
        <v>0.21</v>
      </c>
      <c r="J367" s="3">
        <v>0.14000000000000001</v>
      </c>
      <c r="K367" s="3">
        <v>0.05</v>
      </c>
      <c r="L367" s="3">
        <v>0.03</v>
      </c>
      <c r="M367" s="2" t="s">
        <v>24</v>
      </c>
      <c r="N367" s="3" t="str" cm="1">
        <f t="array" ref="N367">_xlfn.IFS(G367&gt;=90,"Excellent",G367&gt;=80,"Good",G367&gt;=70,"Average",G367&lt;70,"Poor")</f>
        <v>Average</v>
      </c>
    </row>
    <row r="368" spans="1:14" x14ac:dyDescent="0.35">
      <c r="A368" s="2">
        <v>367</v>
      </c>
      <c r="B368" s="2" t="s">
        <v>409</v>
      </c>
      <c r="C368" s="2" t="s">
        <v>19</v>
      </c>
      <c r="D368" s="2" t="s">
        <v>65</v>
      </c>
      <c r="E368" s="2" t="s">
        <v>41</v>
      </c>
      <c r="F368" s="2">
        <v>2016</v>
      </c>
      <c r="G368" s="2">
        <v>86</v>
      </c>
      <c r="H368" s="3">
        <v>0.72</v>
      </c>
      <c r="I368" s="3">
        <v>0.33</v>
      </c>
      <c r="J368" s="3">
        <v>0.17</v>
      </c>
      <c r="K368" s="3">
        <v>0.05</v>
      </c>
      <c r="L368" s="3">
        <v>0.17</v>
      </c>
      <c r="M368" s="2" t="s">
        <v>17</v>
      </c>
      <c r="N368" s="3" t="str" cm="1">
        <f t="array" ref="N368">_xlfn.IFS(G368&gt;=90,"Excellent",G368&gt;=80,"Good",G368&gt;=70,"Average",G368&lt;70,"Poor")</f>
        <v>Good</v>
      </c>
    </row>
    <row r="369" spans="1:14" x14ac:dyDescent="0.35">
      <c r="A369" s="2">
        <v>368</v>
      </c>
      <c r="B369" s="2" t="s">
        <v>410</v>
      </c>
      <c r="C369" s="2" t="s">
        <v>31</v>
      </c>
      <c r="D369" s="2" t="s">
        <v>2</v>
      </c>
      <c r="E369" s="2" t="s">
        <v>49</v>
      </c>
      <c r="F369" s="2">
        <v>2002</v>
      </c>
      <c r="G369" s="2">
        <v>76</v>
      </c>
      <c r="H369" s="3">
        <v>1.28</v>
      </c>
      <c r="I369" s="3">
        <v>0.56999999999999995</v>
      </c>
      <c r="J369" s="3">
        <v>0.3</v>
      </c>
      <c r="K369" s="3">
        <v>0.09</v>
      </c>
      <c r="L369" s="3">
        <v>0.32</v>
      </c>
      <c r="M369" s="2" t="s">
        <v>17</v>
      </c>
      <c r="N369" s="3" t="str" cm="1">
        <f t="array" ref="N369">_xlfn.IFS(G369&gt;=90,"Excellent",G369&gt;=80,"Good",G369&gt;=70,"Average",G369&lt;70,"Poor")</f>
        <v>Average</v>
      </c>
    </row>
    <row r="370" spans="1:14" x14ac:dyDescent="0.35">
      <c r="A370" s="2">
        <v>369</v>
      </c>
      <c r="B370" s="2" t="s">
        <v>411</v>
      </c>
      <c r="C370" s="2" t="s">
        <v>64</v>
      </c>
      <c r="D370" s="2" t="s">
        <v>15</v>
      </c>
      <c r="E370" s="2" t="s">
        <v>52</v>
      </c>
      <c r="F370" s="2">
        <v>2017</v>
      </c>
      <c r="G370" s="2">
        <v>91</v>
      </c>
      <c r="H370" s="3">
        <v>0.35</v>
      </c>
      <c r="I370" s="3">
        <v>0.16</v>
      </c>
      <c r="J370" s="3">
        <v>0.12</v>
      </c>
      <c r="K370" s="3">
        <v>0.03</v>
      </c>
      <c r="L370" s="3">
        <v>0.04</v>
      </c>
      <c r="M370" s="2" t="s">
        <v>24</v>
      </c>
      <c r="N370" s="3" t="str" cm="1">
        <f t="array" ref="N370">_xlfn.IFS(G370&gt;=90,"Excellent",G370&gt;=80,"Good",G370&gt;=70,"Average",G370&lt;70,"Poor")</f>
        <v>Excellent</v>
      </c>
    </row>
    <row r="371" spans="1:14" x14ac:dyDescent="0.35">
      <c r="A371" s="2">
        <v>370</v>
      </c>
      <c r="B371" s="2" t="s">
        <v>412</v>
      </c>
      <c r="C371" s="2" t="s">
        <v>31</v>
      </c>
      <c r="D371" s="2" t="s">
        <v>37</v>
      </c>
      <c r="E371" s="2" t="s">
        <v>60</v>
      </c>
      <c r="F371" s="2">
        <v>2002</v>
      </c>
      <c r="G371" s="2">
        <v>91</v>
      </c>
      <c r="H371" s="3">
        <v>3.85</v>
      </c>
      <c r="I371" s="3">
        <v>1.89</v>
      </c>
      <c r="J371" s="3">
        <v>1.23</v>
      </c>
      <c r="K371" s="3">
        <v>0.73</v>
      </c>
      <c r="L371" s="3">
        <v>0</v>
      </c>
      <c r="M371" s="2" t="s">
        <v>27</v>
      </c>
      <c r="N371" s="3" t="str" cm="1">
        <f t="array" ref="N371">_xlfn.IFS(G371&gt;=90,"Excellent",G371&gt;=80,"Good",G371&gt;=70,"Average",G371&lt;70,"Poor")</f>
        <v>Excellent</v>
      </c>
    </row>
    <row r="372" spans="1:14" x14ac:dyDescent="0.35">
      <c r="A372" s="2">
        <v>371</v>
      </c>
      <c r="B372" s="2" t="s">
        <v>413</v>
      </c>
      <c r="C372" s="2" t="s">
        <v>31</v>
      </c>
      <c r="D372" s="2" t="s">
        <v>2</v>
      </c>
      <c r="E372" s="2" t="s">
        <v>16</v>
      </c>
      <c r="F372" s="2">
        <v>2003</v>
      </c>
      <c r="G372" s="2">
        <v>69</v>
      </c>
      <c r="H372" s="3">
        <v>2.38</v>
      </c>
      <c r="I372" s="3">
        <v>1.21</v>
      </c>
      <c r="J372" s="3">
        <v>0.77</v>
      </c>
      <c r="K372" s="3">
        <v>0.18</v>
      </c>
      <c r="L372" s="3">
        <v>0.22</v>
      </c>
      <c r="M372" s="2" t="s">
        <v>27</v>
      </c>
      <c r="N372" s="3" t="str" cm="1">
        <f t="array" ref="N372">_xlfn.IFS(G372&gt;=90,"Excellent",G372&gt;=80,"Good",G372&gt;=70,"Average",G372&lt;70,"Poor")</f>
        <v>Poor</v>
      </c>
    </row>
    <row r="373" spans="1:14" x14ac:dyDescent="0.35">
      <c r="A373" s="2">
        <v>372</v>
      </c>
      <c r="B373" s="2" t="s">
        <v>414</v>
      </c>
      <c r="C373" s="2" t="s">
        <v>57</v>
      </c>
      <c r="D373" s="2" t="s">
        <v>51</v>
      </c>
      <c r="E373" s="2" t="s">
        <v>54</v>
      </c>
      <c r="F373" s="2">
        <v>2012</v>
      </c>
      <c r="G373" s="2">
        <v>93</v>
      </c>
      <c r="H373" s="3">
        <v>0.56999999999999995</v>
      </c>
      <c r="I373" s="3">
        <v>0.24</v>
      </c>
      <c r="J373" s="3">
        <v>0.12</v>
      </c>
      <c r="K373" s="3">
        <v>0.05</v>
      </c>
      <c r="L373" s="3">
        <v>0.16</v>
      </c>
      <c r="M373" s="2" t="s">
        <v>17</v>
      </c>
      <c r="N373" s="3" t="str" cm="1">
        <f t="array" ref="N373">_xlfn.IFS(G373&gt;=90,"Excellent",G373&gt;=80,"Good",G373&gt;=70,"Average",G373&lt;70,"Poor")</f>
        <v>Excellent</v>
      </c>
    </row>
    <row r="374" spans="1:14" x14ac:dyDescent="0.35">
      <c r="A374" s="2">
        <v>373</v>
      </c>
      <c r="B374" s="2" t="s">
        <v>415</v>
      </c>
      <c r="C374" s="2" t="s">
        <v>64</v>
      </c>
      <c r="D374" s="2" t="s">
        <v>45</v>
      </c>
      <c r="E374" s="2" t="s">
        <v>54</v>
      </c>
      <c r="F374" s="2">
        <v>2019</v>
      </c>
      <c r="G374" s="2">
        <v>66</v>
      </c>
      <c r="H374" s="3">
        <v>0.27</v>
      </c>
      <c r="I374" s="3">
        <v>0.1</v>
      </c>
      <c r="J374" s="3">
        <v>0.09</v>
      </c>
      <c r="K374" s="3">
        <v>0.03</v>
      </c>
      <c r="L374" s="3">
        <v>0.05</v>
      </c>
      <c r="M374" s="2" t="s">
        <v>24</v>
      </c>
      <c r="N374" s="3" t="str" cm="1">
        <f t="array" ref="N374">_xlfn.IFS(G374&gt;=90,"Excellent",G374&gt;=80,"Good",G374&gt;=70,"Average",G374&lt;70,"Poor")</f>
        <v>Poor</v>
      </c>
    </row>
    <row r="375" spans="1:14" x14ac:dyDescent="0.35">
      <c r="A375" s="2">
        <v>374</v>
      </c>
      <c r="B375" s="2" t="s">
        <v>416</v>
      </c>
      <c r="C375" s="2" t="s">
        <v>59</v>
      </c>
      <c r="D375" s="2" t="s">
        <v>62</v>
      </c>
      <c r="E375" s="2" t="s">
        <v>54</v>
      </c>
      <c r="F375" s="2">
        <v>1995</v>
      </c>
      <c r="G375" s="2">
        <v>55</v>
      </c>
      <c r="H375" s="3">
        <v>0.66</v>
      </c>
      <c r="I375" s="3">
        <v>0.28000000000000003</v>
      </c>
      <c r="J375" s="3">
        <v>0.14000000000000001</v>
      </c>
      <c r="K375" s="3">
        <v>0.09</v>
      </c>
      <c r="L375" s="3">
        <v>0.15</v>
      </c>
      <c r="M375" s="2" t="s">
        <v>17</v>
      </c>
      <c r="N375" s="3" t="str" cm="1">
        <f t="array" ref="N375">_xlfn.IFS(G375&gt;=90,"Excellent",G375&gt;=80,"Good",G375&gt;=70,"Average",G375&lt;70,"Poor")</f>
        <v>Poor</v>
      </c>
    </row>
    <row r="376" spans="1:14" x14ac:dyDescent="0.35">
      <c r="A376" s="2">
        <v>375</v>
      </c>
      <c r="B376" s="2" t="s">
        <v>417</v>
      </c>
      <c r="C376" s="2" t="s">
        <v>31</v>
      </c>
      <c r="D376" s="2" t="s">
        <v>62</v>
      </c>
      <c r="E376" s="2" t="s">
        <v>41</v>
      </c>
      <c r="F376" s="2">
        <v>2006</v>
      </c>
      <c r="G376" s="2">
        <v>91</v>
      </c>
      <c r="H376" s="3">
        <v>0.63</v>
      </c>
      <c r="I376" s="3">
        <v>0.33</v>
      </c>
      <c r="J376" s="3">
        <v>0.15</v>
      </c>
      <c r="K376" s="3">
        <v>0.11</v>
      </c>
      <c r="L376" s="3">
        <v>0.04</v>
      </c>
      <c r="M376" s="2" t="s">
        <v>17</v>
      </c>
      <c r="N376" s="3" t="str" cm="1">
        <f t="array" ref="N376">_xlfn.IFS(G376&gt;=90,"Excellent",G376&gt;=80,"Good",G376&gt;=70,"Average",G376&lt;70,"Poor")</f>
        <v>Excellent</v>
      </c>
    </row>
    <row r="377" spans="1:14" x14ac:dyDescent="0.35">
      <c r="A377" s="2">
        <v>376</v>
      </c>
      <c r="B377" s="2" t="s">
        <v>418</v>
      </c>
      <c r="C377" s="2" t="s">
        <v>19</v>
      </c>
      <c r="D377" s="2" t="s">
        <v>48</v>
      </c>
      <c r="E377" s="2" t="s">
        <v>20</v>
      </c>
      <c r="F377" s="2">
        <v>2017</v>
      </c>
      <c r="G377" s="2">
        <v>88</v>
      </c>
      <c r="H377" s="3">
        <v>1.74</v>
      </c>
      <c r="I377" s="3">
        <v>0.72</v>
      </c>
      <c r="J377" s="3">
        <v>0.44</v>
      </c>
      <c r="K377" s="3">
        <v>0.13</v>
      </c>
      <c r="L377" s="3">
        <v>0.45</v>
      </c>
      <c r="M377" s="2" t="s">
        <v>17</v>
      </c>
      <c r="N377" s="3" t="str" cm="1">
        <f t="array" ref="N377">_xlfn.IFS(G377&gt;=90,"Excellent",G377&gt;=80,"Good",G377&gt;=70,"Average",G377&lt;70,"Poor")</f>
        <v>Good</v>
      </c>
    </row>
    <row r="378" spans="1:14" x14ac:dyDescent="0.35">
      <c r="A378" s="2">
        <v>377</v>
      </c>
      <c r="B378" s="2" t="s">
        <v>419</v>
      </c>
      <c r="C378" s="2" t="s">
        <v>57</v>
      </c>
      <c r="D378" s="2" t="s">
        <v>51</v>
      </c>
      <c r="E378" s="2" t="s">
        <v>46</v>
      </c>
      <c r="F378" s="2">
        <v>2013</v>
      </c>
      <c r="G378" s="2">
        <v>91</v>
      </c>
      <c r="H378" s="3">
        <v>0.36</v>
      </c>
      <c r="I378" s="3">
        <v>0.18</v>
      </c>
      <c r="J378" s="3">
        <v>0.11</v>
      </c>
      <c r="K378" s="3">
        <v>0.04</v>
      </c>
      <c r="L378" s="3">
        <v>0.03</v>
      </c>
      <c r="M378" s="2" t="s">
        <v>24</v>
      </c>
      <c r="N378" s="3" t="str" cm="1">
        <f t="array" ref="N378">_xlfn.IFS(G378&gt;=90,"Excellent",G378&gt;=80,"Good",G378&gt;=70,"Average",G378&lt;70,"Poor")</f>
        <v>Excellent</v>
      </c>
    </row>
    <row r="379" spans="1:14" x14ac:dyDescent="0.35">
      <c r="A379" s="2">
        <v>378</v>
      </c>
      <c r="B379" s="2" t="s">
        <v>420</v>
      </c>
      <c r="C379" s="2" t="s">
        <v>64</v>
      </c>
      <c r="D379" s="2" t="s">
        <v>62</v>
      </c>
      <c r="E379" s="2" t="s">
        <v>54</v>
      </c>
      <c r="F379" s="2">
        <v>2019</v>
      </c>
      <c r="G379" s="2">
        <v>90</v>
      </c>
      <c r="H379" s="3">
        <v>0.05</v>
      </c>
      <c r="I379" s="3">
        <v>0.02</v>
      </c>
      <c r="J379" s="3">
        <v>0.02</v>
      </c>
      <c r="K379" s="3">
        <v>0.01</v>
      </c>
      <c r="L379" s="3">
        <v>0</v>
      </c>
      <c r="M379" s="2" t="s">
        <v>24</v>
      </c>
      <c r="N379" s="3" t="str" cm="1">
        <f t="array" ref="N379">_xlfn.IFS(G379&gt;=90,"Excellent",G379&gt;=80,"Good",G379&gt;=70,"Average",G379&lt;70,"Poor")</f>
        <v>Excellent</v>
      </c>
    </row>
    <row r="380" spans="1:14" x14ac:dyDescent="0.35">
      <c r="A380" s="2">
        <v>379</v>
      </c>
      <c r="B380" s="2" t="s">
        <v>421</v>
      </c>
      <c r="C380" s="2" t="s">
        <v>31</v>
      </c>
      <c r="D380" s="2" t="s">
        <v>33</v>
      </c>
      <c r="E380" s="2" t="s">
        <v>52</v>
      </c>
      <c r="F380" s="2">
        <v>2006</v>
      </c>
      <c r="G380" s="2">
        <v>61</v>
      </c>
      <c r="H380" s="3">
        <v>0.32</v>
      </c>
      <c r="I380" s="3">
        <v>0.13</v>
      </c>
      <c r="J380" s="3">
        <v>0.09</v>
      </c>
      <c r="K380" s="3">
        <v>0.05</v>
      </c>
      <c r="L380" s="3">
        <v>0.05</v>
      </c>
      <c r="M380" s="2" t="s">
        <v>24</v>
      </c>
      <c r="N380" s="3" t="str" cm="1">
        <f t="array" ref="N380">_xlfn.IFS(G380&gt;=90,"Excellent",G380&gt;=80,"Good",G380&gt;=70,"Average",G380&lt;70,"Poor")</f>
        <v>Poor</v>
      </c>
    </row>
    <row r="381" spans="1:14" x14ac:dyDescent="0.35">
      <c r="A381" s="2">
        <v>380</v>
      </c>
      <c r="B381" s="2" t="s">
        <v>422</v>
      </c>
      <c r="C381" s="2" t="s">
        <v>57</v>
      </c>
      <c r="D381" s="2" t="s">
        <v>37</v>
      </c>
      <c r="E381" s="2" t="s">
        <v>41</v>
      </c>
      <c r="F381" s="2">
        <v>2004</v>
      </c>
      <c r="G381" s="2">
        <v>64</v>
      </c>
      <c r="H381" s="3">
        <v>0.43</v>
      </c>
      <c r="I381" s="3">
        <v>0.16</v>
      </c>
      <c r="J381" s="3">
        <v>0.1</v>
      </c>
      <c r="K381" s="3">
        <v>0.05</v>
      </c>
      <c r="L381" s="3">
        <v>0.12</v>
      </c>
      <c r="M381" s="2" t="s">
        <v>24</v>
      </c>
      <c r="N381" s="3" t="str" cm="1">
        <f t="array" ref="N381">_xlfn.IFS(G381&gt;=90,"Excellent",G381&gt;=80,"Good",G381&gt;=70,"Average",G381&lt;70,"Poor")</f>
        <v>Poor</v>
      </c>
    </row>
    <row r="382" spans="1:14" x14ac:dyDescent="0.35">
      <c r="A382" s="2">
        <v>381</v>
      </c>
      <c r="B382" s="2" t="s">
        <v>423</v>
      </c>
      <c r="C382" s="2" t="s">
        <v>23</v>
      </c>
      <c r="D382" s="2" t="s">
        <v>45</v>
      </c>
      <c r="E382" s="2" t="s">
        <v>41</v>
      </c>
      <c r="F382" s="2">
        <v>2020</v>
      </c>
      <c r="G382" s="2">
        <v>73</v>
      </c>
      <c r="H382" s="3">
        <v>1.67</v>
      </c>
      <c r="I382" s="3">
        <v>0.89</v>
      </c>
      <c r="J382" s="3">
        <v>0.54</v>
      </c>
      <c r="K382" s="3">
        <v>0.24</v>
      </c>
      <c r="L382" s="3">
        <v>0</v>
      </c>
      <c r="M382" s="2" t="s">
        <v>17</v>
      </c>
      <c r="N382" s="3" t="str" cm="1">
        <f t="array" ref="N382">_xlfn.IFS(G382&gt;=90,"Excellent",G382&gt;=80,"Good",G382&gt;=70,"Average",G382&lt;70,"Poor")</f>
        <v>Average</v>
      </c>
    </row>
    <row r="383" spans="1:14" x14ac:dyDescent="0.35">
      <c r="A383" s="2">
        <v>382</v>
      </c>
      <c r="B383" s="2" t="s">
        <v>424</v>
      </c>
      <c r="C383" s="2" t="s">
        <v>19</v>
      </c>
      <c r="D383" s="2" t="s">
        <v>48</v>
      </c>
      <c r="E383" s="2" t="s">
        <v>60</v>
      </c>
      <c r="F383" s="2">
        <v>2013</v>
      </c>
      <c r="G383" s="2">
        <v>57</v>
      </c>
      <c r="H383" s="3">
        <v>1.98</v>
      </c>
      <c r="I383" s="3">
        <v>0.97</v>
      </c>
      <c r="J383" s="3">
        <v>0.57999999999999996</v>
      </c>
      <c r="K383" s="3">
        <v>0.3</v>
      </c>
      <c r="L383" s="3">
        <v>0.13</v>
      </c>
      <c r="M383" s="2" t="s">
        <v>17</v>
      </c>
      <c r="N383" s="3" t="str" cm="1">
        <f t="array" ref="N383">_xlfn.IFS(G383&gt;=90,"Excellent",G383&gt;=80,"Good",G383&gt;=70,"Average",G383&lt;70,"Poor")</f>
        <v>Poor</v>
      </c>
    </row>
    <row r="384" spans="1:14" x14ac:dyDescent="0.35">
      <c r="A384" s="2">
        <v>383</v>
      </c>
      <c r="B384" s="2" t="s">
        <v>425</v>
      </c>
      <c r="C384" s="2" t="s">
        <v>14</v>
      </c>
      <c r="D384" s="2" t="s">
        <v>15</v>
      </c>
      <c r="E384" s="2" t="s">
        <v>54</v>
      </c>
      <c r="F384" s="2">
        <v>2009</v>
      </c>
      <c r="G384" s="2">
        <v>80</v>
      </c>
      <c r="H384" s="3">
        <v>0.41</v>
      </c>
      <c r="I384" s="3">
        <v>0.19</v>
      </c>
      <c r="J384" s="3">
        <v>0.11</v>
      </c>
      <c r="K384" s="3">
        <v>7.0000000000000007E-2</v>
      </c>
      <c r="L384" s="3">
        <v>0.04</v>
      </c>
      <c r="M384" s="2" t="s">
        <v>24</v>
      </c>
      <c r="N384" s="3" t="str" cm="1">
        <f t="array" ref="N384">_xlfn.IFS(G384&gt;=90,"Excellent",G384&gt;=80,"Good",G384&gt;=70,"Average",G384&lt;70,"Poor")</f>
        <v>Good</v>
      </c>
    </row>
    <row r="385" spans="1:14" x14ac:dyDescent="0.35">
      <c r="A385" s="2">
        <v>384</v>
      </c>
      <c r="B385" s="2" t="s">
        <v>426</v>
      </c>
      <c r="C385" s="2" t="s">
        <v>59</v>
      </c>
      <c r="D385" s="2" t="s">
        <v>65</v>
      </c>
      <c r="E385" s="2" t="s">
        <v>46</v>
      </c>
      <c r="F385" s="2">
        <v>1995</v>
      </c>
      <c r="G385" s="2">
        <v>77</v>
      </c>
      <c r="H385" s="3">
        <v>0.11</v>
      </c>
      <c r="I385" s="3">
        <v>0.04</v>
      </c>
      <c r="J385" s="3">
        <v>0.04</v>
      </c>
      <c r="K385" s="3">
        <v>0.01</v>
      </c>
      <c r="L385" s="3">
        <v>0.02</v>
      </c>
      <c r="M385" s="2" t="s">
        <v>24</v>
      </c>
      <c r="N385" s="3" t="str" cm="1">
        <f t="array" ref="N385">_xlfn.IFS(G385&gt;=90,"Excellent",G385&gt;=80,"Good",G385&gt;=70,"Average",G385&lt;70,"Poor")</f>
        <v>Average</v>
      </c>
    </row>
    <row r="386" spans="1:14" x14ac:dyDescent="0.35">
      <c r="A386" s="2">
        <v>385</v>
      </c>
      <c r="B386" s="2" t="s">
        <v>427</v>
      </c>
      <c r="C386" s="2" t="s">
        <v>19</v>
      </c>
      <c r="D386" s="2" t="s">
        <v>51</v>
      </c>
      <c r="E386" s="2" t="s">
        <v>54</v>
      </c>
      <c r="F386" s="2">
        <v>2013</v>
      </c>
      <c r="G386" s="2">
        <v>61</v>
      </c>
      <c r="H386" s="3">
        <v>0.97</v>
      </c>
      <c r="I386" s="3">
        <v>0.41</v>
      </c>
      <c r="J386" s="3">
        <v>0.21</v>
      </c>
      <c r="K386" s="3">
        <v>0.12</v>
      </c>
      <c r="L386" s="3">
        <v>0.23</v>
      </c>
      <c r="M386" s="2" t="s">
        <v>17</v>
      </c>
      <c r="N386" s="3" t="str" cm="1">
        <f t="array" ref="N386">_xlfn.IFS(G386&gt;=90,"Excellent",G386&gt;=80,"Good",G386&gt;=70,"Average",G386&lt;70,"Poor")</f>
        <v>Poor</v>
      </c>
    </row>
    <row r="387" spans="1:14" x14ac:dyDescent="0.35">
      <c r="A387" s="2">
        <v>386</v>
      </c>
      <c r="B387" s="2" t="s">
        <v>428</v>
      </c>
      <c r="C387" s="2" t="s">
        <v>14</v>
      </c>
      <c r="D387" s="2" t="s">
        <v>62</v>
      </c>
      <c r="E387" s="2" t="s">
        <v>41</v>
      </c>
      <c r="F387" s="2">
        <v>2010</v>
      </c>
      <c r="G387" s="2">
        <v>70</v>
      </c>
      <c r="H387" s="3">
        <v>0.52</v>
      </c>
      <c r="I387" s="3">
        <v>0.24</v>
      </c>
      <c r="J387" s="3">
        <v>0.11</v>
      </c>
      <c r="K387" s="3">
        <v>0.04</v>
      </c>
      <c r="L387" s="3">
        <v>0.13</v>
      </c>
      <c r="M387" s="2" t="s">
        <v>17</v>
      </c>
      <c r="N387" s="3" t="str" cm="1">
        <f t="array" ref="N387">_xlfn.IFS(G387&gt;=90,"Excellent",G387&gt;=80,"Good",G387&gt;=70,"Average",G387&lt;70,"Poor")</f>
        <v>Average</v>
      </c>
    </row>
    <row r="388" spans="1:14" x14ac:dyDescent="0.35">
      <c r="A388" s="2">
        <v>387</v>
      </c>
      <c r="B388" s="2" t="s">
        <v>429</v>
      </c>
      <c r="C388" s="2" t="s">
        <v>59</v>
      </c>
      <c r="D388" s="2" t="s">
        <v>48</v>
      </c>
      <c r="E388" s="2" t="s">
        <v>52</v>
      </c>
      <c r="F388" s="2">
        <v>1998</v>
      </c>
      <c r="G388" s="2">
        <v>77</v>
      </c>
      <c r="H388" s="3">
        <v>0.42</v>
      </c>
      <c r="I388" s="3">
        <v>0.22</v>
      </c>
      <c r="J388" s="3">
        <v>0.1</v>
      </c>
      <c r="K388" s="3">
        <v>0.03</v>
      </c>
      <c r="L388" s="3">
        <v>7.0000000000000007E-2</v>
      </c>
      <c r="M388" s="2" t="s">
        <v>24</v>
      </c>
      <c r="N388" s="3" t="str" cm="1">
        <f t="array" ref="N388">_xlfn.IFS(G388&gt;=90,"Excellent",G388&gt;=80,"Good",G388&gt;=70,"Average",G388&lt;70,"Poor")</f>
        <v>Average</v>
      </c>
    </row>
    <row r="389" spans="1:14" x14ac:dyDescent="0.35">
      <c r="A389" s="2">
        <v>388</v>
      </c>
      <c r="B389" s="2" t="s">
        <v>430</v>
      </c>
      <c r="C389" s="2" t="s">
        <v>57</v>
      </c>
      <c r="D389" s="2" t="s">
        <v>33</v>
      </c>
      <c r="E389" s="2" t="s">
        <v>60</v>
      </c>
      <c r="F389" s="2">
        <v>2009</v>
      </c>
      <c r="G389" s="2">
        <v>75</v>
      </c>
      <c r="H389" s="3">
        <v>0.06</v>
      </c>
      <c r="I389" s="3">
        <v>0.02</v>
      </c>
      <c r="J389" s="3">
        <v>0.02</v>
      </c>
      <c r="K389" s="3">
        <v>0.01</v>
      </c>
      <c r="L389" s="3">
        <v>0.01</v>
      </c>
      <c r="M389" s="2" t="s">
        <v>24</v>
      </c>
      <c r="N389" s="3" t="str" cm="1">
        <f t="array" ref="N389">_xlfn.IFS(G389&gt;=90,"Excellent",G389&gt;=80,"Good",G389&gt;=70,"Average",G389&lt;70,"Poor")</f>
        <v>Average</v>
      </c>
    </row>
    <row r="390" spans="1:14" x14ac:dyDescent="0.35">
      <c r="A390" s="2">
        <v>389</v>
      </c>
      <c r="B390" s="2" t="s">
        <v>431</v>
      </c>
      <c r="C390" s="2" t="s">
        <v>31</v>
      </c>
      <c r="D390" s="2" t="s">
        <v>48</v>
      </c>
      <c r="E390" s="2" t="s">
        <v>52</v>
      </c>
      <c r="F390" s="2">
        <v>2003</v>
      </c>
      <c r="G390" s="2">
        <v>68</v>
      </c>
      <c r="H390" s="3">
        <v>1.49</v>
      </c>
      <c r="I390" s="3">
        <v>0.75</v>
      </c>
      <c r="J390" s="3">
        <v>0.32</v>
      </c>
      <c r="K390" s="3">
        <v>0.09</v>
      </c>
      <c r="L390" s="3">
        <v>0.33</v>
      </c>
      <c r="M390" s="2" t="s">
        <v>17</v>
      </c>
      <c r="N390" s="3" t="str" cm="1">
        <f t="array" ref="N390">_xlfn.IFS(G390&gt;=90,"Excellent",G390&gt;=80,"Good",G390&gt;=70,"Average",G390&lt;70,"Poor")</f>
        <v>Poor</v>
      </c>
    </row>
    <row r="391" spans="1:14" x14ac:dyDescent="0.35">
      <c r="A391" s="2">
        <v>390</v>
      </c>
      <c r="B391" s="2" t="s">
        <v>432</v>
      </c>
      <c r="C391" s="2" t="s">
        <v>57</v>
      </c>
      <c r="D391" s="2" t="s">
        <v>2</v>
      </c>
      <c r="E391" s="2" t="s">
        <v>20</v>
      </c>
      <c r="F391" s="2">
        <v>2011</v>
      </c>
      <c r="G391" s="2">
        <v>85</v>
      </c>
      <c r="H391" s="3">
        <v>0.36</v>
      </c>
      <c r="I391" s="3">
        <v>0.19</v>
      </c>
      <c r="J391" s="3">
        <v>0.12</v>
      </c>
      <c r="K391" s="3">
        <v>0.05</v>
      </c>
      <c r="L391" s="3">
        <v>0</v>
      </c>
      <c r="M391" s="2" t="s">
        <v>24</v>
      </c>
      <c r="N391" s="3" t="str" cm="1">
        <f t="array" ref="N391">_xlfn.IFS(G391&gt;=90,"Excellent",G391&gt;=80,"Good",G391&gt;=70,"Average",G391&lt;70,"Poor")</f>
        <v>Good</v>
      </c>
    </row>
    <row r="392" spans="1:14" x14ac:dyDescent="0.35">
      <c r="A392" s="2">
        <v>391</v>
      </c>
      <c r="B392" s="2" t="s">
        <v>433</v>
      </c>
      <c r="C392" s="2" t="s">
        <v>14</v>
      </c>
      <c r="D392" s="2" t="s">
        <v>37</v>
      </c>
      <c r="E392" s="2" t="s">
        <v>60</v>
      </c>
      <c r="F392" s="2">
        <v>2013</v>
      </c>
      <c r="G392" s="2">
        <v>69</v>
      </c>
      <c r="H392" s="3">
        <v>0.92</v>
      </c>
      <c r="I392" s="3">
        <v>0.42</v>
      </c>
      <c r="J392" s="3">
        <v>0.24</v>
      </c>
      <c r="K392" s="3">
        <v>0.18</v>
      </c>
      <c r="L392" s="3">
        <v>0.08</v>
      </c>
      <c r="M392" s="2" t="s">
        <v>17</v>
      </c>
      <c r="N392" s="3" t="str" cm="1">
        <f t="array" ref="N392">_xlfn.IFS(G392&gt;=90,"Excellent",G392&gt;=80,"Good",G392&gt;=70,"Average",G392&lt;70,"Poor")</f>
        <v>Poor</v>
      </c>
    </row>
    <row r="393" spans="1:14" x14ac:dyDescent="0.35">
      <c r="A393" s="2">
        <v>392</v>
      </c>
      <c r="B393" s="2" t="s">
        <v>434</v>
      </c>
      <c r="C393" s="2" t="s">
        <v>59</v>
      </c>
      <c r="D393" s="2" t="s">
        <v>29</v>
      </c>
      <c r="E393" s="2" t="s">
        <v>41</v>
      </c>
      <c r="F393" s="2">
        <v>1999</v>
      </c>
      <c r="G393" s="2">
        <v>62</v>
      </c>
      <c r="H393" s="3">
        <v>0.71</v>
      </c>
      <c r="I393" s="3">
        <v>0.35</v>
      </c>
      <c r="J393" s="3">
        <v>0.14000000000000001</v>
      </c>
      <c r="K393" s="3">
        <v>0.06</v>
      </c>
      <c r="L393" s="3">
        <v>0.16</v>
      </c>
      <c r="M393" s="2" t="s">
        <v>17</v>
      </c>
      <c r="N393" s="3" t="str" cm="1">
        <f t="array" ref="N393">_xlfn.IFS(G393&gt;=90,"Excellent",G393&gt;=80,"Good",G393&gt;=70,"Average",G393&lt;70,"Poor")</f>
        <v>Poor</v>
      </c>
    </row>
    <row r="394" spans="1:14" x14ac:dyDescent="0.35">
      <c r="A394" s="2">
        <v>393</v>
      </c>
      <c r="B394" s="2" t="s">
        <v>435</v>
      </c>
      <c r="C394" s="2" t="s">
        <v>23</v>
      </c>
      <c r="D394" s="2" t="s">
        <v>29</v>
      </c>
      <c r="E394" s="2" t="s">
        <v>43</v>
      </c>
      <c r="F394" s="2">
        <v>2020</v>
      </c>
      <c r="G394" s="2">
        <v>66</v>
      </c>
      <c r="H394" s="3">
        <v>0.81</v>
      </c>
      <c r="I394" s="3">
        <v>0.36</v>
      </c>
      <c r="J394" s="3">
        <v>0.24</v>
      </c>
      <c r="K394" s="3">
        <v>0.08</v>
      </c>
      <c r="L394" s="3">
        <v>0.13</v>
      </c>
      <c r="M394" s="2" t="s">
        <v>17</v>
      </c>
      <c r="N394" s="3" t="str" cm="1">
        <f t="array" ref="N394">_xlfn.IFS(G394&gt;=90,"Excellent",G394&gt;=80,"Good",G394&gt;=70,"Average",G394&lt;70,"Poor")</f>
        <v>Poor</v>
      </c>
    </row>
    <row r="395" spans="1:14" x14ac:dyDescent="0.35">
      <c r="A395" s="2">
        <v>394</v>
      </c>
      <c r="B395" s="2" t="s">
        <v>436</v>
      </c>
      <c r="C395" s="2" t="s">
        <v>19</v>
      </c>
      <c r="D395" s="2" t="s">
        <v>48</v>
      </c>
      <c r="E395" s="2" t="s">
        <v>41</v>
      </c>
      <c r="F395" s="2">
        <v>2019</v>
      </c>
      <c r="G395" s="2">
        <v>80</v>
      </c>
      <c r="H395" s="3">
        <v>0.54</v>
      </c>
      <c r="I395" s="3">
        <v>0.2</v>
      </c>
      <c r="J395" s="3">
        <v>0.15</v>
      </c>
      <c r="K395" s="3">
        <v>0.05</v>
      </c>
      <c r="L395" s="3">
        <v>0.14000000000000001</v>
      </c>
      <c r="M395" s="2" t="s">
        <v>17</v>
      </c>
      <c r="N395" s="3" t="str" cm="1">
        <f t="array" ref="N395">_xlfn.IFS(G395&gt;=90,"Excellent",G395&gt;=80,"Good",G395&gt;=70,"Average",G395&lt;70,"Poor")</f>
        <v>Good</v>
      </c>
    </row>
    <row r="396" spans="1:14" x14ac:dyDescent="0.35">
      <c r="A396" s="2">
        <v>395</v>
      </c>
      <c r="B396" s="2" t="s">
        <v>437</v>
      </c>
      <c r="C396" s="2" t="s">
        <v>59</v>
      </c>
      <c r="D396" s="2" t="s">
        <v>51</v>
      </c>
      <c r="E396" s="2" t="s">
        <v>52</v>
      </c>
      <c r="F396" s="2">
        <v>2000</v>
      </c>
      <c r="G396" s="2">
        <v>79</v>
      </c>
      <c r="H396" s="3">
        <v>0.82</v>
      </c>
      <c r="I396" s="3">
        <v>0.28999999999999998</v>
      </c>
      <c r="J396" s="3">
        <v>0.22</v>
      </c>
      <c r="K396" s="3">
        <v>0.06</v>
      </c>
      <c r="L396" s="3">
        <v>0.25</v>
      </c>
      <c r="M396" s="2" t="s">
        <v>17</v>
      </c>
      <c r="N396" s="3" t="str" cm="1">
        <f t="array" ref="N396">_xlfn.IFS(G396&gt;=90,"Excellent",G396&gt;=80,"Good",G396&gt;=70,"Average",G396&lt;70,"Poor")</f>
        <v>Average</v>
      </c>
    </row>
    <row r="397" spans="1:14" x14ac:dyDescent="0.35">
      <c r="A397" s="2">
        <v>396</v>
      </c>
      <c r="B397" s="2" t="s">
        <v>438</v>
      </c>
      <c r="C397" s="2" t="s">
        <v>64</v>
      </c>
      <c r="D397" s="2" t="s">
        <v>65</v>
      </c>
      <c r="E397" s="2" t="s">
        <v>43</v>
      </c>
      <c r="F397" s="2">
        <v>2019</v>
      </c>
      <c r="G397" s="2">
        <v>71</v>
      </c>
      <c r="H397" s="3">
        <v>0.37</v>
      </c>
      <c r="I397" s="3">
        <v>0.16</v>
      </c>
      <c r="J397" s="3">
        <v>0.11</v>
      </c>
      <c r="K397" s="3">
        <v>0.02</v>
      </c>
      <c r="L397" s="3">
        <v>0.08</v>
      </c>
      <c r="M397" s="2" t="s">
        <v>24</v>
      </c>
      <c r="N397" s="3" t="str" cm="1">
        <f t="array" ref="N397">_xlfn.IFS(G397&gt;=90,"Excellent",G397&gt;=80,"Good",G397&gt;=70,"Average",G397&lt;70,"Poor")</f>
        <v>Average</v>
      </c>
    </row>
    <row r="398" spans="1:14" x14ac:dyDescent="0.35">
      <c r="A398" s="2">
        <v>397</v>
      </c>
      <c r="B398" s="2" t="s">
        <v>439</v>
      </c>
      <c r="C398" s="2" t="s">
        <v>64</v>
      </c>
      <c r="D398" s="2" t="s">
        <v>62</v>
      </c>
      <c r="E398" s="2" t="s">
        <v>49</v>
      </c>
      <c r="F398" s="2">
        <v>2015</v>
      </c>
      <c r="G398" s="2">
        <v>71</v>
      </c>
      <c r="H398" s="3">
        <v>0.18</v>
      </c>
      <c r="I398" s="3">
        <v>0.1</v>
      </c>
      <c r="J398" s="3">
        <v>0.04</v>
      </c>
      <c r="K398" s="3">
        <v>0.01</v>
      </c>
      <c r="L398" s="3">
        <v>0.03</v>
      </c>
      <c r="M398" s="2" t="s">
        <v>24</v>
      </c>
      <c r="N398" s="3" t="str" cm="1">
        <f t="array" ref="N398">_xlfn.IFS(G398&gt;=90,"Excellent",G398&gt;=80,"Good",G398&gt;=70,"Average",G398&lt;70,"Poor")</f>
        <v>Average</v>
      </c>
    </row>
    <row r="399" spans="1:14" x14ac:dyDescent="0.35">
      <c r="A399" s="2">
        <v>398</v>
      </c>
      <c r="B399" s="2" t="s">
        <v>440</v>
      </c>
      <c r="C399" s="2" t="s">
        <v>59</v>
      </c>
      <c r="D399" s="2" t="s">
        <v>2</v>
      </c>
      <c r="E399" s="2" t="s">
        <v>52</v>
      </c>
      <c r="F399" s="2">
        <v>1997</v>
      </c>
      <c r="G399" s="2">
        <v>96</v>
      </c>
      <c r="H399" s="3">
        <v>0.54</v>
      </c>
      <c r="I399" s="3">
        <v>0.27</v>
      </c>
      <c r="J399" s="3">
        <v>0.14000000000000001</v>
      </c>
      <c r="K399" s="3">
        <v>0.08</v>
      </c>
      <c r="L399" s="3">
        <v>0.05</v>
      </c>
      <c r="M399" s="2" t="s">
        <v>17</v>
      </c>
      <c r="N399" s="3" t="str" cm="1">
        <f t="array" ref="N399">_xlfn.IFS(G399&gt;=90,"Excellent",G399&gt;=80,"Good",G399&gt;=70,"Average",G399&lt;70,"Poor")</f>
        <v>Excellent</v>
      </c>
    </row>
    <row r="400" spans="1:14" x14ac:dyDescent="0.35">
      <c r="A400" s="2">
        <v>399</v>
      </c>
      <c r="B400" s="2" t="s">
        <v>441</v>
      </c>
      <c r="C400" s="2" t="s">
        <v>19</v>
      </c>
      <c r="D400" s="2" t="s">
        <v>33</v>
      </c>
      <c r="E400" s="2" t="s">
        <v>41</v>
      </c>
      <c r="F400" s="2">
        <v>2020</v>
      </c>
      <c r="G400" s="2">
        <v>84</v>
      </c>
      <c r="H400" s="3">
        <v>1.03</v>
      </c>
      <c r="I400" s="3">
        <v>0.4</v>
      </c>
      <c r="J400" s="3">
        <v>0.33</v>
      </c>
      <c r="K400" s="3">
        <v>0.1</v>
      </c>
      <c r="L400" s="3">
        <v>0.2</v>
      </c>
      <c r="M400" s="2" t="s">
        <v>17</v>
      </c>
      <c r="N400" s="3" t="str" cm="1">
        <f t="array" ref="N400">_xlfn.IFS(G400&gt;=90,"Excellent",G400&gt;=80,"Good",G400&gt;=70,"Average",G400&lt;70,"Poor")</f>
        <v>Good</v>
      </c>
    </row>
    <row r="401" spans="1:14" x14ac:dyDescent="0.35">
      <c r="A401" s="2">
        <v>400</v>
      </c>
      <c r="B401" s="2" t="s">
        <v>442</v>
      </c>
      <c r="C401" s="2" t="s">
        <v>57</v>
      </c>
      <c r="D401" s="2" t="s">
        <v>2</v>
      </c>
      <c r="E401" s="2" t="s">
        <v>41</v>
      </c>
      <c r="F401" s="2">
        <v>2013</v>
      </c>
      <c r="G401" s="2">
        <v>65</v>
      </c>
      <c r="H401" s="3">
        <v>0.34</v>
      </c>
      <c r="I401" s="3">
        <v>0.16</v>
      </c>
      <c r="J401" s="3">
        <v>0.1</v>
      </c>
      <c r="K401" s="3">
        <v>0.05</v>
      </c>
      <c r="L401" s="3">
        <v>0.03</v>
      </c>
      <c r="M401" s="2" t="s">
        <v>24</v>
      </c>
      <c r="N401" s="3" t="str" cm="1">
        <f t="array" ref="N401">_xlfn.IFS(G401&gt;=90,"Excellent",G401&gt;=80,"Good",G401&gt;=70,"Average",G401&lt;70,"Poor")</f>
        <v>Poor</v>
      </c>
    </row>
    <row r="402" spans="1:14" x14ac:dyDescent="0.35">
      <c r="A402" s="2">
        <v>401</v>
      </c>
      <c r="B402" s="2" t="s">
        <v>443</v>
      </c>
      <c r="C402" s="2" t="s">
        <v>19</v>
      </c>
      <c r="D402" s="2" t="s">
        <v>62</v>
      </c>
      <c r="E402" s="2" t="s">
        <v>43</v>
      </c>
      <c r="F402" s="2">
        <v>2017</v>
      </c>
      <c r="G402" s="2">
        <v>83</v>
      </c>
      <c r="H402" s="3">
        <v>0.69</v>
      </c>
      <c r="I402" s="3">
        <v>0.24</v>
      </c>
      <c r="J402" s="3">
        <v>0.21</v>
      </c>
      <c r="K402" s="3">
        <v>0.1</v>
      </c>
      <c r="L402" s="3">
        <v>0.14000000000000001</v>
      </c>
      <c r="M402" s="2" t="s">
        <v>17</v>
      </c>
      <c r="N402" s="3" t="str" cm="1">
        <f t="array" ref="N402">_xlfn.IFS(G402&gt;=90,"Excellent",G402&gt;=80,"Good",G402&gt;=70,"Average",G402&lt;70,"Poor")</f>
        <v>Good</v>
      </c>
    </row>
    <row r="403" spans="1:14" x14ac:dyDescent="0.35">
      <c r="A403" s="2">
        <v>402</v>
      </c>
      <c r="B403" s="2" t="s">
        <v>444</v>
      </c>
      <c r="C403" s="2" t="s">
        <v>57</v>
      </c>
      <c r="D403" s="2" t="s">
        <v>48</v>
      </c>
      <c r="E403" s="2" t="s">
        <v>54</v>
      </c>
      <c r="F403" s="2">
        <v>2005</v>
      </c>
      <c r="G403" s="2">
        <v>61</v>
      </c>
      <c r="H403" s="3">
        <v>0.52</v>
      </c>
      <c r="I403" s="3">
        <v>0.22</v>
      </c>
      <c r="J403" s="3">
        <v>0.16</v>
      </c>
      <c r="K403" s="3">
        <v>0.03</v>
      </c>
      <c r="L403" s="3">
        <v>0.11</v>
      </c>
      <c r="M403" s="2" t="s">
        <v>17</v>
      </c>
      <c r="N403" s="3" t="str" cm="1">
        <f t="array" ref="N403">_xlfn.IFS(G403&gt;=90,"Excellent",G403&gt;=80,"Good",G403&gt;=70,"Average",G403&lt;70,"Poor")</f>
        <v>Poor</v>
      </c>
    </row>
    <row r="404" spans="1:14" x14ac:dyDescent="0.35">
      <c r="A404" s="2">
        <v>403</v>
      </c>
      <c r="B404" s="2" t="s">
        <v>445</v>
      </c>
      <c r="C404" s="2" t="s">
        <v>14</v>
      </c>
      <c r="D404" s="2" t="s">
        <v>33</v>
      </c>
      <c r="E404" s="2" t="s">
        <v>41</v>
      </c>
      <c r="F404" s="2">
        <v>2008</v>
      </c>
      <c r="G404" s="2">
        <v>70</v>
      </c>
      <c r="H404" s="3">
        <v>1.1399999999999999</v>
      </c>
      <c r="I404" s="3">
        <v>0.43</v>
      </c>
      <c r="J404" s="3">
        <v>0.32</v>
      </c>
      <c r="K404" s="3">
        <v>0.09</v>
      </c>
      <c r="L404" s="3">
        <v>0.3</v>
      </c>
      <c r="M404" s="2" t="s">
        <v>17</v>
      </c>
      <c r="N404" s="3" t="str" cm="1">
        <f t="array" ref="N404">_xlfn.IFS(G404&gt;=90,"Excellent",G404&gt;=80,"Good",G404&gt;=70,"Average",G404&lt;70,"Poor")</f>
        <v>Average</v>
      </c>
    </row>
    <row r="405" spans="1:14" x14ac:dyDescent="0.35">
      <c r="A405" s="2">
        <v>404</v>
      </c>
      <c r="B405" s="2" t="s">
        <v>446</v>
      </c>
      <c r="C405" s="2" t="s">
        <v>59</v>
      </c>
      <c r="D405" s="2" t="s">
        <v>29</v>
      </c>
      <c r="E405" s="2" t="s">
        <v>43</v>
      </c>
      <c r="F405" s="2">
        <v>2000</v>
      </c>
      <c r="G405" s="2">
        <v>89</v>
      </c>
      <c r="H405" s="3">
        <v>1.79</v>
      </c>
      <c r="I405" s="3">
        <v>0.67</v>
      </c>
      <c r="J405" s="3">
        <v>0.61</v>
      </c>
      <c r="K405" s="3">
        <v>0.23</v>
      </c>
      <c r="L405" s="3">
        <v>0.28000000000000003</v>
      </c>
      <c r="M405" s="2" t="s">
        <v>17</v>
      </c>
      <c r="N405" s="3" t="str" cm="1">
        <f t="array" ref="N405">_xlfn.IFS(G405&gt;=90,"Excellent",G405&gt;=80,"Good",G405&gt;=70,"Average",G405&lt;70,"Poor")</f>
        <v>Good</v>
      </c>
    </row>
    <row r="406" spans="1:14" x14ac:dyDescent="0.35">
      <c r="A406" s="2">
        <v>405</v>
      </c>
      <c r="B406" s="2" t="s">
        <v>447</v>
      </c>
      <c r="C406" s="2" t="s">
        <v>23</v>
      </c>
      <c r="D406" s="2" t="s">
        <v>62</v>
      </c>
      <c r="E406" s="2" t="s">
        <v>74</v>
      </c>
      <c r="F406" s="2">
        <v>2024</v>
      </c>
      <c r="G406" s="2">
        <v>95</v>
      </c>
      <c r="H406" s="3">
        <v>1.01</v>
      </c>
      <c r="I406" s="3">
        <v>0.42</v>
      </c>
      <c r="J406" s="3">
        <v>0.28000000000000003</v>
      </c>
      <c r="K406" s="3">
        <v>0.17</v>
      </c>
      <c r="L406" s="3">
        <v>0.14000000000000001</v>
      </c>
      <c r="M406" s="2" t="s">
        <v>17</v>
      </c>
      <c r="N406" s="3" t="str" cm="1">
        <f t="array" ref="N406">_xlfn.IFS(G406&gt;=90,"Excellent",G406&gt;=80,"Good",G406&gt;=70,"Average",G406&lt;70,"Poor")</f>
        <v>Excellent</v>
      </c>
    </row>
    <row r="407" spans="1:14" x14ac:dyDescent="0.35">
      <c r="A407" s="2">
        <v>406</v>
      </c>
      <c r="B407" s="2" t="s">
        <v>448</v>
      </c>
      <c r="C407" s="2" t="s">
        <v>19</v>
      </c>
      <c r="D407" s="2" t="s">
        <v>29</v>
      </c>
      <c r="E407" s="2" t="s">
        <v>41</v>
      </c>
      <c r="F407" s="2">
        <v>2017</v>
      </c>
      <c r="G407" s="2">
        <v>74</v>
      </c>
      <c r="H407" s="3">
        <v>1.29</v>
      </c>
      <c r="I407" s="3">
        <v>0.53</v>
      </c>
      <c r="J407" s="3">
        <v>0.36</v>
      </c>
      <c r="K407" s="3">
        <v>0.2</v>
      </c>
      <c r="L407" s="3">
        <v>0.2</v>
      </c>
      <c r="M407" s="2" t="s">
        <v>17</v>
      </c>
      <c r="N407" s="3" t="str" cm="1">
        <f t="array" ref="N407">_xlfn.IFS(G407&gt;=90,"Excellent",G407&gt;=80,"Good",G407&gt;=70,"Average",G407&lt;70,"Poor")</f>
        <v>Average</v>
      </c>
    </row>
    <row r="408" spans="1:14" x14ac:dyDescent="0.35">
      <c r="A408" s="2">
        <v>407</v>
      </c>
      <c r="B408" s="2" t="s">
        <v>449</v>
      </c>
      <c r="C408" s="2" t="s">
        <v>19</v>
      </c>
      <c r="D408" s="2" t="s">
        <v>51</v>
      </c>
      <c r="E408" s="2" t="s">
        <v>20</v>
      </c>
      <c r="F408" s="2">
        <v>2020</v>
      </c>
      <c r="G408" s="2">
        <v>93</v>
      </c>
      <c r="H408" s="3">
        <v>0.57999999999999996</v>
      </c>
      <c r="I408" s="3">
        <v>0.27</v>
      </c>
      <c r="J408" s="3">
        <v>0.15</v>
      </c>
      <c r="K408" s="3">
        <v>0.04</v>
      </c>
      <c r="L408" s="3">
        <v>0.12</v>
      </c>
      <c r="M408" s="2" t="s">
        <v>17</v>
      </c>
      <c r="N408" s="3" t="str" cm="1">
        <f t="array" ref="N408">_xlfn.IFS(G408&gt;=90,"Excellent",G408&gt;=80,"Good",G408&gt;=70,"Average",G408&lt;70,"Poor")</f>
        <v>Excellent</v>
      </c>
    </row>
    <row r="409" spans="1:14" x14ac:dyDescent="0.35">
      <c r="A409" s="2">
        <v>408</v>
      </c>
      <c r="B409" s="2" t="s">
        <v>450</v>
      </c>
      <c r="C409" s="2" t="s">
        <v>57</v>
      </c>
      <c r="D409" s="2" t="s">
        <v>45</v>
      </c>
      <c r="E409" s="2" t="s">
        <v>41</v>
      </c>
      <c r="F409" s="2">
        <v>2014</v>
      </c>
      <c r="G409" s="2">
        <v>60</v>
      </c>
      <c r="H409" s="3">
        <v>0.42</v>
      </c>
      <c r="I409" s="3">
        <v>0.21</v>
      </c>
      <c r="J409" s="3">
        <v>0.14000000000000001</v>
      </c>
      <c r="K409" s="3">
        <v>7.0000000000000007E-2</v>
      </c>
      <c r="L409" s="3">
        <v>0</v>
      </c>
      <c r="M409" s="2" t="s">
        <v>24</v>
      </c>
      <c r="N409" s="3" t="str" cm="1">
        <f t="array" ref="N409">_xlfn.IFS(G409&gt;=90,"Excellent",G409&gt;=80,"Good",G409&gt;=70,"Average",G409&lt;70,"Poor")</f>
        <v>Poor</v>
      </c>
    </row>
    <row r="410" spans="1:14" x14ac:dyDescent="0.35">
      <c r="A410" s="2">
        <v>409</v>
      </c>
      <c r="B410" s="2" t="s">
        <v>451</v>
      </c>
      <c r="C410" s="2" t="s">
        <v>57</v>
      </c>
      <c r="D410" s="2" t="s">
        <v>51</v>
      </c>
      <c r="E410" s="2" t="s">
        <v>60</v>
      </c>
      <c r="F410" s="2">
        <v>2008</v>
      </c>
      <c r="G410" s="2">
        <v>67</v>
      </c>
      <c r="H410" s="3">
        <v>0.93</v>
      </c>
      <c r="I410" s="3">
        <v>0.38</v>
      </c>
      <c r="J410" s="3">
        <v>0.27</v>
      </c>
      <c r="K410" s="3">
        <v>0.13</v>
      </c>
      <c r="L410" s="3">
        <v>0.15</v>
      </c>
      <c r="M410" s="2" t="s">
        <v>17</v>
      </c>
      <c r="N410" s="3" t="str" cm="1">
        <f t="array" ref="N410">_xlfn.IFS(G410&gt;=90,"Excellent",G410&gt;=80,"Good",G410&gt;=70,"Average",G410&lt;70,"Poor")</f>
        <v>Poor</v>
      </c>
    </row>
    <row r="411" spans="1:14" x14ac:dyDescent="0.35">
      <c r="A411" s="2">
        <v>410</v>
      </c>
      <c r="B411" s="2" t="s">
        <v>452</v>
      </c>
      <c r="C411" s="2" t="s">
        <v>14</v>
      </c>
      <c r="D411" s="2" t="s">
        <v>48</v>
      </c>
      <c r="E411" s="2" t="s">
        <v>43</v>
      </c>
      <c r="F411" s="2">
        <v>2013</v>
      </c>
      <c r="G411" s="2">
        <v>58</v>
      </c>
      <c r="H411" s="3">
        <v>1.63</v>
      </c>
      <c r="I411" s="3">
        <v>0.61</v>
      </c>
      <c r="J411" s="3">
        <v>0.43</v>
      </c>
      <c r="K411" s="3">
        <v>0.08</v>
      </c>
      <c r="L411" s="3">
        <v>0.51</v>
      </c>
      <c r="M411" s="2" t="s">
        <v>17</v>
      </c>
      <c r="N411" s="3" t="str" cm="1">
        <f t="array" ref="N411">_xlfn.IFS(G411&gt;=90,"Excellent",G411&gt;=80,"Good",G411&gt;=70,"Average",G411&lt;70,"Poor")</f>
        <v>Poor</v>
      </c>
    </row>
    <row r="412" spans="1:14" x14ac:dyDescent="0.35">
      <c r="A412" s="2">
        <v>411</v>
      </c>
      <c r="B412" s="2" t="s">
        <v>453</v>
      </c>
      <c r="C412" s="2" t="s">
        <v>59</v>
      </c>
      <c r="D412" s="2" t="s">
        <v>15</v>
      </c>
      <c r="E412" s="2" t="s">
        <v>16</v>
      </c>
      <c r="F412" s="2">
        <v>1996</v>
      </c>
      <c r="G412" s="2">
        <v>81</v>
      </c>
      <c r="H412" s="3">
        <v>0.09</v>
      </c>
      <c r="I412" s="3">
        <v>0.05</v>
      </c>
      <c r="J412" s="3">
        <v>0.02</v>
      </c>
      <c r="K412" s="3">
        <v>0.02</v>
      </c>
      <c r="L412" s="3">
        <v>0</v>
      </c>
      <c r="M412" s="2" t="s">
        <v>24</v>
      </c>
      <c r="N412" s="3" t="str" cm="1">
        <f t="array" ref="N412">_xlfn.IFS(G412&gt;=90,"Excellent",G412&gt;=80,"Good",G412&gt;=70,"Average",G412&lt;70,"Poor")</f>
        <v>Good</v>
      </c>
    </row>
    <row r="413" spans="1:14" x14ac:dyDescent="0.35">
      <c r="A413" s="2">
        <v>412</v>
      </c>
      <c r="B413" s="2" t="s">
        <v>454</v>
      </c>
      <c r="C413" s="2" t="s">
        <v>14</v>
      </c>
      <c r="D413" s="2" t="s">
        <v>37</v>
      </c>
      <c r="E413" s="2" t="s">
        <v>20</v>
      </c>
      <c r="F413" s="2">
        <v>2007</v>
      </c>
      <c r="G413" s="2">
        <v>59</v>
      </c>
      <c r="H413" s="3">
        <v>0.64</v>
      </c>
      <c r="I413" s="3">
        <v>0.34</v>
      </c>
      <c r="J413" s="3">
        <v>0.15</v>
      </c>
      <c r="K413" s="3">
        <v>7.0000000000000007E-2</v>
      </c>
      <c r="L413" s="3">
        <v>0.08</v>
      </c>
      <c r="M413" s="2" t="s">
        <v>17</v>
      </c>
      <c r="N413" s="3" t="str" cm="1">
        <f t="array" ref="N413">_xlfn.IFS(G413&gt;=90,"Excellent",G413&gt;=80,"Good",G413&gt;=70,"Average",G413&lt;70,"Poor")</f>
        <v>Poor</v>
      </c>
    </row>
    <row r="414" spans="1:14" x14ac:dyDescent="0.35">
      <c r="A414" s="2">
        <v>413</v>
      </c>
      <c r="B414" s="2" t="s">
        <v>455</v>
      </c>
      <c r="C414" s="2" t="s">
        <v>59</v>
      </c>
      <c r="D414" s="2" t="s">
        <v>48</v>
      </c>
      <c r="E414" s="2" t="s">
        <v>41</v>
      </c>
      <c r="F414" s="2">
        <v>1995</v>
      </c>
      <c r="G414" s="2">
        <v>57</v>
      </c>
      <c r="H414" s="3">
        <v>7.0000000000000007E-2</v>
      </c>
      <c r="I414" s="3">
        <v>0.03</v>
      </c>
      <c r="J414" s="3">
        <v>0.02</v>
      </c>
      <c r="K414" s="3">
        <v>0.01</v>
      </c>
      <c r="L414" s="3">
        <v>0.01</v>
      </c>
      <c r="M414" s="2" t="s">
        <v>24</v>
      </c>
      <c r="N414" s="3" t="str" cm="1">
        <f t="array" ref="N414">_xlfn.IFS(G414&gt;=90,"Excellent",G414&gt;=80,"Good",G414&gt;=70,"Average",G414&lt;70,"Poor")</f>
        <v>Poor</v>
      </c>
    </row>
    <row r="415" spans="1:14" x14ac:dyDescent="0.35">
      <c r="A415" s="2">
        <v>414</v>
      </c>
      <c r="B415" s="2" t="s">
        <v>456</v>
      </c>
      <c r="C415" s="2" t="s">
        <v>19</v>
      </c>
      <c r="D415" s="2" t="s">
        <v>29</v>
      </c>
      <c r="E415" s="2" t="s">
        <v>54</v>
      </c>
      <c r="F415" s="2">
        <v>2017</v>
      </c>
      <c r="G415" s="2">
        <v>88</v>
      </c>
      <c r="H415" s="3">
        <v>0.26</v>
      </c>
      <c r="I415" s="3">
        <v>0.11</v>
      </c>
      <c r="J415" s="3">
        <v>7.0000000000000007E-2</v>
      </c>
      <c r="K415" s="3">
        <v>0.02</v>
      </c>
      <c r="L415" s="3">
        <v>0.06</v>
      </c>
      <c r="M415" s="2" t="s">
        <v>24</v>
      </c>
      <c r="N415" s="3" t="str" cm="1">
        <f t="array" ref="N415">_xlfn.IFS(G415&gt;=90,"Excellent",G415&gt;=80,"Good",G415&gt;=70,"Average",G415&lt;70,"Poor")</f>
        <v>Good</v>
      </c>
    </row>
    <row r="416" spans="1:14" x14ac:dyDescent="0.35">
      <c r="A416" s="2">
        <v>415</v>
      </c>
      <c r="B416" s="2" t="s">
        <v>457</v>
      </c>
      <c r="C416" s="2" t="s">
        <v>57</v>
      </c>
      <c r="D416" s="2" t="s">
        <v>33</v>
      </c>
      <c r="E416" s="2" t="s">
        <v>52</v>
      </c>
      <c r="F416" s="2">
        <v>2007</v>
      </c>
      <c r="G416" s="2">
        <v>55</v>
      </c>
      <c r="H416" s="3">
        <v>0.24</v>
      </c>
      <c r="I416" s="3">
        <v>0.09</v>
      </c>
      <c r="J416" s="3">
        <v>0.08</v>
      </c>
      <c r="K416" s="3">
        <v>0.01</v>
      </c>
      <c r="L416" s="3">
        <v>0.06</v>
      </c>
      <c r="M416" s="2" t="s">
        <v>24</v>
      </c>
      <c r="N416" s="3" t="str" cm="1">
        <f t="array" ref="N416">_xlfn.IFS(G416&gt;=90,"Excellent",G416&gt;=80,"Good",G416&gt;=70,"Average",G416&lt;70,"Poor")</f>
        <v>Poor</v>
      </c>
    </row>
    <row r="417" spans="1:14" x14ac:dyDescent="0.35">
      <c r="A417" s="2">
        <v>416</v>
      </c>
      <c r="B417" s="2" t="s">
        <v>458</v>
      </c>
      <c r="C417" s="2" t="s">
        <v>59</v>
      </c>
      <c r="D417" s="2" t="s">
        <v>62</v>
      </c>
      <c r="E417" s="2" t="s">
        <v>74</v>
      </c>
      <c r="F417" s="2">
        <v>1999</v>
      </c>
      <c r="G417" s="2">
        <v>60</v>
      </c>
      <c r="H417" s="3">
        <v>0.19</v>
      </c>
      <c r="I417" s="3">
        <v>0.09</v>
      </c>
      <c r="J417" s="3">
        <v>0.05</v>
      </c>
      <c r="K417" s="3">
        <v>0.04</v>
      </c>
      <c r="L417" s="3">
        <v>0.01</v>
      </c>
      <c r="M417" s="2" t="s">
        <v>24</v>
      </c>
      <c r="N417" s="3" t="str" cm="1">
        <f t="array" ref="N417">_xlfn.IFS(G417&gt;=90,"Excellent",G417&gt;=80,"Good",G417&gt;=70,"Average",G417&lt;70,"Poor")</f>
        <v>Poor</v>
      </c>
    </row>
    <row r="418" spans="1:14" x14ac:dyDescent="0.35">
      <c r="A418" s="2">
        <v>417</v>
      </c>
      <c r="B418" s="2" t="s">
        <v>459</v>
      </c>
      <c r="C418" s="2" t="s">
        <v>64</v>
      </c>
      <c r="D418" s="2" t="s">
        <v>15</v>
      </c>
      <c r="E418" s="2" t="s">
        <v>43</v>
      </c>
      <c r="F418" s="2">
        <v>2011</v>
      </c>
      <c r="G418" s="2">
        <v>61</v>
      </c>
      <c r="H418" s="3">
        <v>0.14000000000000001</v>
      </c>
      <c r="I418" s="3">
        <v>0.08</v>
      </c>
      <c r="J418" s="3">
        <v>0.04</v>
      </c>
      <c r="K418" s="3">
        <v>0.02</v>
      </c>
      <c r="L418" s="3">
        <v>0</v>
      </c>
      <c r="M418" s="2" t="s">
        <v>24</v>
      </c>
      <c r="N418" s="3" t="str" cm="1">
        <f t="array" ref="N418">_xlfn.IFS(G418&gt;=90,"Excellent",G418&gt;=80,"Good",G418&gt;=70,"Average",G418&lt;70,"Poor")</f>
        <v>Poor</v>
      </c>
    </row>
    <row r="419" spans="1:14" x14ac:dyDescent="0.35">
      <c r="A419" s="2">
        <v>418</v>
      </c>
      <c r="B419" s="2" t="s">
        <v>460</v>
      </c>
      <c r="C419" s="2" t="s">
        <v>64</v>
      </c>
      <c r="D419" s="2" t="s">
        <v>48</v>
      </c>
      <c r="E419" s="2" t="s">
        <v>20</v>
      </c>
      <c r="F419" s="2">
        <v>2018</v>
      </c>
      <c r="G419" s="2">
        <v>63</v>
      </c>
      <c r="H419" s="3">
        <v>0.61</v>
      </c>
      <c r="I419" s="3">
        <v>0.28000000000000003</v>
      </c>
      <c r="J419" s="3">
        <v>0.17</v>
      </c>
      <c r="K419" s="3">
        <v>0.08</v>
      </c>
      <c r="L419" s="3">
        <v>0.08</v>
      </c>
      <c r="M419" s="2" t="s">
        <v>17</v>
      </c>
      <c r="N419" s="3" t="str" cm="1">
        <f t="array" ref="N419">_xlfn.IFS(G419&gt;=90,"Excellent",G419&gt;=80,"Good",G419&gt;=70,"Average",G419&lt;70,"Poor")</f>
        <v>Poor</v>
      </c>
    </row>
    <row r="420" spans="1:14" x14ac:dyDescent="0.35">
      <c r="A420" s="2">
        <v>419</v>
      </c>
      <c r="B420" s="2" t="s">
        <v>461</v>
      </c>
      <c r="C420" s="2" t="s">
        <v>23</v>
      </c>
      <c r="D420" s="2" t="s">
        <v>29</v>
      </c>
      <c r="E420" s="2" t="s">
        <v>16</v>
      </c>
      <c r="F420" s="2">
        <v>2022</v>
      </c>
      <c r="G420" s="2">
        <v>90</v>
      </c>
      <c r="H420" s="3">
        <v>0.24</v>
      </c>
      <c r="I420" s="3">
        <v>0.11</v>
      </c>
      <c r="J420" s="3">
        <v>0.08</v>
      </c>
      <c r="K420" s="3">
        <v>0.03</v>
      </c>
      <c r="L420" s="3">
        <v>0.02</v>
      </c>
      <c r="M420" s="2" t="s">
        <v>24</v>
      </c>
      <c r="N420" s="3" t="str" cm="1">
        <f t="array" ref="N420">_xlfn.IFS(G420&gt;=90,"Excellent",G420&gt;=80,"Good",G420&gt;=70,"Average",G420&lt;70,"Poor")</f>
        <v>Excellent</v>
      </c>
    </row>
    <row r="421" spans="1:14" x14ac:dyDescent="0.35">
      <c r="A421" s="2">
        <v>420</v>
      </c>
      <c r="B421" s="2" t="s">
        <v>462</v>
      </c>
      <c r="C421" s="2" t="s">
        <v>19</v>
      </c>
      <c r="D421" s="2" t="s">
        <v>65</v>
      </c>
      <c r="E421" s="2" t="s">
        <v>41</v>
      </c>
      <c r="F421" s="2">
        <v>2013</v>
      </c>
      <c r="G421" s="2">
        <v>94</v>
      </c>
      <c r="H421" s="3">
        <v>0.19</v>
      </c>
      <c r="I421" s="3">
        <v>0.09</v>
      </c>
      <c r="J421" s="3">
        <v>0.05</v>
      </c>
      <c r="K421" s="3">
        <v>0.02</v>
      </c>
      <c r="L421" s="3">
        <v>0.03</v>
      </c>
      <c r="M421" s="2" t="s">
        <v>24</v>
      </c>
      <c r="N421" s="3" t="str" cm="1">
        <f t="array" ref="N421">_xlfn.IFS(G421&gt;=90,"Excellent",G421&gt;=80,"Good",G421&gt;=70,"Average",G421&lt;70,"Poor")</f>
        <v>Excellent</v>
      </c>
    </row>
    <row r="422" spans="1:14" x14ac:dyDescent="0.35">
      <c r="A422" s="2">
        <v>421</v>
      </c>
      <c r="B422" s="2" t="s">
        <v>463</v>
      </c>
      <c r="C422" s="2" t="s">
        <v>23</v>
      </c>
      <c r="D422" s="2" t="s">
        <v>62</v>
      </c>
      <c r="E422" s="2" t="s">
        <v>60</v>
      </c>
      <c r="F422" s="2">
        <v>2025</v>
      </c>
      <c r="G422" s="2">
        <v>73</v>
      </c>
      <c r="H422" s="3">
        <v>0.34</v>
      </c>
      <c r="I422" s="3">
        <v>0.13</v>
      </c>
      <c r="J422" s="3">
        <v>0.09</v>
      </c>
      <c r="K422" s="3">
        <v>0.02</v>
      </c>
      <c r="L422" s="3">
        <v>0.1</v>
      </c>
      <c r="M422" s="2" t="s">
        <v>24</v>
      </c>
      <c r="N422" s="3" t="str" cm="1">
        <f t="array" ref="N422">_xlfn.IFS(G422&gt;=90,"Excellent",G422&gt;=80,"Good",G422&gt;=70,"Average",G422&lt;70,"Poor")</f>
        <v>Average</v>
      </c>
    </row>
    <row r="423" spans="1:14" x14ac:dyDescent="0.35">
      <c r="A423" s="2">
        <v>422</v>
      </c>
      <c r="B423" s="2" t="s">
        <v>464</v>
      </c>
      <c r="C423" s="2" t="s">
        <v>64</v>
      </c>
      <c r="D423" s="2" t="s">
        <v>37</v>
      </c>
      <c r="E423" s="2" t="s">
        <v>20</v>
      </c>
      <c r="F423" s="2">
        <v>2013</v>
      </c>
      <c r="G423" s="2">
        <v>86</v>
      </c>
      <c r="H423" s="3">
        <v>0.42</v>
      </c>
      <c r="I423" s="3">
        <v>0.19</v>
      </c>
      <c r="J423" s="3">
        <v>0.12</v>
      </c>
      <c r="K423" s="3">
        <v>0.06</v>
      </c>
      <c r="L423" s="3">
        <v>0.05</v>
      </c>
      <c r="M423" s="2" t="s">
        <v>24</v>
      </c>
      <c r="N423" s="3" t="str" cm="1">
        <f t="array" ref="N423">_xlfn.IFS(G423&gt;=90,"Excellent",G423&gt;=80,"Good",G423&gt;=70,"Average",G423&lt;70,"Poor")</f>
        <v>Good</v>
      </c>
    </row>
    <row r="424" spans="1:14" x14ac:dyDescent="0.35">
      <c r="A424" s="2">
        <v>423</v>
      </c>
      <c r="B424" s="2" t="s">
        <v>465</v>
      </c>
      <c r="C424" s="2" t="s">
        <v>59</v>
      </c>
      <c r="D424" s="2" t="s">
        <v>48</v>
      </c>
      <c r="E424" s="2" t="s">
        <v>74</v>
      </c>
      <c r="F424" s="2">
        <v>1997</v>
      </c>
      <c r="G424" s="2">
        <v>68</v>
      </c>
      <c r="H424" s="3">
        <v>1.06</v>
      </c>
      <c r="I424" s="3">
        <v>0.51</v>
      </c>
      <c r="J424" s="3">
        <v>0.27</v>
      </c>
      <c r="K424" s="3">
        <v>0.17</v>
      </c>
      <c r="L424" s="3">
        <v>0.11</v>
      </c>
      <c r="M424" s="2" t="s">
        <v>17</v>
      </c>
      <c r="N424" s="3" t="str" cm="1">
        <f t="array" ref="N424">_xlfn.IFS(G424&gt;=90,"Excellent",G424&gt;=80,"Good",G424&gt;=70,"Average",G424&lt;70,"Poor")</f>
        <v>Poor</v>
      </c>
    </row>
    <row r="425" spans="1:14" x14ac:dyDescent="0.35">
      <c r="A425" s="2">
        <v>424</v>
      </c>
      <c r="B425" s="2" t="s">
        <v>466</v>
      </c>
      <c r="C425" s="2" t="s">
        <v>19</v>
      </c>
      <c r="D425" s="2" t="s">
        <v>15</v>
      </c>
      <c r="E425" s="2" t="s">
        <v>74</v>
      </c>
      <c r="F425" s="2">
        <v>2018</v>
      </c>
      <c r="G425" s="2">
        <v>57</v>
      </c>
      <c r="H425" s="3">
        <v>7.21</v>
      </c>
      <c r="I425" s="3">
        <v>2.64</v>
      </c>
      <c r="J425" s="3">
        <v>1.68</v>
      </c>
      <c r="K425" s="3">
        <v>0.92</v>
      </c>
      <c r="L425" s="3">
        <v>1.97</v>
      </c>
      <c r="M425" s="2" t="s">
        <v>21</v>
      </c>
      <c r="N425" s="3" t="str" cm="1">
        <f t="array" ref="N425">_xlfn.IFS(G425&gt;=90,"Excellent",G425&gt;=80,"Good",G425&gt;=70,"Average",G425&lt;70,"Poor")</f>
        <v>Poor</v>
      </c>
    </row>
    <row r="426" spans="1:14" x14ac:dyDescent="0.35">
      <c r="A426" s="2">
        <v>425</v>
      </c>
      <c r="B426" s="2" t="s">
        <v>467</v>
      </c>
      <c r="C426" s="2" t="s">
        <v>59</v>
      </c>
      <c r="D426" s="2" t="s">
        <v>48</v>
      </c>
      <c r="E426" s="2" t="s">
        <v>60</v>
      </c>
      <c r="F426" s="2">
        <v>2000</v>
      </c>
      <c r="G426" s="2">
        <v>67</v>
      </c>
      <c r="H426" s="3">
        <v>0.43</v>
      </c>
      <c r="I426" s="3">
        <v>0.2</v>
      </c>
      <c r="J426" s="3">
        <v>0.1</v>
      </c>
      <c r="K426" s="3">
        <v>7.0000000000000007E-2</v>
      </c>
      <c r="L426" s="3">
        <v>0.06</v>
      </c>
      <c r="M426" s="2" t="s">
        <v>24</v>
      </c>
      <c r="N426" s="3" t="str" cm="1">
        <f t="array" ref="N426">_xlfn.IFS(G426&gt;=90,"Excellent",G426&gt;=80,"Good",G426&gt;=70,"Average",G426&lt;70,"Poor")</f>
        <v>Poor</v>
      </c>
    </row>
    <row r="427" spans="1:14" x14ac:dyDescent="0.35">
      <c r="A427" s="2">
        <v>426</v>
      </c>
      <c r="B427" s="2" t="s">
        <v>468</v>
      </c>
      <c r="C427" s="2" t="s">
        <v>19</v>
      </c>
      <c r="D427" s="2" t="s">
        <v>2</v>
      </c>
      <c r="E427" s="2" t="s">
        <v>43</v>
      </c>
      <c r="F427" s="2">
        <v>2014</v>
      </c>
      <c r="G427" s="2">
        <v>61</v>
      </c>
      <c r="H427" s="3">
        <v>0.43</v>
      </c>
      <c r="I427" s="3">
        <v>0.19</v>
      </c>
      <c r="J427" s="3">
        <v>0.11</v>
      </c>
      <c r="K427" s="3">
        <v>0.03</v>
      </c>
      <c r="L427" s="3">
        <v>0.1</v>
      </c>
      <c r="M427" s="2" t="s">
        <v>24</v>
      </c>
      <c r="N427" s="3" t="str" cm="1">
        <f t="array" ref="N427">_xlfn.IFS(G427&gt;=90,"Excellent",G427&gt;=80,"Good",G427&gt;=70,"Average",G427&lt;70,"Poor")</f>
        <v>Poor</v>
      </c>
    </row>
    <row r="428" spans="1:14" x14ac:dyDescent="0.35">
      <c r="A428" s="2">
        <v>427</v>
      </c>
      <c r="B428" s="2" t="s">
        <v>469</v>
      </c>
      <c r="C428" s="2" t="s">
        <v>23</v>
      </c>
      <c r="D428" s="2" t="s">
        <v>29</v>
      </c>
      <c r="E428" s="2" t="s">
        <v>43</v>
      </c>
      <c r="F428" s="2">
        <v>2023</v>
      </c>
      <c r="G428" s="2">
        <v>78</v>
      </c>
      <c r="H428" s="3">
        <v>0.51</v>
      </c>
      <c r="I428" s="3">
        <v>0.26</v>
      </c>
      <c r="J428" s="3">
        <v>0.13</v>
      </c>
      <c r="K428" s="3">
        <v>0.04</v>
      </c>
      <c r="L428" s="3">
        <v>0.08</v>
      </c>
      <c r="M428" s="2" t="s">
        <v>17</v>
      </c>
      <c r="N428" s="3" t="str" cm="1">
        <f t="array" ref="N428">_xlfn.IFS(G428&gt;=90,"Excellent",G428&gt;=80,"Good",G428&gt;=70,"Average",G428&lt;70,"Poor")</f>
        <v>Average</v>
      </c>
    </row>
    <row r="429" spans="1:14" x14ac:dyDescent="0.35">
      <c r="A429" s="2">
        <v>428</v>
      </c>
      <c r="B429" s="2" t="s">
        <v>470</v>
      </c>
      <c r="C429" s="2" t="s">
        <v>23</v>
      </c>
      <c r="D429" s="2" t="s">
        <v>45</v>
      </c>
      <c r="E429" s="2" t="s">
        <v>60</v>
      </c>
      <c r="F429" s="2">
        <v>2021</v>
      </c>
      <c r="G429" s="2">
        <v>83</v>
      </c>
      <c r="H429" s="3">
        <v>0.64</v>
      </c>
      <c r="I429" s="3">
        <v>0.32</v>
      </c>
      <c r="J429" s="3">
        <v>0.22</v>
      </c>
      <c r="K429" s="3">
        <v>0.09</v>
      </c>
      <c r="L429" s="3">
        <v>0.01</v>
      </c>
      <c r="M429" s="2" t="s">
        <v>17</v>
      </c>
      <c r="N429" s="3" t="str" cm="1">
        <f t="array" ref="N429">_xlfn.IFS(G429&gt;=90,"Excellent",G429&gt;=80,"Good",G429&gt;=70,"Average",G429&lt;70,"Poor")</f>
        <v>Good</v>
      </c>
    </row>
    <row r="430" spans="1:14" x14ac:dyDescent="0.35">
      <c r="A430" s="2">
        <v>429</v>
      </c>
      <c r="B430" s="2" t="s">
        <v>471</v>
      </c>
      <c r="C430" s="2" t="s">
        <v>23</v>
      </c>
      <c r="D430" s="2" t="s">
        <v>51</v>
      </c>
      <c r="E430" s="2" t="s">
        <v>20</v>
      </c>
      <c r="F430" s="2">
        <v>2021</v>
      </c>
      <c r="G430" s="2">
        <v>68</v>
      </c>
      <c r="H430" s="3">
        <v>3.66</v>
      </c>
      <c r="I430" s="3">
        <v>1.48</v>
      </c>
      <c r="J430" s="3">
        <v>1.04</v>
      </c>
      <c r="K430" s="3">
        <v>0.49</v>
      </c>
      <c r="L430" s="3">
        <v>0.65</v>
      </c>
      <c r="M430" s="2" t="s">
        <v>27</v>
      </c>
      <c r="N430" s="3" t="str" cm="1">
        <f t="array" ref="N430">_xlfn.IFS(G430&gt;=90,"Excellent",G430&gt;=80,"Good",G430&gt;=70,"Average",G430&lt;70,"Poor")</f>
        <v>Poor</v>
      </c>
    </row>
    <row r="431" spans="1:14" x14ac:dyDescent="0.35">
      <c r="A431" s="2">
        <v>430</v>
      </c>
      <c r="B431" s="2" t="s">
        <v>472</v>
      </c>
      <c r="C431" s="2" t="s">
        <v>23</v>
      </c>
      <c r="D431" s="2" t="s">
        <v>33</v>
      </c>
      <c r="E431" s="2" t="s">
        <v>20</v>
      </c>
      <c r="F431" s="2">
        <v>2021</v>
      </c>
      <c r="G431" s="2">
        <v>64</v>
      </c>
      <c r="H431" s="3">
        <v>0.3</v>
      </c>
      <c r="I431" s="3">
        <v>0.14000000000000001</v>
      </c>
      <c r="J431" s="3">
        <v>7.0000000000000007E-2</v>
      </c>
      <c r="K431" s="3">
        <v>0.05</v>
      </c>
      <c r="L431" s="3">
        <v>0.04</v>
      </c>
      <c r="M431" s="2" t="s">
        <v>24</v>
      </c>
      <c r="N431" s="3" t="str" cm="1">
        <f t="array" ref="N431">_xlfn.IFS(G431&gt;=90,"Excellent",G431&gt;=80,"Good",G431&gt;=70,"Average",G431&lt;70,"Poor")</f>
        <v>Poor</v>
      </c>
    </row>
    <row r="432" spans="1:14" x14ac:dyDescent="0.35">
      <c r="A432" s="2">
        <v>431</v>
      </c>
      <c r="B432" s="2" t="s">
        <v>473</v>
      </c>
      <c r="C432" s="2" t="s">
        <v>59</v>
      </c>
      <c r="D432" s="2" t="s">
        <v>45</v>
      </c>
      <c r="E432" s="2" t="s">
        <v>74</v>
      </c>
      <c r="F432" s="2">
        <v>1999</v>
      </c>
      <c r="G432" s="2">
        <v>75</v>
      </c>
      <c r="H432" s="3">
        <v>0.7</v>
      </c>
      <c r="I432" s="3">
        <v>0.36</v>
      </c>
      <c r="J432" s="3">
        <v>0.21</v>
      </c>
      <c r="K432" s="3">
        <v>0.1</v>
      </c>
      <c r="L432" s="3">
        <v>0.03</v>
      </c>
      <c r="M432" s="2" t="s">
        <v>17</v>
      </c>
      <c r="N432" s="3" t="str" cm="1">
        <f t="array" ref="N432">_xlfn.IFS(G432&gt;=90,"Excellent",G432&gt;=80,"Good",G432&gt;=70,"Average",G432&lt;70,"Poor")</f>
        <v>Average</v>
      </c>
    </row>
    <row r="433" spans="1:14" x14ac:dyDescent="0.35">
      <c r="A433" s="2">
        <v>432</v>
      </c>
      <c r="B433" s="2" t="s">
        <v>474</v>
      </c>
      <c r="C433" s="2" t="s">
        <v>59</v>
      </c>
      <c r="D433" s="2" t="s">
        <v>51</v>
      </c>
      <c r="E433" s="2" t="s">
        <v>20</v>
      </c>
      <c r="F433" s="2">
        <v>1999</v>
      </c>
      <c r="G433" s="2">
        <v>60</v>
      </c>
      <c r="H433" s="3">
        <v>0.05</v>
      </c>
      <c r="I433" s="3">
        <v>0.02</v>
      </c>
      <c r="J433" s="3">
        <v>0.02</v>
      </c>
      <c r="K433" s="3">
        <v>0</v>
      </c>
      <c r="L433" s="3">
        <v>0.01</v>
      </c>
      <c r="M433" s="2" t="s">
        <v>24</v>
      </c>
      <c r="N433" s="3" t="str" cm="1">
        <f t="array" ref="N433">_xlfn.IFS(G433&gt;=90,"Excellent",G433&gt;=80,"Good",G433&gt;=70,"Average",G433&lt;70,"Poor")</f>
        <v>Poor</v>
      </c>
    </row>
    <row r="434" spans="1:14" x14ac:dyDescent="0.35">
      <c r="A434" s="2">
        <v>433</v>
      </c>
      <c r="B434" s="2" t="s">
        <v>475</v>
      </c>
      <c r="C434" s="2" t="s">
        <v>64</v>
      </c>
      <c r="D434" s="2" t="s">
        <v>2</v>
      </c>
      <c r="E434" s="2" t="s">
        <v>20</v>
      </c>
      <c r="F434" s="2">
        <v>2014</v>
      </c>
      <c r="G434" s="2">
        <v>74</v>
      </c>
      <c r="H434" s="3">
        <v>0.31</v>
      </c>
      <c r="I434" s="3">
        <v>0.14000000000000001</v>
      </c>
      <c r="J434" s="3">
        <v>0.08</v>
      </c>
      <c r="K434" s="3">
        <v>0.05</v>
      </c>
      <c r="L434" s="3">
        <v>0.04</v>
      </c>
      <c r="M434" s="2" t="s">
        <v>24</v>
      </c>
      <c r="N434" s="3" t="str" cm="1">
        <f t="array" ref="N434">_xlfn.IFS(G434&gt;=90,"Excellent",G434&gt;=80,"Good",G434&gt;=70,"Average",G434&lt;70,"Poor")</f>
        <v>Average</v>
      </c>
    </row>
    <row r="435" spans="1:14" x14ac:dyDescent="0.35">
      <c r="A435" s="2">
        <v>434</v>
      </c>
      <c r="B435" s="2" t="s">
        <v>476</v>
      </c>
      <c r="C435" s="2" t="s">
        <v>31</v>
      </c>
      <c r="D435" s="2" t="s">
        <v>45</v>
      </c>
      <c r="E435" s="2" t="s">
        <v>16</v>
      </c>
      <c r="F435" s="2">
        <v>2000</v>
      </c>
      <c r="G435" s="2">
        <v>87</v>
      </c>
      <c r="H435" s="3">
        <v>0.22</v>
      </c>
      <c r="I435" s="3">
        <v>0.11</v>
      </c>
      <c r="J435" s="3">
        <v>0.05</v>
      </c>
      <c r="K435" s="3">
        <v>0.02</v>
      </c>
      <c r="L435" s="3">
        <v>0.04</v>
      </c>
      <c r="M435" s="2" t="s">
        <v>24</v>
      </c>
      <c r="N435" s="3" t="str" cm="1">
        <f t="array" ref="N435">_xlfn.IFS(G435&gt;=90,"Excellent",G435&gt;=80,"Good",G435&gt;=70,"Average",G435&lt;70,"Poor")</f>
        <v>Good</v>
      </c>
    </row>
    <row r="436" spans="1:14" x14ac:dyDescent="0.35">
      <c r="A436" s="2">
        <v>435</v>
      </c>
      <c r="B436" s="2" t="s">
        <v>477</v>
      </c>
      <c r="C436" s="2" t="s">
        <v>19</v>
      </c>
      <c r="D436" s="2" t="s">
        <v>65</v>
      </c>
      <c r="E436" s="2" t="s">
        <v>41</v>
      </c>
      <c r="F436" s="2">
        <v>2013</v>
      </c>
      <c r="G436" s="2">
        <v>80</v>
      </c>
      <c r="H436" s="3">
        <v>0.82</v>
      </c>
      <c r="I436" s="3">
        <v>0.31</v>
      </c>
      <c r="J436" s="3">
        <v>0.18</v>
      </c>
      <c r="K436" s="3">
        <v>0.11</v>
      </c>
      <c r="L436" s="3">
        <v>0.22</v>
      </c>
      <c r="M436" s="2" t="s">
        <v>17</v>
      </c>
      <c r="N436" s="3" t="str" cm="1">
        <f t="array" ref="N436">_xlfn.IFS(G436&gt;=90,"Excellent",G436&gt;=80,"Good",G436&gt;=70,"Average",G436&lt;70,"Poor")</f>
        <v>Good</v>
      </c>
    </row>
    <row r="437" spans="1:14" x14ac:dyDescent="0.35">
      <c r="A437" s="2">
        <v>436</v>
      </c>
      <c r="B437" s="2" t="s">
        <v>478</v>
      </c>
      <c r="C437" s="2" t="s">
        <v>19</v>
      </c>
      <c r="D437" s="2" t="s">
        <v>2</v>
      </c>
      <c r="E437" s="2" t="s">
        <v>52</v>
      </c>
      <c r="F437" s="2">
        <v>2019</v>
      </c>
      <c r="G437" s="2">
        <v>88</v>
      </c>
      <c r="H437" s="3">
        <v>0.53</v>
      </c>
      <c r="I437" s="3">
        <v>0.27</v>
      </c>
      <c r="J437" s="3">
        <v>0.13</v>
      </c>
      <c r="K437" s="3">
        <v>0.1</v>
      </c>
      <c r="L437" s="3">
        <v>0.03</v>
      </c>
      <c r="M437" s="2" t="s">
        <v>17</v>
      </c>
      <c r="N437" s="3" t="str" cm="1">
        <f t="array" ref="N437">_xlfn.IFS(G437&gt;=90,"Excellent",G437&gt;=80,"Good",G437&gt;=70,"Average",G437&lt;70,"Poor")</f>
        <v>Good</v>
      </c>
    </row>
    <row r="438" spans="1:14" x14ac:dyDescent="0.35">
      <c r="A438" s="2">
        <v>437</v>
      </c>
      <c r="B438" s="2" t="s">
        <v>479</v>
      </c>
      <c r="C438" s="2" t="s">
        <v>59</v>
      </c>
      <c r="D438" s="2" t="s">
        <v>45</v>
      </c>
      <c r="E438" s="2" t="s">
        <v>41</v>
      </c>
      <c r="F438" s="2">
        <v>1995</v>
      </c>
      <c r="G438" s="2">
        <v>67</v>
      </c>
      <c r="H438" s="3">
        <v>0.2</v>
      </c>
      <c r="I438" s="3">
        <v>7.0000000000000007E-2</v>
      </c>
      <c r="J438" s="3">
        <v>0.05</v>
      </c>
      <c r="K438" s="3">
        <v>0.04</v>
      </c>
      <c r="L438" s="3">
        <v>0.04</v>
      </c>
      <c r="M438" s="2" t="s">
        <v>24</v>
      </c>
      <c r="N438" s="3" t="str" cm="1">
        <f t="array" ref="N438">_xlfn.IFS(G438&gt;=90,"Excellent",G438&gt;=80,"Good",G438&gt;=70,"Average",G438&lt;70,"Poor")</f>
        <v>Poor</v>
      </c>
    </row>
    <row r="439" spans="1:14" x14ac:dyDescent="0.35">
      <c r="A439" s="2">
        <v>438</v>
      </c>
      <c r="B439" s="2" t="s">
        <v>480</v>
      </c>
      <c r="C439" s="2" t="s">
        <v>23</v>
      </c>
      <c r="D439" s="2" t="s">
        <v>62</v>
      </c>
      <c r="E439" s="2" t="s">
        <v>74</v>
      </c>
      <c r="F439" s="2">
        <v>2026</v>
      </c>
      <c r="G439" s="2">
        <v>57</v>
      </c>
      <c r="H439" s="3">
        <v>1.73</v>
      </c>
      <c r="I439" s="3">
        <v>0.84</v>
      </c>
      <c r="J439" s="3">
        <v>0.39</v>
      </c>
      <c r="K439" s="3">
        <v>0.28000000000000003</v>
      </c>
      <c r="L439" s="3">
        <v>0.22</v>
      </c>
      <c r="M439" s="2" t="s">
        <v>17</v>
      </c>
      <c r="N439" s="3" t="str" cm="1">
        <f t="array" ref="N439">_xlfn.IFS(G439&gt;=90,"Excellent",G439&gt;=80,"Good",G439&gt;=70,"Average",G439&lt;70,"Poor")</f>
        <v>Poor</v>
      </c>
    </row>
    <row r="440" spans="1:14" x14ac:dyDescent="0.35">
      <c r="A440" s="2">
        <v>439</v>
      </c>
      <c r="B440" s="2" t="s">
        <v>481</v>
      </c>
      <c r="C440" s="2" t="s">
        <v>59</v>
      </c>
      <c r="D440" s="2" t="s">
        <v>15</v>
      </c>
      <c r="E440" s="2" t="s">
        <v>52</v>
      </c>
      <c r="F440" s="2">
        <v>1995</v>
      </c>
      <c r="G440" s="2">
        <v>73</v>
      </c>
      <c r="H440" s="3">
        <v>0.14000000000000001</v>
      </c>
      <c r="I440" s="3">
        <v>0.05</v>
      </c>
      <c r="J440" s="3">
        <v>0.03</v>
      </c>
      <c r="K440" s="3">
        <v>0.02</v>
      </c>
      <c r="L440" s="3">
        <v>0.04</v>
      </c>
      <c r="M440" s="2" t="s">
        <v>24</v>
      </c>
      <c r="N440" s="3" t="str" cm="1">
        <f t="array" ref="N440">_xlfn.IFS(G440&gt;=90,"Excellent",G440&gt;=80,"Good",G440&gt;=70,"Average",G440&lt;70,"Poor")</f>
        <v>Average</v>
      </c>
    </row>
    <row r="441" spans="1:14" x14ac:dyDescent="0.35">
      <c r="A441" s="2">
        <v>440</v>
      </c>
      <c r="B441" s="2" t="s">
        <v>482</v>
      </c>
      <c r="C441" s="2" t="s">
        <v>31</v>
      </c>
      <c r="D441" s="2" t="s">
        <v>65</v>
      </c>
      <c r="E441" s="2" t="s">
        <v>46</v>
      </c>
      <c r="F441" s="2">
        <v>2004</v>
      </c>
      <c r="G441" s="2">
        <v>94</v>
      </c>
      <c r="H441" s="3">
        <v>1</v>
      </c>
      <c r="I441" s="3">
        <v>0.49</v>
      </c>
      <c r="J441" s="3">
        <v>0.2</v>
      </c>
      <c r="K441" s="3">
        <v>0.14000000000000001</v>
      </c>
      <c r="L441" s="3">
        <v>0.17</v>
      </c>
      <c r="M441" s="2" t="s">
        <v>17</v>
      </c>
      <c r="N441" s="3" t="str" cm="1">
        <f t="array" ref="N441">_xlfn.IFS(G441&gt;=90,"Excellent",G441&gt;=80,"Good",G441&gt;=70,"Average",G441&lt;70,"Poor")</f>
        <v>Excellent</v>
      </c>
    </row>
    <row r="442" spans="1:14" x14ac:dyDescent="0.35">
      <c r="A442" s="2">
        <v>441</v>
      </c>
      <c r="B442" s="2" t="s">
        <v>483</v>
      </c>
      <c r="C442" s="2" t="s">
        <v>57</v>
      </c>
      <c r="D442" s="2" t="s">
        <v>15</v>
      </c>
      <c r="E442" s="2" t="s">
        <v>46</v>
      </c>
      <c r="F442" s="2">
        <v>2012</v>
      </c>
      <c r="G442" s="2">
        <v>73</v>
      </c>
      <c r="H442" s="3">
        <v>0.1</v>
      </c>
      <c r="I442" s="3">
        <v>0.04</v>
      </c>
      <c r="J442" s="3">
        <v>0.03</v>
      </c>
      <c r="K442" s="3">
        <v>0.02</v>
      </c>
      <c r="L442" s="3">
        <v>0.01</v>
      </c>
      <c r="M442" s="2" t="s">
        <v>24</v>
      </c>
      <c r="N442" s="3" t="str" cm="1">
        <f t="array" ref="N442">_xlfn.IFS(G442&gt;=90,"Excellent",G442&gt;=80,"Good",G442&gt;=70,"Average",G442&lt;70,"Poor")</f>
        <v>Average</v>
      </c>
    </row>
    <row r="443" spans="1:14" x14ac:dyDescent="0.35">
      <c r="A443" s="2">
        <v>442</v>
      </c>
      <c r="B443" s="2" t="s">
        <v>484</v>
      </c>
      <c r="C443" s="2" t="s">
        <v>59</v>
      </c>
      <c r="D443" s="2" t="s">
        <v>51</v>
      </c>
      <c r="E443" s="2" t="s">
        <v>43</v>
      </c>
      <c r="F443" s="2">
        <v>1998</v>
      </c>
      <c r="G443" s="2">
        <v>73</v>
      </c>
      <c r="H443" s="3">
        <v>2.04</v>
      </c>
      <c r="I443" s="3">
        <v>0.81</v>
      </c>
      <c r="J443" s="3">
        <v>0.52</v>
      </c>
      <c r="K443" s="3">
        <v>0.4</v>
      </c>
      <c r="L443" s="3">
        <v>0.31</v>
      </c>
      <c r="M443" s="2" t="s">
        <v>27</v>
      </c>
      <c r="N443" s="3" t="str" cm="1">
        <f t="array" ref="N443">_xlfn.IFS(G443&gt;=90,"Excellent",G443&gt;=80,"Good",G443&gt;=70,"Average",G443&lt;70,"Poor")</f>
        <v>Average</v>
      </c>
    </row>
    <row r="444" spans="1:14" x14ac:dyDescent="0.35">
      <c r="A444" s="2">
        <v>443</v>
      </c>
      <c r="B444" s="2" t="s">
        <v>485</v>
      </c>
      <c r="C444" s="2" t="s">
        <v>59</v>
      </c>
      <c r="D444" s="2" t="s">
        <v>62</v>
      </c>
      <c r="E444" s="2" t="s">
        <v>74</v>
      </c>
      <c r="F444" s="2">
        <v>1997</v>
      </c>
      <c r="G444" s="2">
        <v>66</v>
      </c>
      <c r="H444" s="3">
        <v>0.56000000000000005</v>
      </c>
      <c r="I444" s="3">
        <v>0.2</v>
      </c>
      <c r="J444" s="3">
        <v>0.19</v>
      </c>
      <c r="K444" s="3">
        <v>0.05</v>
      </c>
      <c r="L444" s="3">
        <v>0.12</v>
      </c>
      <c r="M444" s="2" t="s">
        <v>17</v>
      </c>
      <c r="N444" s="3" t="str" cm="1">
        <f t="array" ref="N444">_xlfn.IFS(G444&gt;=90,"Excellent",G444&gt;=80,"Good",G444&gt;=70,"Average",G444&lt;70,"Poor")</f>
        <v>Poor</v>
      </c>
    </row>
    <row r="445" spans="1:14" x14ac:dyDescent="0.35">
      <c r="A445" s="2">
        <v>444</v>
      </c>
      <c r="B445" s="2" t="s">
        <v>486</v>
      </c>
      <c r="C445" s="2" t="s">
        <v>19</v>
      </c>
      <c r="D445" s="2" t="s">
        <v>37</v>
      </c>
      <c r="E445" s="2" t="s">
        <v>20</v>
      </c>
      <c r="F445" s="2">
        <v>2019</v>
      </c>
      <c r="G445" s="2">
        <v>77</v>
      </c>
      <c r="H445" s="3">
        <v>1.04</v>
      </c>
      <c r="I445" s="3">
        <v>0.56999999999999995</v>
      </c>
      <c r="J445" s="3">
        <v>0.28999999999999998</v>
      </c>
      <c r="K445" s="3">
        <v>0.18</v>
      </c>
      <c r="L445" s="3">
        <v>0</v>
      </c>
      <c r="M445" s="2" t="s">
        <v>17</v>
      </c>
      <c r="N445" s="3" t="str" cm="1">
        <f t="array" ref="N445">_xlfn.IFS(G445&gt;=90,"Excellent",G445&gt;=80,"Good",G445&gt;=70,"Average",G445&lt;70,"Poor")</f>
        <v>Average</v>
      </c>
    </row>
    <row r="446" spans="1:14" x14ac:dyDescent="0.35">
      <c r="A446" s="2">
        <v>445</v>
      </c>
      <c r="B446" s="2" t="s">
        <v>487</v>
      </c>
      <c r="C446" s="2" t="s">
        <v>57</v>
      </c>
      <c r="D446" s="2" t="s">
        <v>45</v>
      </c>
      <c r="E446" s="2" t="s">
        <v>20</v>
      </c>
      <c r="F446" s="2">
        <v>2008</v>
      </c>
      <c r="G446" s="2">
        <v>69</v>
      </c>
      <c r="H446" s="3">
        <v>0.62</v>
      </c>
      <c r="I446" s="3">
        <v>0.26</v>
      </c>
      <c r="J446" s="3">
        <v>0.21</v>
      </c>
      <c r="K446" s="3">
        <v>0.09</v>
      </c>
      <c r="L446" s="3">
        <v>0.06</v>
      </c>
      <c r="M446" s="2" t="s">
        <v>17</v>
      </c>
      <c r="N446" s="3" t="str" cm="1">
        <f t="array" ref="N446">_xlfn.IFS(G446&gt;=90,"Excellent",G446&gt;=80,"Good",G446&gt;=70,"Average",G446&lt;70,"Poor")</f>
        <v>Poor</v>
      </c>
    </row>
    <row r="447" spans="1:14" x14ac:dyDescent="0.35">
      <c r="A447" s="2">
        <v>446</v>
      </c>
      <c r="B447" s="2" t="s">
        <v>488</v>
      </c>
      <c r="C447" s="2" t="s">
        <v>57</v>
      </c>
      <c r="D447" s="2" t="s">
        <v>48</v>
      </c>
      <c r="E447" s="2" t="s">
        <v>41</v>
      </c>
      <c r="F447" s="2">
        <v>2014</v>
      </c>
      <c r="G447" s="2">
        <v>64</v>
      </c>
      <c r="H447" s="3">
        <v>0.41</v>
      </c>
      <c r="I447" s="3">
        <v>0.19</v>
      </c>
      <c r="J447" s="3">
        <v>0.11</v>
      </c>
      <c r="K447" s="3">
        <v>0.03</v>
      </c>
      <c r="L447" s="3">
        <v>0.08</v>
      </c>
      <c r="M447" s="2" t="s">
        <v>24</v>
      </c>
      <c r="N447" s="3" t="str" cm="1">
        <f t="array" ref="N447">_xlfn.IFS(G447&gt;=90,"Excellent",G447&gt;=80,"Good",G447&gt;=70,"Average",G447&lt;70,"Poor")</f>
        <v>Poor</v>
      </c>
    </row>
    <row r="448" spans="1:14" x14ac:dyDescent="0.35">
      <c r="A448" s="2">
        <v>447</v>
      </c>
      <c r="B448" s="2" t="s">
        <v>489</v>
      </c>
      <c r="C448" s="2" t="s">
        <v>57</v>
      </c>
      <c r="D448" s="2" t="s">
        <v>2</v>
      </c>
      <c r="E448" s="2" t="s">
        <v>60</v>
      </c>
      <c r="F448" s="2">
        <v>2006</v>
      </c>
      <c r="G448" s="2">
        <v>74</v>
      </c>
      <c r="H448" s="3">
        <v>1.45</v>
      </c>
      <c r="I448" s="3">
        <v>0.77</v>
      </c>
      <c r="J448" s="3">
        <v>0.46</v>
      </c>
      <c r="K448" s="3">
        <v>0.22</v>
      </c>
      <c r="L448" s="3">
        <v>0</v>
      </c>
      <c r="M448" s="2" t="s">
        <v>17</v>
      </c>
      <c r="N448" s="3" t="str" cm="1">
        <f t="array" ref="N448">_xlfn.IFS(G448&gt;=90,"Excellent",G448&gt;=80,"Good",G448&gt;=70,"Average",G448&lt;70,"Poor")</f>
        <v>Average</v>
      </c>
    </row>
    <row r="449" spans="1:14" x14ac:dyDescent="0.35">
      <c r="A449" s="2">
        <v>448</v>
      </c>
      <c r="B449" s="2" t="s">
        <v>490</v>
      </c>
      <c r="C449" s="2" t="s">
        <v>23</v>
      </c>
      <c r="D449" s="2" t="s">
        <v>29</v>
      </c>
      <c r="E449" s="2" t="s">
        <v>49</v>
      </c>
      <c r="F449" s="2">
        <v>2021</v>
      </c>
      <c r="G449" s="2">
        <v>62</v>
      </c>
      <c r="H449" s="3">
        <v>2.0499999999999998</v>
      </c>
      <c r="I449" s="3">
        <v>1.02</v>
      </c>
      <c r="J449" s="3">
        <v>0.66</v>
      </c>
      <c r="K449" s="3">
        <v>0.3</v>
      </c>
      <c r="L449" s="3">
        <v>7.0000000000000007E-2</v>
      </c>
      <c r="M449" s="2" t="s">
        <v>27</v>
      </c>
      <c r="N449" s="3" t="str" cm="1">
        <f t="array" ref="N449">_xlfn.IFS(G449&gt;=90,"Excellent",G449&gt;=80,"Good",G449&gt;=70,"Average",G449&lt;70,"Poor")</f>
        <v>Poor</v>
      </c>
    </row>
    <row r="450" spans="1:14" x14ac:dyDescent="0.35">
      <c r="A450" s="2">
        <v>449</v>
      </c>
      <c r="B450" s="2" t="s">
        <v>491</v>
      </c>
      <c r="C450" s="2" t="s">
        <v>57</v>
      </c>
      <c r="D450" s="2" t="s">
        <v>37</v>
      </c>
      <c r="E450" s="2" t="s">
        <v>52</v>
      </c>
      <c r="F450" s="2">
        <v>2008</v>
      </c>
      <c r="G450" s="2">
        <v>66</v>
      </c>
      <c r="H450" s="3">
        <v>0.76</v>
      </c>
      <c r="I450" s="3">
        <v>0.36</v>
      </c>
      <c r="J450" s="3">
        <v>0.22</v>
      </c>
      <c r="K450" s="3">
        <v>0.06</v>
      </c>
      <c r="L450" s="3">
        <v>0.12</v>
      </c>
      <c r="M450" s="2" t="s">
        <v>17</v>
      </c>
      <c r="N450" s="3" t="str" cm="1">
        <f t="array" ref="N450">_xlfn.IFS(G450&gt;=90,"Excellent",G450&gt;=80,"Good",G450&gt;=70,"Average",G450&lt;70,"Poor")</f>
        <v>Poor</v>
      </c>
    </row>
    <row r="451" spans="1:14" x14ac:dyDescent="0.35">
      <c r="A451" s="2">
        <v>450</v>
      </c>
      <c r="B451" s="2" t="s">
        <v>492</v>
      </c>
      <c r="C451" s="2" t="s">
        <v>59</v>
      </c>
      <c r="D451" s="2" t="s">
        <v>33</v>
      </c>
      <c r="E451" s="2" t="s">
        <v>16</v>
      </c>
      <c r="F451" s="2">
        <v>1997</v>
      </c>
      <c r="G451" s="2">
        <v>93</v>
      </c>
      <c r="H451" s="3">
        <v>0.35</v>
      </c>
      <c r="I451" s="3">
        <v>0.14000000000000001</v>
      </c>
      <c r="J451" s="3">
        <v>0.09</v>
      </c>
      <c r="K451" s="3">
        <v>0.04</v>
      </c>
      <c r="L451" s="3">
        <v>0.08</v>
      </c>
      <c r="M451" s="2" t="s">
        <v>24</v>
      </c>
      <c r="N451" s="3" t="str" cm="1">
        <f t="array" ref="N451">_xlfn.IFS(G451&gt;=90,"Excellent",G451&gt;=80,"Good",G451&gt;=70,"Average",G451&lt;70,"Poor")</f>
        <v>Excellent</v>
      </c>
    </row>
    <row r="452" spans="1:14" x14ac:dyDescent="0.35">
      <c r="A452" s="2">
        <v>451</v>
      </c>
      <c r="B452" s="2" t="s">
        <v>493</v>
      </c>
      <c r="C452" s="2" t="s">
        <v>31</v>
      </c>
      <c r="D452" s="2" t="s">
        <v>48</v>
      </c>
      <c r="E452" s="2" t="s">
        <v>20</v>
      </c>
      <c r="F452" s="2">
        <v>2001</v>
      </c>
      <c r="G452" s="2">
        <v>72</v>
      </c>
      <c r="H452" s="3">
        <v>1.62</v>
      </c>
      <c r="I452" s="3">
        <v>0.78</v>
      </c>
      <c r="J452" s="3">
        <v>0.37</v>
      </c>
      <c r="K452" s="3">
        <v>0.13</v>
      </c>
      <c r="L452" s="3">
        <v>0.34</v>
      </c>
      <c r="M452" s="2" t="s">
        <v>17</v>
      </c>
      <c r="N452" s="3" t="str" cm="1">
        <f t="array" ref="N452">_xlfn.IFS(G452&gt;=90,"Excellent",G452&gt;=80,"Good",G452&gt;=70,"Average",G452&lt;70,"Poor")</f>
        <v>Average</v>
      </c>
    </row>
    <row r="453" spans="1:14" x14ac:dyDescent="0.35">
      <c r="A453" s="2">
        <v>452</v>
      </c>
      <c r="B453" s="2" t="s">
        <v>494</v>
      </c>
      <c r="C453" s="2" t="s">
        <v>31</v>
      </c>
      <c r="D453" s="2" t="s">
        <v>2</v>
      </c>
      <c r="E453" s="2" t="s">
        <v>16</v>
      </c>
      <c r="F453" s="2">
        <v>2003</v>
      </c>
      <c r="G453" s="2">
        <v>70</v>
      </c>
      <c r="H453" s="3">
        <v>0.4</v>
      </c>
      <c r="I453" s="3">
        <v>0.19</v>
      </c>
      <c r="J453" s="3">
        <v>0.13</v>
      </c>
      <c r="K453" s="3">
        <v>0.06</v>
      </c>
      <c r="L453" s="3">
        <v>0.02</v>
      </c>
      <c r="M453" s="2" t="s">
        <v>24</v>
      </c>
      <c r="N453" s="3" t="str" cm="1">
        <f t="array" ref="N453">_xlfn.IFS(G453&gt;=90,"Excellent",G453&gt;=80,"Good",G453&gt;=70,"Average",G453&lt;70,"Poor")</f>
        <v>Average</v>
      </c>
    </row>
    <row r="454" spans="1:14" x14ac:dyDescent="0.35">
      <c r="A454" s="2">
        <v>453</v>
      </c>
      <c r="B454" s="2" t="s">
        <v>495</v>
      </c>
      <c r="C454" s="2" t="s">
        <v>19</v>
      </c>
      <c r="D454" s="2" t="s">
        <v>65</v>
      </c>
      <c r="E454" s="2" t="s">
        <v>20</v>
      </c>
      <c r="F454" s="2">
        <v>2021</v>
      </c>
      <c r="G454" s="2">
        <v>83</v>
      </c>
      <c r="H454" s="3">
        <v>0.47</v>
      </c>
      <c r="I454" s="3">
        <v>0.25</v>
      </c>
      <c r="J454" s="3">
        <v>0.11</v>
      </c>
      <c r="K454" s="3">
        <v>0.06</v>
      </c>
      <c r="L454" s="3">
        <v>0.05</v>
      </c>
      <c r="M454" s="2" t="s">
        <v>24</v>
      </c>
      <c r="N454" s="3" t="str" cm="1">
        <f t="array" ref="N454">_xlfn.IFS(G454&gt;=90,"Excellent",G454&gt;=80,"Good",G454&gt;=70,"Average",G454&lt;70,"Poor")</f>
        <v>Good</v>
      </c>
    </row>
    <row r="455" spans="1:14" x14ac:dyDescent="0.35">
      <c r="A455" s="2">
        <v>454</v>
      </c>
      <c r="B455" s="2" t="s">
        <v>496</v>
      </c>
      <c r="C455" s="2" t="s">
        <v>57</v>
      </c>
      <c r="D455" s="2" t="s">
        <v>65</v>
      </c>
      <c r="E455" s="2" t="s">
        <v>41</v>
      </c>
      <c r="F455" s="2">
        <v>2004</v>
      </c>
      <c r="G455" s="2">
        <v>67</v>
      </c>
      <c r="H455" s="3">
        <v>0.28000000000000003</v>
      </c>
      <c r="I455" s="3">
        <v>0.12</v>
      </c>
      <c r="J455" s="3">
        <v>0.09</v>
      </c>
      <c r="K455" s="3">
        <v>0.03</v>
      </c>
      <c r="L455" s="3">
        <v>0.04</v>
      </c>
      <c r="M455" s="2" t="s">
        <v>24</v>
      </c>
      <c r="N455" s="3" t="str" cm="1">
        <f t="array" ref="N455">_xlfn.IFS(G455&gt;=90,"Excellent",G455&gt;=80,"Good",G455&gt;=70,"Average",G455&lt;70,"Poor")</f>
        <v>Poor</v>
      </c>
    </row>
    <row r="456" spans="1:14" x14ac:dyDescent="0.35">
      <c r="A456" s="2">
        <v>455</v>
      </c>
      <c r="B456" s="2" t="s">
        <v>497</v>
      </c>
      <c r="C456" s="2" t="s">
        <v>19</v>
      </c>
      <c r="D456" s="2" t="s">
        <v>2</v>
      </c>
      <c r="E456" s="2" t="s">
        <v>20</v>
      </c>
      <c r="F456" s="2">
        <v>2017</v>
      </c>
      <c r="G456" s="2">
        <v>84</v>
      </c>
      <c r="H456" s="3">
        <v>2.0499999999999998</v>
      </c>
      <c r="I456" s="3">
        <v>1.01</v>
      </c>
      <c r="J456" s="3">
        <v>0.44</v>
      </c>
      <c r="K456" s="3">
        <v>0.34</v>
      </c>
      <c r="L456" s="3">
        <v>0.26</v>
      </c>
      <c r="M456" s="2" t="s">
        <v>27</v>
      </c>
      <c r="N456" s="3" t="str" cm="1">
        <f t="array" ref="N456">_xlfn.IFS(G456&gt;=90,"Excellent",G456&gt;=80,"Good",G456&gt;=70,"Average",G456&lt;70,"Poor")</f>
        <v>Good</v>
      </c>
    </row>
    <row r="457" spans="1:14" x14ac:dyDescent="0.35">
      <c r="A457" s="2">
        <v>456</v>
      </c>
      <c r="B457" s="2" t="s">
        <v>498</v>
      </c>
      <c r="C457" s="2" t="s">
        <v>57</v>
      </c>
      <c r="D457" s="2" t="s">
        <v>37</v>
      </c>
      <c r="E457" s="2" t="s">
        <v>41</v>
      </c>
      <c r="F457" s="2">
        <v>2012</v>
      </c>
      <c r="G457" s="2">
        <v>83</v>
      </c>
      <c r="H457" s="3">
        <v>0.13</v>
      </c>
      <c r="I457" s="3">
        <v>7.0000000000000007E-2</v>
      </c>
      <c r="J457" s="3">
        <v>0.04</v>
      </c>
      <c r="K457" s="3">
        <v>0.02</v>
      </c>
      <c r="L457" s="3">
        <v>0</v>
      </c>
      <c r="M457" s="2" t="s">
        <v>24</v>
      </c>
      <c r="N457" s="3" t="str" cm="1">
        <f t="array" ref="N457">_xlfn.IFS(G457&gt;=90,"Excellent",G457&gt;=80,"Good",G457&gt;=70,"Average",G457&lt;70,"Poor")</f>
        <v>Good</v>
      </c>
    </row>
    <row r="458" spans="1:14" x14ac:dyDescent="0.35">
      <c r="A458" s="2">
        <v>457</v>
      </c>
      <c r="B458" s="2" t="s">
        <v>499</v>
      </c>
      <c r="C458" s="2" t="s">
        <v>59</v>
      </c>
      <c r="D458" s="2" t="s">
        <v>29</v>
      </c>
      <c r="E458" s="2" t="s">
        <v>54</v>
      </c>
      <c r="F458" s="2">
        <v>1997</v>
      </c>
      <c r="G458" s="2">
        <v>62</v>
      </c>
      <c r="H458" s="3">
        <v>0.97</v>
      </c>
      <c r="I458" s="3">
        <v>0.36</v>
      </c>
      <c r="J458" s="3">
        <v>0.3</v>
      </c>
      <c r="K458" s="3">
        <v>0.15</v>
      </c>
      <c r="L458" s="3">
        <v>0.16</v>
      </c>
      <c r="M458" s="2" t="s">
        <v>17</v>
      </c>
      <c r="N458" s="3" t="str" cm="1">
        <f t="array" ref="N458">_xlfn.IFS(G458&gt;=90,"Excellent",G458&gt;=80,"Good",G458&gt;=70,"Average",G458&lt;70,"Poor")</f>
        <v>Poor</v>
      </c>
    </row>
    <row r="459" spans="1:14" x14ac:dyDescent="0.35">
      <c r="A459" s="2">
        <v>458</v>
      </c>
      <c r="B459" s="2" t="s">
        <v>500</v>
      </c>
      <c r="C459" s="2" t="s">
        <v>23</v>
      </c>
      <c r="D459" s="2" t="s">
        <v>37</v>
      </c>
      <c r="E459" s="2" t="s">
        <v>41</v>
      </c>
      <c r="F459" s="2">
        <v>2024</v>
      </c>
      <c r="G459" s="2">
        <v>57</v>
      </c>
      <c r="H459" s="3">
        <v>0.99</v>
      </c>
      <c r="I459" s="3">
        <v>0.38</v>
      </c>
      <c r="J459" s="3">
        <v>0.33</v>
      </c>
      <c r="K459" s="3">
        <v>0.08</v>
      </c>
      <c r="L459" s="3">
        <v>0.2</v>
      </c>
      <c r="M459" s="2" t="s">
        <v>17</v>
      </c>
      <c r="N459" s="3" t="str" cm="1">
        <f t="array" ref="N459">_xlfn.IFS(G459&gt;=90,"Excellent",G459&gt;=80,"Good",G459&gt;=70,"Average",G459&lt;70,"Poor")</f>
        <v>Poor</v>
      </c>
    </row>
    <row r="460" spans="1:14" x14ac:dyDescent="0.35">
      <c r="A460" s="2">
        <v>459</v>
      </c>
      <c r="B460" s="2" t="s">
        <v>501</v>
      </c>
      <c r="C460" s="2" t="s">
        <v>57</v>
      </c>
      <c r="D460" s="2" t="s">
        <v>45</v>
      </c>
      <c r="E460" s="2" t="s">
        <v>46</v>
      </c>
      <c r="F460" s="2">
        <v>2004</v>
      </c>
      <c r="G460" s="2">
        <v>73</v>
      </c>
      <c r="H460" s="3">
        <v>0.6</v>
      </c>
      <c r="I460" s="3">
        <v>0.23</v>
      </c>
      <c r="J460" s="3">
        <v>0.14000000000000001</v>
      </c>
      <c r="K460" s="3">
        <v>0.09</v>
      </c>
      <c r="L460" s="3">
        <v>0.14000000000000001</v>
      </c>
      <c r="M460" s="2" t="s">
        <v>17</v>
      </c>
      <c r="N460" s="3" t="str" cm="1">
        <f t="array" ref="N460">_xlfn.IFS(G460&gt;=90,"Excellent",G460&gt;=80,"Good",G460&gt;=70,"Average",G460&lt;70,"Poor")</f>
        <v>Average</v>
      </c>
    </row>
    <row r="461" spans="1:14" x14ac:dyDescent="0.35">
      <c r="A461" s="2">
        <v>460</v>
      </c>
      <c r="B461" s="2" t="s">
        <v>502</v>
      </c>
      <c r="C461" s="2" t="s">
        <v>14</v>
      </c>
      <c r="D461" s="2" t="s">
        <v>62</v>
      </c>
      <c r="E461" s="2" t="s">
        <v>16</v>
      </c>
      <c r="F461" s="2">
        <v>2006</v>
      </c>
      <c r="G461" s="2">
        <v>55</v>
      </c>
      <c r="H461" s="3">
        <v>0.82</v>
      </c>
      <c r="I461" s="3">
        <v>0.32</v>
      </c>
      <c r="J461" s="3">
        <v>0.25</v>
      </c>
      <c r="K461" s="3">
        <v>0.1</v>
      </c>
      <c r="L461" s="3">
        <v>0.15</v>
      </c>
      <c r="M461" s="2" t="s">
        <v>17</v>
      </c>
      <c r="N461" s="3" t="str" cm="1">
        <f t="array" ref="N461">_xlfn.IFS(G461&gt;=90,"Excellent",G461&gt;=80,"Good",G461&gt;=70,"Average",G461&lt;70,"Poor")</f>
        <v>Poor</v>
      </c>
    </row>
    <row r="462" spans="1:14" x14ac:dyDescent="0.35">
      <c r="A462" s="2">
        <v>461</v>
      </c>
      <c r="B462" s="2" t="s">
        <v>503</v>
      </c>
      <c r="C462" s="2" t="s">
        <v>19</v>
      </c>
      <c r="D462" s="2" t="s">
        <v>2</v>
      </c>
      <c r="E462" s="2" t="s">
        <v>74</v>
      </c>
      <c r="F462" s="2">
        <v>2014</v>
      </c>
      <c r="G462" s="2">
        <v>90</v>
      </c>
      <c r="H462" s="3">
        <v>0.32</v>
      </c>
      <c r="I462" s="3">
        <v>0.16</v>
      </c>
      <c r="J462" s="3">
        <v>7.0000000000000007E-2</v>
      </c>
      <c r="K462" s="3">
        <v>0.02</v>
      </c>
      <c r="L462" s="3">
        <v>7.0000000000000007E-2</v>
      </c>
      <c r="M462" s="2" t="s">
        <v>24</v>
      </c>
      <c r="N462" s="3" t="str" cm="1">
        <f t="array" ref="N462">_xlfn.IFS(G462&gt;=90,"Excellent",G462&gt;=80,"Good",G462&gt;=70,"Average",G462&lt;70,"Poor")</f>
        <v>Excellent</v>
      </c>
    </row>
    <row r="463" spans="1:14" x14ac:dyDescent="0.35">
      <c r="A463" s="2">
        <v>462</v>
      </c>
      <c r="B463" s="2" t="s">
        <v>504</v>
      </c>
      <c r="C463" s="2" t="s">
        <v>59</v>
      </c>
      <c r="D463" s="2" t="s">
        <v>29</v>
      </c>
      <c r="E463" s="2" t="s">
        <v>20</v>
      </c>
      <c r="F463" s="2">
        <v>2000</v>
      </c>
      <c r="G463" s="2">
        <v>97</v>
      </c>
      <c r="H463" s="3">
        <v>0.55000000000000004</v>
      </c>
      <c r="I463" s="3">
        <v>0.23</v>
      </c>
      <c r="J463" s="3">
        <v>0.12</v>
      </c>
      <c r="K463" s="3">
        <v>0.04</v>
      </c>
      <c r="L463" s="3">
        <v>0.16</v>
      </c>
      <c r="M463" s="2" t="s">
        <v>17</v>
      </c>
      <c r="N463" s="3" t="str" cm="1">
        <f t="array" ref="N463">_xlfn.IFS(G463&gt;=90,"Excellent",G463&gt;=80,"Good",G463&gt;=70,"Average",G463&lt;70,"Poor")</f>
        <v>Excellent</v>
      </c>
    </row>
    <row r="464" spans="1:14" x14ac:dyDescent="0.35">
      <c r="A464" s="2">
        <v>463</v>
      </c>
      <c r="B464" s="2" t="s">
        <v>505</v>
      </c>
      <c r="C464" s="2" t="s">
        <v>31</v>
      </c>
      <c r="D464" s="2" t="s">
        <v>51</v>
      </c>
      <c r="E464" s="2" t="s">
        <v>74</v>
      </c>
      <c r="F464" s="2">
        <v>2001</v>
      </c>
      <c r="G464" s="2">
        <v>90</v>
      </c>
      <c r="H464" s="3">
        <v>0.27</v>
      </c>
      <c r="I464" s="3">
        <v>0.13</v>
      </c>
      <c r="J464" s="3">
        <v>0.09</v>
      </c>
      <c r="K464" s="3">
        <v>0.02</v>
      </c>
      <c r="L464" s="3">
        <v>0.03</v>
      </c>
      <c r="M464" s="2" t="s">
        <v>24</v>
      </c>
      <c r="N464" s="3" t="str" cm="1">
        <f t="array" ref="N464">_xlfn.IFS(G464&gt;=90,"Excellent",G464&gt;=80,"Good",G464&gt;=70,"Average",G464&lt;70,"Poor")</f>
        <v>Excellent</v>
      </c>
    </row>
    <row r="465" spans="1:14" x14ac:dyDescent="0.35">
      <c r="A465" s="2">
        <v>464</v>
      </c>
      <c r="B465" s="2" t="s">
        <v>506</v>
      </c>
      <c r="C465" s="2" t="s">
        <v>14</v>
      </c>
      <c r="D465" s="2" t="s">
        <v>29</v>
      </c>
      <c r="E465" s="2" t="s">
        <v>41</v>
      </c>
      <c r="F465" s="2">
        <v>2011</v>
      </c>
      <c r="G465" s="2">
        <v>90</v>
      </c>
      <c r="H465" s="3">
        <v>0.17</v>
      </c>
      <c r="I465" s="3">
        <v>0.06</v>
      </c>
      <c r="J465" s="3">
        <v>0.06</v>
      </c>
      <c r="K465" s="3">
        <v>0.02</v>
      </c>
      <c r="L465" s="3">
        <v>0.03</v>
      </c>
      <c r="M465" s="2" t="s">
        <v>24</v>
      </c>
      <c r="N465" s="3" t="str" cm="1">
        <f t="array" ref="N465">_xlfn.IFS(G465&gt;=90,"Excellent",G465&gt;=80,"Good",G465&gt;=70,"Average",G465&lt;70,"Poor")</f>
        <v>Excellent</v>
      </c>
    </row>
    <row r="466" spans="1:14" x14ac:dyDescent="0.35">
      <c r="A466" s="2">
        <v>465</v>
      </c>
      <c r="B466" s="2" t="s">
        <v>507</v>
      </c>
      <c r="C466" s="2" t="s">
        <v>19</v>
      </c>
      <c r="D466" s="2" t="s">
        <v>48</v>
      </c>
      <c r="E466" s="2" t="s">
        <v>52</v>
      </c>
      <c r="F466" s="2">
        <v>2021</v>
      </c>
      <c r="G466" s="2">
        <v>61</v>
      </c>
      <c r="H466" s="3">
        <v>0.85</v>
      </c>
      <c r="I466" s="3">
        <v>0.42</v>
      </c>
      <c r="J466" s="3">
        <v>0.25</v>
      </c>
      <c r="K466" s="3">
        <v>0.14000000000000001</v>
      </c>
      <c r="L466" s="3">
        <v>0.04</v>
      </c>
      <c r="M466" s="2" t="s">
        <v>17</v>
      </c>
      <c r="N466" s="3" t="str" cm="1">
        <f t="array" ref="N466">_xlfn.IFS(G466&gt;=90,"Excellent",G466&gt;=80,"Good",G466&gt;=70,"Average",G466&lt;70,"Poor")</f>
        <v>Poor</v>
      </c>
    </row>
    <row r="467" spans="1:14" x14ac:dyDescent="0.35">
      <c r="A467" s="2">
        <v>466</v>
      </c>
      <c r="B467" s="2" t="s">
        <v>508</v>
      </c>
      <c r="C467" s="2" t="s">
        <v>57</v>
      </c>
      <c r="D467" s="2" t="s">
        <v>45</v>
      </c>
      <c r="E467" s="2" t="s">
        <v>74</v>
      </c>
      <c r="F467" s="2">
        <v>2008</v>
      </c>
      <c r="G467" s="2">
        <v>88</v>
      </c>
      <c r="H467" s="3">
        <v>0.65</v>
      </c>
      <c r="I467" s="3">
        <v>0.35</v>
      </c>
      <c r="J467" s="3">
        <v>0.19</v>
      </c>
      <c r="K467" s="3">
        <v>0.08</v>
      </c>
      <c r="L467" s="3">
        <v>0.03</v>
      </c>
      <c r="M467" s="2" t="s">
        <v>17</v>
      </c>
      <c r="N467" s="3" t="str" cm="1">
        <f t="array" ref="N467">_xlfn.IFS(G467&gt;=90,"Excellent",G467&gt;=80,"Good",G467&gt;=70,"Average",G467&lt;70,"Poor")</f>
        <v>Good</v>
      </c>
    </row>
    <row r="468" spans="1:14" x14ac:dyDescent="0.35">
      <c r="A468" s="2">
        <v>467</v>
      </c>
      <c r="B468" s="2" t="s">
        <v>509</v>
      </c>
      <c r="C468" s="2" t="s">
        <v>57</v>
      </c>
      <c r="D468" s="2" t="s">
        <v>62</v>
      </c>
      <c r="E468" s="2" t="s">
        <v>16</v>
      </c>
      <c r="F468" s="2">
        <v>2014</v>
      </c>
      <c r="G468" s="2">
        <v>69</v>
      </c>
      <c r="H468" s="3">
        <v>0.62</v>
      </c>
      <c r="I468" s="3">
        <v>0.31</v>
      </c>
      <c r="J468" s="3">
        <v>0.19</v>
      </c>
      <c r="K468" s="3">
        <v>0.12</v>
      </c>
      <c r="L468" s="3">
        <v>0</v>
      </c>
      <c r="M468" s="2" t="s">
        <v>17</v>
      </c>
      <c r="N468" s="3" t="str" cm="1">
        <f t="array" ref="N468">_xlfn.IFS(G468&gt;=90,"Excellent",G468&gt;=80,"Good",G468&gt;=70,"Average",G468&lt;70,"Poor")</f>
        <v>Poor</v>
      </c>
    </row>
    <row r="469" spans="1:14" x14ac:dyDescent="0.35">
      <c r="A469" s="2">
        <v>468</v>
      </c>
      <c r="B469" s="2" t="s">
        <v>510</v>
      </c>
      <c r="C469" s="2" t="s">
        <v>19</v>
      </c>
      <c r="D469" s="2" t="s">
        <v>29</v>
      </c>
      <c r="E469" s="2" t="s">
        <v>43</v>
      </c>
      <c r="F469" s="2">
        <v>2013</v>
      </c>
      <c r="G469" s="2">
        <v>55</v>
      </c>
      <c r="H469" s="3">
        <v>1.63</v>
      </c>
      <c r="I469" s="3">
        <v>0.65</v>
      </c>
      <c r="J469" s="3">
        <v>0.34</v>
      </c>
      <c r="K469" s="3">
        <v>0.15</v>
      </c>
      <c r="L469" s="3">
        <v>0.49</v>
      </c>
      <c r="M469" s="2" t="s">
        <v>17</v>
      </c>
      <c r="N469" s="3" t="str" cm="1">
        <f t="array" ref="N469">_xlfn.IFS(G469&gt;=90,"Excellent",G469&gt;=80,"Good",G469&gt;=70,"Average",G469&lt;70,"Poor")</f>
        <v>Poor</v>
      </c>
    </row>
    <row r="470" spans="1:14" x14ac:dyDescent="0.35">
      <c r="A470" s="2">
        <v>469</v>
      </c>
      <c r="B470" s="2" t="s">
        <v>511</v>
      </c>
      <c r="C470" s="2" t="s">
        <v>23</v>
      </c>
      <c r="D470" s="2" t="s">
        <v>15</v>
      </c>
      <c r="E470" s="2" t="s">
        <v>49</v>
      </c>
      <c r="F470" s="2">
        <v>2022</v>
      </c>
      <c r="G470" s="2">
        <v>80</v>
      </c>
      <c r="H470" s="3">
        <v>1.82</v>
      </c>
      <c r="I470" s="3">
        <v>0.65</v>
      </c>
      <c r="J470" s="3">
        <v>0.41</v>
      </c>
      <c r="K470" s="3">
        <v>0.18</v>
      </c>
      <c r="L470" s="3">
        <v>0.57999999999999996</v>
      </c>
      <c r="M470" s="2" t="s">
        <v>17</v>
      </c>
      <c r="N470" s="3" t="str" cm="1">
        <f t="array" ref="N470">_xlfn.IFS(G470&gt;=90,"Excellent",G470&gt;=80,"Good",G470&gt;=70,"Average",G470&lt;70,"Poor")</f>
        <v>Good</v>
      </c>
    </row>
    <row r="471" spans="1:14" x14ac:dyDescent="0.35">
      <c r="A471" s="2">
        <v>470</v>
      </c>
      <c r="B471" s="2" t="s">
        <v>512</v>
      </c>
      <c r="C471" s="2" t="s">
        <v>14</v>
      </c>
      <c r="D471" s="2" t="s">
        <v>62</v>
      </c>
      <c r="E471" s="2" t="s">
        <v>20</v>
      </c>
      <c r="F471" s="2">
        <v>2013</v>
      </c>
      <c r="G471" s="2">
        <v>64</v>
      </c>
      <c r="H471" s="3">
        <v>3.64</v>
      </c>
      <c r="I471" s="3">
        <v>1.66</v>
      </c>
      <c r="J471" s="3">
        <v>0.91</v>
      </c>
      <c r="K471" s="3">
        <v>0.61</v>
      </c>
      <c r="L471" s="3">
        <v>0.46</v>
      </c>
      <c r="M471" s="2" t="s">
        <v>27</v>
      </c>
      <c r="N471" s="3" t="str" cm="1">
        <f t="array" ref="N471">_xlfn.IFS(G471&gt;=90,"Excellent",G471&gt;=80,"Good",G471&gt;=70,"Average",G471&lt;70,"Poor")</f>
        <v>Poor</v>
      </c>
    </row>
    <row r="472" spans="1:14" x14ac:dyDescent="0.35">
      <c r="A472" s="2">
        <v>471</v>
      </c>
      <c r="B472" s="2" t="s">
        <v>513</v>
      </c>
      <c r="C472" s="2" t="s">
        <v>19</v>
      </c>
      <c r="D472" s="2" t="s">
        <v>65</v>
      </c>
      <c r="E472" s="2" t="s">
        <v>46</v>
      </c>
      <c r="F472" s="2">
        <v>2013</v>
      </c>
      <c r="G472" s="2">
        <v>90</v>
      </c>
      <c r="H472" s="3">
        <v>0.87</v>
      </c>
      <c r="I472" s="3">
        <v>0.42</v>
      </c>
      <c r="J472" s="3">
        <v>0.28000000000000003</v>
      </c>
      <c r="K472" s="3">
        <v>0.16</v>
      </c>
      <c r="L472" s="3">
        <v>0.01</v>
      </c>
      <c r="M472" s="2" t="s">
        <v>17</v>
      </c>
      <c r="N472" s="3" t="str" cm="1">
        <f t="array" ref="N472">_xlfn.IFS(G472&gt;=90,"Excellent",G472&gt;=80,"Good",G472&gt;=70,"Average",G472&lt;70,"Poor")</f>
        <v>Excellent</v>
      </c>
    </row>
    <row r="473" spans="1:14" x14ac:dyDescent="0.35">
      <c r="A473" s="2">
        <v>472</v>
      </c>
      <c r="B473" s="2" t="s">
        <v>514</v>
      </c>
      <c r="C473" s="2" t="s">
        <v>14</v>
      </c>
      <c r="D473" s="2" t="s">
        <v>37</v>
      </c>
      <c r="E473" s="2" t="s">
        <v>46</v>
      </c>
      <c r="F473" s="2">
        <v>2007</v>
      </c>
      <c r="G473" s="2">
        <v>79</v>
      </c>
      <c r="H473" s="3">
        <v>2.04</v>
      </c>
      <c r="I473" s="3">
        <v>0.95</v>
      </c>
      <c r="J473" s="3">
        <v>0.53</v>
      </c>
      <c r="K473" s="3">
        <v>0.28000000000000003</v>
      </c>
      <c r="L473" s="3">
        <v>0.28000000000000003</v>
      </c>
      <c r="M473" s="2" t="s">
        <v>27</v>
      </c>
      <c r="N473" s="3" t="str" cm="1">
        <f t="array" ref="N473">_xlfn.IFS(G473&gt;=90,"Excellent",G473&gt;=80,"Good",G473&gt;=70,"Average",G473&lt;70,"Poor")</f>
        <v>Average</v>
      </c>
    </row>
    <row r="474" spans="1:14" x14ac:dyDescent="0.35">
      <c r="A474" s="2">
        <v>473</v>
      </c>
      <c r="B474" s="2" t="s">
        <v>515</v>
      </c>
      <c r="C474" s="2" t="s">
        <v>64</v>
      </c>
      <c r="D474" s="2" t="s">
        <v>29</v>
      </c>
      <c r="E474" s="2" t="s">
        <v>20</v>
      </c>
      <c r="F474" s="2">
        <v>2015</v>
      </c>
      <c r="G474" s="2">
        <v>60</v>
      </c>
      <c r="H474" s="3">
        <v>0.28999999999999998</v>
      </c>
      <c r="I474" s="3">
        <v>0.13</v>
      </c>
      <c r="J474" s="3">
        <v>0.1</v>
      </c>
      <c r="K474" s="3">
        <v>0.02</v>
      </c>
      <c r="L474" s="3">
        <v>0.04</v>
      </c>
      <c r="M474" s="2" t="s">
        <v>24</v>
      </c>
      <c r="N474" s="3" t="str" cm="1">
        <f t="array" ref="N474">_xlfn.IFS(G474&gt;=90,"Excellent",G474&gt;=80,"Good",G474&gt;=70,"Average",G474&lt;70,"Poor")</f>
        <v>Poor</v>
      </c>
    </row>
    <row r="475" spans="1:14" x14ac:dyDescent="0.35">
      <c r="A475" s="2">
        <v>474</v>
      </c>
      <c r="B475" s="2" t="s">
        <v>516</v>
      </c>
      <c r="C475" s="2" t="s">
        <v>14</v>
      </c>
      <c r="D475" s="2" t="s">
        <v>33</v>
      </c>
      <c r="E475" s="2" t="s">
        <v>43</v>
      </c>
      <c r="F475" s="2">
        <v>2008</v>
      </c>
      <c r="G475" s="2">
        <v>60</v>
      </c>
      <c r="H475" s="3">
        <v>0.54</v>
      </c>
      <c r="I475" s="3">
        <v>0.24</v>
      </c>
      <c r="J475" s="3">
        <v>0.15</v>
      </c>
      <c r="K475" s="3">
        <v>0.04</v>
      </c>
      <c r="L475" s="3">
        <v>0.11</v>
      </c>
      <c r="M475" s="2" t="s">
        <v>17</v>
      </c>
      <c r="N475" s="3" t="str" cm="1">
        <f t="array" ref="N475">_xlfn.IFS(G475&gt;=90,"Excellent",G475&gt;=80,"Good",G475&gt;=70,"Average",G475&lt;70,"Poor")</f>
        <v>Poor</v>
      </c>
    </row>
    <row r="476" spans="1:14" x14ac:dyDescent="0.35">
      <c r="A476" s="2">
        <v>475</v>
      </c>
      <c r="B476" s="2" t="s">
        <v>517</v>
      </c>
      <c r="C476" s="2" t="s">
        <v>19</v>
      </c>
      <c r="D476" s="2" t="s">
        <v>51</v>
      </c>
      <c r="E476" s="2" t="s">
        <v>43</v>
      </c>
      <c r="F476" s="2">
        <v>2021</v>
      </c>
      <c r="G476" s="2">
        <v>88</v>
      </c>
      <c r="H476" s="3">
        <v>1.1100000000000001</v>
      </c>
      <c r="I476" s="3">
        <v>0.55000000000000004</v>
      </c>
      <c r="J476" s="3">
        <v>0.3</v>
      </c>
      <c r="K476" s="3">
        <v>0.17</v>
      </c>
      <c r="L476" s="3">
        <v>0.09</v>
      </c>
      <c r="M476" s="2" t="s">
        <v>17</v>
      </c>
      <c r="N476" s="3" t="str" cm="1">
        <f t="array" ref="N476">_xlfn.IFS(G476&gt;=90,"Excellent",G476&gt;=80,"Good",G476&gt;=70,"Average",G476&lt;70,"Poor")</f>
        <v>Good</v>
      </c>
    </row>
    <row r="477" spans="1:14" x14ac:dyDescent="0.35">
      <c r="A477" s="2">
        <v>476</v>
      </c>
      <c r="B477" s="2" t="s">
        <v>518</v>
      </c>
      <c r="C477" s="2" t="s">
        <v>23</v>
      </c>
      <c r="D477" s="2" t="s">
        <v>15</v>
      </c>
      <c r="E477" s="2" t="s">
        <v>46</v>
      </c>
      <c r="F477" s="2">
        <v>2020</v>
      </c>
      <c r="G477" s="2">
        <v>60</v>
      </c>
      <c r="H477" s="3">
        <v>7.0000000000000007E-2</v>
      </c>
      <c r="I477" s="3">
        <v>0.03</v>
      </c>
      <c r="J477" s="3">
        <v>0.02</v>
      </c>
      <c r="K477" s="3">
        <v>0.01</v>
      </c>
      <c r="L477" s="3">
        <v>0.01</v>
      </c>
      <c r="M477" s="2" t="s">
        <v>24</v>
      </c>
      <c r="N477" s="3" t="str" cm="1">
        <f t="array" ref="N477">_xlfn.IFS(G477&gt;=90,"Excellent",G477&gt;=80,"Good",G477&gt;=70,"Average",G477&lt;70,"Poor")</f>
        <v>Poor</v>
      </c>
    </row>
    <row r="478" spans="1:14" x14ac:dyDescent="0.35">
      <c r="A478" s="2">
        <v>477</v>
      </c>
      <c r="B478" s="2" t="s">
        <v>519</v>
      </c>
      <c r="C478" s="2" t="s">
        <v>59</v>
      </c>
      <c r="D478" s="2" t="s">
        <v>51</v>
      </c>
      <c r="E478" s="2" t="s">
        <v>52</v>
      </c>
      <c r="F478" s="2">
        <v>1999</v>
      </c>
      <c r="G478" s="2">
        <v>67</v>
      </c>
      <c r="H478" s="3">
        <v>0.2</v>
      </c>
      <c r="I478" s="3">
        <v>0.1</v>
      </c>
      <c r="J478" s="3">
        <v>0.06</v>
      </c>
      <c r="K478" s="3">
        <v>0.02</v>
      </c>
      <c r="L478" s="3">
        <v>0.02</v>
      </c>
      <c r="M478" s="2" t="s">
        <v>24</v>
      </c>
      <c r="N478" s="3" t="str" cm="1">
        <f t="array" ref="N478">_xlfn.IFS(G478&gt;=90,"Excellent",G478&gt;=80,"Good",G478&gt;=70,"Average",G478&lt;70,"Poor")</f>
        <v>Poor</v>
      </c>
    </row>
    <row r="479" spans="1:14" x14ac:dyDescent="0.35">
      <c r="A479" s="2">
        <v>478</v>
      </c>
      <c r="B479" s="2" t="s">
        <v>520</v>
      </c>
      <c r="C479" s="2" t="s">
        <v>31</v>
      </c>
      <c r="D479" s="2" t="s">
        <v>33</v>
      </c>
      <c r="E479" s="2" t="s">
        <v>20</v>
      </c>
      <c r="F479" s="2">
        <v>2002</v>
      </c>
      <c r="G479" s="2">
        <v>87</v>
      </c>
      <c r="H479" s="3">
        <v>0.17</v>
      </c>
      <c r="I479" s="3">
        <v>0.08</v>
      </c>
      <c r="J479" s="3">
        <v>0.04</v>
      </c>
      <c r="K479" s="3">
        <v>0.03</v>
      </c>
      <c r="L479" s="3">
        <v>0.02</v>
      </c>
      <c r="M479" s="2" t="s">
        <v>24</v>
      </c>
      <c r="N479" s="3" t="str" cm="1">
        <f t="array" ref="N479">_xlfn.IFS(G479&gt;=90,"Excellent",G479&gt;=80,"Good",G479&gt;=70,"Average",G479&lt;70,"Poor")</f>
        <v>Good</v>
      </c>
    </row>
    <row r="480" spans="1:14" x14ac:dyDescent="0.35">
      <c r="A480" s="2">
        <v>479</v>
      </c>
      <c r="B480" s="2" t="s">
        <v>521</v>
      </c>
      <c r="C480" s="2" t="s">
        <v>64</v>
      </c>
      <c r="D480" s="2" t="s">
        <v>2</v>
      </c>
      <c r="E480" s="2" t="s">
        <v>52</v>
      </c>
      <c r="F480" s="2">
        <v>2015</v>
      </c>
      <c r="G480" s="2">
        <v>74</v>
      </c>
      <c r="H480" s="3">
        <v>0.38</v>
      </c>
      <c r="I480" s="3">
        <v>0.17</v>
      </c>
      <c r="J480" s="3">
        <v>0.08</v>
      </c>
      <c r="K480" s="3">
        <v>0.05</v>
      </c>
      <c r="L480" s="3">
        <v>0.08</v>
      </c>
      <c r="M480" s="2" t="s">
        <v>24</v>
      </c>
      <c r="N480" s="3" t="str" cm="1">
        <f t="array" ref="N480">_xlfn.IFS(G480&gt;=90,"Excellent",G480&gt;=80,"Good",G480&gt;=70,"Average",G480&lt;70,"Poor")</f>
        <v>Average</v>
      </c>
    </row>
    <row r="481" spans="1:14" x14ac:dyDescent="0.35">
      <c r="A481" s="2">
        <v>480</v>
      </c>
      <c r="B481" s="2" t="s">
        <v>522</v>
      </c>
      <c r="C481" s="2" t="s">
        <v>57</v>
      </c>
      <c r="D481" s="2" t="s">
        <v>33</v>
      </c>
      <c r="E481" s="2" t="s">
        <v>41</v>
      </c>
      <c r="F481" s="2">
        <v>2004</v>
      </c>
      <c r="G481" s="2">
        <v>82</v>
      </c>
      <c r="H481" s="3">
        <v>0.27</v>
      </c>
      <c r="I481" s="3">
        <v>0.14000000000000001</v>
      </c>
      <c r="J481" s="3">
        <v>0.08</v>
      </c>
      <c r="K481" s="3">
        <v>0.04</v>
      </c>
      <c r="L481" s="3">
        <v>0.01</v>
      </c>
      <c r="M481" s="2" t="s">
        <v>24</v>
      </c>
      <c r="N481" s="3" t="str" cm="1">
        <f t="array" ref="N481">_xlfn.IFS(G481&gt;=90,"Excellent",G481&gt;=80,"Good",G481&gt;=70,"Average",G481&lt;70,"Poor")</f>
        <v>Good</v>
      </c>
    </row>
    <row r="482" spans="1:14" x14ac:dyDescent="0.35">
      <c r="A482" s="2">
        <v>481</v>
      </c>
      <c r="B482" s="2" t="s">
        <v>523</v>
      </c>
      <c r="C482" s="2" t="s">
        <v>19</v>
      </c>
      <c r="D482" s="2" t="s">
        <v>51</v>
      </c>
      <c r="E482" s="2" t="s">
        <v>43</v>
      </c>
      <c r="F482" s="2">
        <v>2018</v>
      </c>
      <c r="G482" s="2">
        <v>60</v>
      </c>
      <c r="H482" s="3">
        <v>0.76</v>
      </c>
      <c r="I482" s="3">
        <v>0.39</v>
      </c>
      <c r="J482" s="3">
        <v>0.26</v>
      </c>
      <c r="K482" s="3">
        <v>0.09</v>
      </c>
      <c r="L482" s="3">
        <v>0.02</v>
      </c>
      <c r="M482" s="2" t="s">
        <v>17</v>
      </c>
      <c r="N482" s="3" t="str" cm="1">
        <f t="array" ref="N482">_xlfn.IFS(G482&gt;=90,"Excellent",G482&gt;=80,"Good",G482&gt;=70,"Average",G482&lt;70,"Poor")</f>
        <v>Poor</v>
      </c>
    </row>
    <row r="483" spans="1:14" x14ac:dyDescent="0.35">
      <c r="A483" s="2">
        <v>482</v>
      </c>
      <c r="B483" s="2" t="s">
        <v>524</v>
      </c>
      <c r="C483" s="2" t="s">
        <v>19</v>
      </c>
      <c r="D483" s="2" t="s">
        <v>62</v>
      </c>
      <c r="E483" s="2" t="s">
        <v>16</v>
      </c>
      <c r="F483" s="2">
        <v>2017</v>
      </c>
      <c r="G483" s="2">
        <v>64</v>
      </c>
      <c r="H483" s="3">
        <v>3.47</v>
      </c>
      <c r="I483" s="3">
        <v>1.85</v>
      </c>
      <c r="J483" s="3">
        <v>0.9</v>
      </c>
      <c r="K483" s="3">
        <v>0.54</v>
      </c>
      <c r="L483" s="3">
        <v>0.18</v>
      </c>
      <c r="M483" s="2" t="s">
        <v>27</v>
      </c>
      <c r="N483" s="3" t="str" cm="1">
        <f t="array" ref="N483">_xlfn.IFS(G483&gt;=90,"Excellent",G483&gt;=80,"Good",G483&gt;=70,"Average",G483&lt;70,"Poor")</f>
        <v>Poor</v>
      </c>
    </row>
    <row r="484" spans="1:14" x14ac:dyDescent="0.35">
      <c r="A484" s="2">
        <v>483</v>
      </c>
      <c r="B484" s="2" t="s">
        <v>525</v>
      </c>
      <c r="C484" s="2" t="s">
        <v>57</v>
      </c>
      <c r="D484" s="2" t="s">
        <v>29</v>
      </c>
      <c r="E484" s="2" t="s">
        <v>16</v>
      </c>
      <c r="F484" s="2">
        <v>2009</v>
      </c>
      <c r="G484" s="2">
        <v>59</v>
      </c>
      <c r="H484" s="3">
        <v>0.45</v>
      </c>
      <c r="I484" s="3">
        <v>0.2</v>
      </c>
      <c r="J484" s="3">
        <v>0.1</v>
      </c>
      <c r="K484" s="3">
        <v>7.0000000000000007E-2</v>
      </c>
      <c r="L484" s="3">
        <v>0.08</v>
      </c>
      <c r="M484" s="2" t="s">
        <v>24</v>
      </c>
      <c r="N484" s="3" t="str" cm="1">
        <f t="array" ref="N484">_xlfn.IFS(G484&gt;=90,"Excellent",G484&gt;=80,"Good",G484&gt;=70,"Average",G484&lt;70,"Poor")</f>
        <v>Poor</v>
      </c>
    </row>
    <row r="485" spans="1:14" x14ac:dyDescent="0.35">
      <c r="A485" s="2">
        <v>484</v>
      </c>
      <c r="B485" s="2" t="s">
        <v>526</v>
      </c>
      <c r="C485" s="2" t="s">
        <v>23</v>
      </c>
      <c r="D485" s="2" t="s">
        <v>37</v>
      </c>
      <c r="E485" s="2" t="s">
        <v>60</v>
      </c>
      <c r="F485" s="2">
        <v>2024</v>
      </c>
      <c r="G485" s="2">
        <v>61</v>
      </c>
      <c r="H485" s="3">
        <v>0.34</v>
      </c>
      <c r="I485" s="3">
        <v>0.17</v>
      </c>
      <c r="J485" s="3">
        <v>0.1</v>
      </c>
      <c r="K485" s="3">
        <v>0.04</v>
      </c>
      <c r="L485" s="3">
        <v>0.03</v>
      </c>
      <c r="M485" s="2" t="s">
        <v>24</v>
      </c>
      <c r="N485" s="3" t="str" cm="1">
        <f t="array" ref="N485">_xlfn.IFS(G485&gt;=90,"Excellent",G485&gt;=80,"Good",G485&gt;=70,"Average",G485&lt;70,"Poor")</f>
        <v>Poor</v>
      </c>
    </row>
    <row r="486" spans="1:14" x14ac:dyDescent="0.35">
      <c r="A486" s="2">
        <v>485</v>
      </c>
      <c r="B486" s="2" t="s">
        <v>527</v>
      </c>
      <c r="C486" s="2" t="s">
        <v>19</v>
      </c>
      <c r="D486" s="2" t="s">
        <v>2</v>
      </c>
      <c r="E486" s="2" t="s">
        <v>52</v>
      </c>
      <c r="F486" s="2">
        <v>2016</v>
      </c>
      <c r="G486" s="2">
        <v>85</v>
      </c>
      <c r="H486" s="3">
        <v>0.62</v>
      </c>
      <c r="I486" s="3">
        <v>0.32</v>
      </c>
      <c r="J486" s="3">
        <v>0.18</v>
      </c>
      <c r="K486" s="3">
        <v>0.1</v>
      </c>
      <c r="L486" s="3">
        <v>0.02</v>
      </c>
      <c r="M486" s="2" t="s">
        <v>17</v>
      </c>
      <c r="N486" s="3" t="str" cm="1">
        <f t="array" ref="N486">_xlfn.IFS(G486&gt;=90,"Excellent",G486&gt;=80,"Good",G486&gt;=70,"Average",G486&lt;70,"Poor")</f>
        <v>Good</v>
      </c>
    </row>
    <row r="487" spans="1:14" x14ac:dyDescent="0.35">
      <c r="A487" s="2">
        <v>486</v>
      </c>
      <c r="B487" s="2" t="s">
        <v>528</v>
      </c>
      <c r="C487" s="2" t="s">
        <v>19</v>
      </c>
      <c r="D487" s="2" t="s">
        <v>65</v>
      </c>
      <c r="E487" s="2" t="s">
        <v>52</v>
      </c>
      <c r="F487" s="2">
        <v>2018</v>
      </c>
      <c r="G487" s="2">
        <v>91</v>
      </c>
      <c r="H487" s="3">
        <v>1.46</v>
      </c>
      <c r="I487" s="3">
        <v>0.69</v>
      </c>
      <c r="J487" s="3">
        <v>0.36</v>
      </c>
      <c r="K487" s="3">
        <v>0.09</v>
      </c>
      <c r="L487" s="3">
        <v>0.32</v>
      </c>
      <c r="M487" s="2" t="s">
        <v>17</v>
      </c>
      <c r="N487" s="3" t="str" cm="1">
        <f t="array" ref="N487">_xlfn.IFS(G487&gt;=90,"Excellent",G487&gt;=80,"Good",G487&gt;=70,"Average",G487&lt;70,"Poor")</f>
        <v>Excellent</v>
      </c>
    </row>
    <row r="488" spans="1:14" x14ac:dyDescent="0.35">
      <c r="A488" s="2">
        <v>487</v>
      </c>
      <c r="B488" s="2" t="s">
        <v>529</v>
      </c>
      <c r="C488" s="2" t="s">
        <v>19</v>
      </c>
      <c r="D488" s="2" t="s">
        <v>51</v>
      </c>
      <c r="E488" s="2" t="s">
        <v>41</v>
      </c>
      <c r="F488" s="2">
        <v>2015</v>
      </c>
      <c r="G488" s="2">
        <v>61</v>
      </c>
      <c r="H488" s="3">
        <v>1.65</v>
      </c>
      <c r="I488" s="3">
        <v>0.85</v>
      </c>
      <c r="J488" s="3">
        <v>0.41</v>
      </c>
      <c r="K488" s="3">
        <v>0.24</v>
      </c>
      <c r="L488" s="3">
        <v>0.15</v>
      </c>
      <c r="M488" s="2" t="s">
        <v>17</v>
      </c>
      <c r="N488" s="3" t="str" cm="1">
        <f t="array" ref="N488">_xlfn.IFS(G488&gt;=90,"Excellent",G488&gt;=80,"Good",G488&gt;=70,"Average",G488&lt;70,"Poor")</f>
        <v>Poor</v>
      </c>
    </row>
    <row r="489" spans="1:14" x14ac:dyDescent="0.35">
      <c r="A489" s="2">
        <v>488</v>
      </c>
      <c r="B489" s="2" t="s">
        <v>530</v>
      </c>
      <c r="C489" s="2" t="s">
        <v>59</v>
      </c>
      <c r="D489" s="2" t="s">
        <v>48</v>
      </c>
      <c r="E489" s="2" t="s">
        <v>54</v>
      </c>
      <c r="F489" s="2">
        <v>1995</v>
      </c>
      <c r="G489" s="2">
        <v>64</v>
      </c>
      <c r="H489" s="3">
        <v>0.64</v>
      </c>
      <c r="I489" s="3">
        <v>0.26</v>
      </c>
      <c r="J489" s="3">
        <v>0.19</v>
      </c>
      <c r="K489" s="3">
        <v>7.0000000000000007E-2</v>
      </c>
      <c r="L489" s="3">
        <v>0.12</v>
      </c>
      <c r="M489" s="2" t="s">
        <v>17</v>
      </c>
      <c r="N489" s="3" t="str" cm="1">
        <f t="array" ref="N489">_xlfn.IFS(G489&gt;=90,"Excellent",G489&gt;=80,"Good",G489&gt;=70,"Average",G489&lt;70,"Poor")</f>
        <v>Poor</v>
      </c>
    </row>
    <row r="490" spans="1:14" x14ac:dyDescent="0.35">
      <c r="A490" s="2">
        <v>489</v>
      </c>
      <c r="B490" s="2" t="s">
        <v>531</v>
      </c>
      <c r="C490" s="2" t="s">
        <v>31</v>
      </c>
      <c r="D490" s="2" t="s">
        <v>29</v>
      </c>
      <c r="E490" s="2" t="s">
        <v>46</v>
      </c>
      <c r="F490" s="2">
        <v>2005</v>
      </c>
      <c r="G490" s="2">
        <v>82</v>
      </c>
      <c r="H490" s="3">
        <v>0.94</v>
      </c>
      <c r="I490" s="3">
        <v>0.49</v>
      </c>
      <c r="J490" s="3">
        <v>0.31</v>
      </c>
      <c r="K490" s="3">
        <v>0.06</v>
      </c>
      <c r="L490" s="3">
        <v>0.08</v>
      </c>
      <c r="M490" s="2" t="s">
        <v>17</v>
      </c>
      <c r="N490" s="3" t="str" cm="1">
        <f t="array" ref="N490">_xlfn.IFS(G490&gt;=90,"Excellent",G490&gt;=80,"Good",G490&gt;=70,"Average",G490&lt;70,"Poor")</f>
        <v>Good</v>
      </c>
    </row>
    <row r="491" spans="1:14" x14ac:dyDescent="0.35">
      <c r="A491" s="2">
        <v>490</v>
      </c>
      <c r="B491" s="2" t="s">
        <v>532</v>
      </c>
      <c r="C491" s="2" t="s">
        <v>23</v>
      </c>
      <c r="D491" s="2" t="s">
        <v>15</v>
      </c>
      <c r="E491" s="2" t="s">
        <v>60</v>
      </c>
      <c r="F491" s="2">
        <v>2020</v>
      </c>
      <c r="G491" s="2">
        <v>73</v>
      </c>
      <c r="H491" s="3">
        <v>1.54</v>
      </c>
      <c r="I491" s="3">
        <v>0.76</v>
      </c>
      <c r="J491" s="3">
        <v>0.4</v>
      </c>
      <c r="K491" s="3">
        <v>0.15</v>
      </c>
      <c r="L491" s="3">
        <v>0.23</v>
      </c>
      <c r="M491" s="2" t="s">
        <v>17</v>
      </c>
      <c r="N491" s="3" t="str" cm="1">
        <f t="array" ref="N491">_xlfn.IFS(G491&gt;=90,"Excellent",G491&gt;=80,"Good",G491&gt;=70,"Average",G491&lt;70,"Poor")</f>
        <v>Average</v>
      </c>
    </row>
    <row r="492" spans="1:14" x14ac:dyDescent="0.35">
      <c r="A492" s="2">
        <v>491</v>
      </c>
      <c r="B492" s="2" t="s">
        <v>533</v>
      </c>
      <c r="C492" s="2" t="s">
        <v>19</v>
      </c>
      <c r="D492" s="2" t="s">
        <v>45</v>
      </c>
      <c r="E492" s="2" t="s">
        <v>41</v>
      </c>
      <c r="F492" s="2">
        <v>2019</v>
      </c>
      <c r="G492" s="2">
        <v>97</v>
      </c>
      <c r="H492" s="3">
        <v>0.45</v>
      </c>
      <c r="I492" s="3">
        <v>0.21</v>
      </c>
      <c r="J492" s="3">
        <v>0.15</v>
      </c>
      <c r="K492" s="3">
        <v>0.05</v>
      </c>
      <c r="L492" s="3">
        <v>0.04</v>
      </c>
      <c r="M492" s="2" t="s">
        <v>24</v>
      </c>
      <c r="N492" s="3" t="str" cm="1">
        <f t="array" ref="N492">_xlfn.IFS(G492&gt;=90,"Excellent",G492&gt;=80,"Good",G492&gt;=70,"Average",G492&lt;70,"Poor")</f>
        <v>Excellent</v>
      </c>
    </row>
    <row r="493" spans="1:14" x14ac:dyDescent="0.35">
      <c r="A493" s="2">
        <v>492</v>
      </c>
      <c r="B493" s="2" t="s">
        <v>534</v>
      </c>
      <c r="C493" s="2" t="s">
        <v>19</v>
      </c>
      <c r="D493" s="2" t="s">
        <v>51</v>
      </c>
      <c r="E493" s="2" t="s">
        <v>54</v>
      </c>
      <c r="F493" s="2">
        <v>2015</v>
      </c>
      <c r="G493" s="2">
        <v>59</v>
      </c>
      <c r="H493" s="3">
        <v>1.0900000000000001</v>
      </c>
      <c r="I493" s="3">
        <v>0.56000000000000005</v>
      </c>
      <c r="J493" s="3">
        <v>0.32</v>
      </c>
      <c r="K493" s="3">
        <v>0.21</v>
      </c>
      <c r="L493" s="3">
        <v>0</v>
      </c>
      <c r="M493" s="2" t="s">
        <v>17</v>
      </c>
      <c r="N493" s="3" t="str" cm="1">
        <f t="array" ref="N493">_xlfn.IFS(G493&gt;=90,"Excellent",G493&gt;=80,"Good",G493&gt;=70,"Average",G493&lt;70,"Poor")</f>
        <v>Poor</v>
      </c>
    </row>
    <row r="494" spans="1:14" x14ac:dyDescent="0.35">
      <c r="A494" s="2">
        <v>493</v>
      </c>
      <c r="B494" s="2" t="s">
        <v>535</v>
      </c>
      <c r="C494" s="2" t="s">
        <v>31</v>
      </c>
      <c r="D494" s="2" t="s">
        <v>37</v>
      </c>
      <c r="E494" s="2" t="s">
        <v>41</v>
      </c>
      <c r="F494" s="2">
        <v>2000</v>
      </c>
      <c r="G494" s="2">
        <v>82</v>
      </c>
      <c r="H494" s="3">
        <v>0.94</v>
      </c>
      <c r="I494" s="3">
        <v>0.41</v>
      </c>
      <c r="J494" s="3">
        <v>0.3</v>
      </c>
      <c r="K494" s="3">
        <v>0.1</v>
      </c>
      <c r="L494" s="3">
        <v>0.13</v>
      </c>
      <c r="M494" s="2" t="s">
        <v>17</v>
      </c>
      <c r="N494" s="3" t="str" cm="1">
        <f t="array" ref="N494">_xlfn.IFS(G494&gt;=90,"Excellent",G494&gt;=80,"Good",G494&gt;=70,"Average",G494&lt;70,"Poor")</f>
        <v>Good</v>
      </c>
    </row>
    <row r="495" spans="1:14" x14ac:dyDescent="0.35">
      <c r="A495" s="2">
        <v>494</v>
      </c>
      <c r="B495" s="2" t="s">
        <v>536</v>
      </c>
      <c r="C495" s="2" t="s">
        <v>31</v>
      </c>
      <c r="D495" s="2" t="s">
        <v>45</v>
      </c>
      <c r="E495" s="2" t="s">
        <v>74</v>
      </c>
      <c r="F495" s="2">
        <v>2001</v>
      </c>
      <c r="G495" s="2">
        <v>86</v>
      </c>
      <c r="H495" s="3">
        <v>1.34</v>
      </c>
      <c r="I495" s="3">
        <v>0.6</v>
      </c>
      <c r="J495" s="3">
        <v>0.35</v>
      </c>
      <c r="K495" s="3">
        <v>0.18</v>
      </c>
      <c r="L495" s="3">
        <v>0.21</v>
      </c>
      <c r="M495" s="2" t="s">
        <v>17</v>
      </c>
      <c r="N495" s="3" t="str" cm="1">
        <f t="array" ref="N495">_xlfn.IFS(G495&gt;=90,"Excellent",G495&gt;=80,"Good",G495&gt;=70,"Average",G495&lt;70,"Poor")</f>
        <v>Good</v>
      </c>
    </row>
    <row r="496" spans="1:14" x14ac:dyDescent="0.35">
      <c r="A496" s="2">
        <v>495</v>
      </c>
      <c r="B496" s="2" t="s">
        <v>537</v>
      </c>
      <c r="C496" s="2" t="s">
        <v>14</v>
      </c>
      <c r="D496" s="2" t="s">
        <v>15</v>
      </c>
      <c r="E496" s="2" t="s">
        <v>74</v>
      </c>
      <c r="F496" s="2">
        <v>2006</v>
      </c>
      <c r="G496" s="2">
        <v>62</v>
      </c>
      <c r="H496" s="3">
        <v>15.04</v>
      </c>
      <c r="I496" s="3">
        <v>5.5</v>
      </c>
      <c r="J496" s="3">
        <v>4.66</v>
      </c>
      <c r="K496" s="3">
        <v>1.94</v>
      </c>
      <c r="L496" s="3">
        <v>2.94</v>
      </c>
      <c r="M496" s="2" t="s">
        <v>21</v>
      </c>
      <c r="N496" s="3" t="str" cm="1">
        <f t="array" ref="N496">_xlfn.IFS(G496&gt;=90,"Excellent",G496&gt;=80,"Good",G496&gt;=70,"Average",G496&lt;70,"Poor")</f>
        <v>Poor</v>
      </c>
    </row>
    <row r="497" spans="1:14" x14ac:dyDescent="0.35">
      <c r="A497" s="2">
        <v>496</v>
      </c>
      <c r="B497" s="2" t="s">
        <v>538</v>
      </c>
      <c r="C497" s="2" t="s">
        <v>64</v>
      </c>
      <c r="D497" s="2" t="s">
        <v>62</v>
      </c>
      <c r="E497" s="2" t="s">
        <v>60</v>
      </c>
      <c r="F497" s="2">
        <v>2015</v>
      </c>
      <c r="G497" s="2">
        <v>94</v>
      </c>
      <c r="H497" s="3">
        <v>0.09</v>
      </c>
      <c r="I497" s="3">
        <v>0.04</v>
      </c>
      <c r="J497" s="3">
        <v>0.03</v>
      </c>
      <c r="K497" s="3">
        <v>0.01</v>
      </c>
      <c r="L497" s="3">
        <v>0.01</v>
      </c>
      <c r="M497" s="2" t="s">
        <v>24</v>
      </c>
      <c r="N497" s="3" t="str" cm="1">
        <f t="array" ref="N497">_xlfn.IFS(G497&gt;=90,"Excellent",G497&gt;=80,"Good",G497&gt;=70,"Average",G497&lt;70,"Poor")</f>
        <v>Excellent</v>
      </c>
    </row>
    <row r="498" spans="1:14" x14ac:dyDescent="0.35">
      <c r="A498" s="2">
        <v>497</v>
      </c>
      <c r="B498" s="2" t="s">
        <v>539</v>
      </c>
      <c r="C498" s="2" t="s">
        <v>57</v>
      </c>
      <c r="D498" s="2" t="s">
        <v>2</v>
      </c>
      <c r="E498" s="2" t="s">
        <v>46</v>
      </c>
      <c r="F498" s="2">
        <v>2012</v>
      </c>
      <c r="G498" s="2">
        <v>76</v>
      </c>
      <c r="H498" s="3">
        <v>0.51</v>
      </c>
      <c r="I498" s="3">
        <v>0.22</v>
      </c>
      <c r="J498" s="3">
        <v>0.17</v>
      </c>
      <c r="K498" s="3">
        <v>7.0000000000000007E-2</v>
      </c>
      <c r="L498" s="3">
        <v>0.05</v>
      </c>
      <c r="M498" s="2" t="s">
        <v>17</v>
      </c>
      <c r="N498" s="3" t="str" cm="1">
        <f t="array" ref="N498">_xlfn.IFS(G498&gt;=90,"Excellent",G498&gt;=80,"Good",G498&gt;=70,"Average",G498&lt;70,"Poor")</f>
        <v>Average</v>
      </c>
    </row>
    <row r="499" spans="1:14" x14ac:dyDescent="0.35">
      <c r="A499" s="2">
        <v>498</v>
      </c>
      <c r="B499" s="2" t="s">
        <v>540</v>
      </c>
      <c r="C499" s="2" t="s">
        <v>14</v>
      </c>
      <c r="D499" s="2" t="s">
        <v>29</v>
      </c>
      <c r="E499" s="2" t="s">
        <v>46</v>
      </c>
      <c r="F499" s="2">
        <v>2012</v>
      </c>
      <c r="G499" s="2">
        <v>57</v>
      </c>
      <c r="H499" s="3">
        <v>1.25</v>
      </c>
      <c r="I499" s="3">
        <v>0.51</v>
      </c>
      <c r="J499" s="3">
        <v>0.4</v>
      </c>
      <c r="K499" s="3">
        <v>0.11</v>
      </c>
      <c r="L499" s="3">
        <v>0.23</v>
      </c>
      <c r="M499" s="2" t="s">
        <v>17</v>
      </c>
      <c r="N499" s="3" t="str" cm="1">
        <f t="array" ref="N499">_xlfn.IFS(G499&gt;=90,"Excellent",G499&gt;=80,"Good",G499&gt;=70,"Average",G499&lt;70,"Poor")</f>
        <v>Poor</v>
      </c>
    </row>
    <row r="500" spans="1:14" x14ac:dyDescent="0.35">
      <c r="A500" s="2">
        <v>499</v>
      </c>
      <c r="B500" s="2" t="s">
        <v>541</v>
      </c>
      <c r="C500" s="2" t="s">
        <v>57</v>
      </c>
      <c r="D500" s="2" t="s">
        <v>2</v>
      </c>
      <c r="E500" s="2" t="s">
        <v>54</v>
      </c>
      <c r="F500" s="2">
        <v>2011</v>
      </c>
      <c r="G500" s="2">
        <v>97</v>
      </c>
      <c r="H500" s="3">
        <v>0.63</v>
      </c>
      <c r="I500" s="3">
        <v>0.23</v>
      </c>
      <c r="J500" s="3">
        <v>0.17</v>
      </c>
      <c r="K500" s="3">
        <v>0.11</v>
      </c>
      <c r="L500" s="3">
        <v>0.12</v>
      </c>
      <c r="M500" s="2" t="s">
        <v>17</v>
      </c>
      <c r="N500" s="3" t="str" cm="1">
        <f t="array" ref="N500">_xlfn.IFS(G500&gt;=90,"Excellent",G500&gt;=80,"Good",G500&gt;=70,"Average",G500&lt;70,"Poor")</f>
        <v>Excellent</v>
      </c>
    </row>
    <row r="501" spans="1:14" x14ac:dyDescent="0.35">
      <c r="A501" s="2">
        <v>500</v>
      </c>
      <c r="B501" s="2" t="s">
        <v>542</v>
      </c>
      <c r="C501" s="2" t="s">
        <v>14</v>
      </c>
      <c r="D501" s="2" t="s">
        <v>37</v>
      </c>
      <c r="E501" s="2" t="s">
        <v>74</v>
      </c>
      <c r="F501" s="2">
        <v>2010</v>
      </c>
      <c r="G501" s="2">
        <v>71</v>
      </c>
      <c r="H501" s="3">
        <v>0.17</v>
      </c>
      <c r="I501" s="3">
        <v>0.06</v>
      </c>
      <c r="J501" s="3">
        <v>0.05</v>
      </c>
      <c r="K501" s="3">
        <v>0.03</v>
      </c>
      <c r="L501" s="3">
        <v>0.03</v>
      </c>
      <c r="M501" s="2" t="s">
        <v>24</v>
      </c>
      <c r="N501" s="3" t="str" cm="1">
        <f t="array" ref="N501">_xlfn.IFS(G501&gt;=90,"Excellent",G501&gt;=80,"Good",G501&gt;=70,"Average",G501&lt;70,"Poor")</f>
        <v>Average</v>
      </c>
    </row>
    <row r="502" spans="1:14" x14ac:dyDescent="0.35">
      <c r="A502" s="2">
        <v>501</v>
      </c>
      <c r="B502" s="2" t="s">
        <v>543</v>
      </c>
      <c r="C502" s="2" t="s">
        <v>14</v>
      </c>
      <c r="D502" s="2" t="s">
        <v>62</v>
      </c>
      <c r="E502" s="2" t="s">
        <v>54</v>
      </c>
      <c r="F502" s="2">
        <v>2009</v>
      </c>
      <c r="G502" s="2">
        <v>76</v>
      </c>
      <c r="H502" s="3">
        <v>1.35</v>
      </c>
      <c r="I502" s="3">
        <v>0.7</v>
      </c>
      <c r="J502" s="3">
        <v>0.42</v>
      </c>
      <c r="K502" s="3">
        <v>0.15</v>
      </c>
      <c r="L502" s="3">
        <v>0.08</v>
      </c>
      <c r="M502" s="2" t="s">
        <v>17</v>
      </c>
      <c r="N502" s="3" t="str" cm="1">
        <f t="array" ref="N502">_xlfn.IFS(G502&gt;=90,"Excellent",G502&gt;=80,"Good",G502&gt;=70,"Average",G502&lt;70,"Poor")</f>
        <v>Average</v>
      </c>
    </row>
    <row r="503" spans="1:14" x14ac:dyDescent="0.35">
      <c r="A503" s="2">
        <v>502</v>
      </c>
      <c r="B503" s="2" t="s">
        <v>544</v>
      </c>
      <c r="C503" s="2" t="s">
        <v>19</v>
      </c>
      <c r="D503" s="2" t="s">
        <v>62</v>
      </c>
      <c r="E503" s="2" t="s">
        <v>54</v>
      </c>
      <c r="F503" s="2">
        <v>2016</v>
      </c>
      <c r="G503" s="2">
        <v>77</v>
      </c>
      <c r="H503" s="3">
        <v>0.32</v>
      </c>
      <c r="I503" s="3">
        <v>0.16</v>
      </c>
      <c r="J503" s="3">
        <v>7.0000000000000007E-2</v>
      </c>
      <c r="K503" s="3">
        <v>0.04</v>
      </c>
      <c r="L503" s="3">
        <v>0.05</v>
      </c>
      <c r="M503" s="2" t="s">
        <v>24</v>
      </c>
      <c r="N503" s="3" t="str" cm="1">
        <f t="array" ref="N503">_xlfn.IFS(G503&gt;=90,"Excellent",G503&gt;=80,"Good",G503&gt;=70,"Average",G503&lt;70,"Poor")</f>
        <v>Average</v>
      </c>
    </row>
    <row r="504" spans="1:14" x14ac:dyDescent="0.35">
      <c r="A504" s="2">
        <v>503</v>
      </c>
      <c r="B504" s="2" t="s">
        <v>545</v>
      </c>
      <c r="C504" s="2" t="s">
        <v>19</v>
      </c>
      <c r="D504" s="2" t="s">
        <v>62</v>
      </c>
      <c r="E504" s="2" t="s">
        <v>60</v>
      </c>
      <c r="F504" s="2">
        <v>2017</v>
      </c>
      <c r="G504" s="2">
        <v>98</v>
      </c>
      <c r="H504" s="3">
        <v>1.48</v>
      </c>
      <c r="I504" s="3">
        <v>0.56000000000000005</v>
      </c>
      <c r="J504" s="3">
        <v>0.49</v>
      </c>
      <c r="K504" s="3">
        <v>0.08</v>
      </c>
      <c r="L504" s="3">
        <v>0.35</v>
      </c>
      <c r="M504" s="2" t="s">
        <v>17</v>
      </c>
      <c r="N504" s="3" t="str" cm="1">
        <f t="array" ref="N504">_xlfn.IFS(G504&gt;=90,"Excellent",G504&gt;=80,"Good",G504&gt;=70,"Average",G504&lt;70,"Poor")</f>
        <v>Excellent</v>
      </c>
    </row>
    <row r="505" spans="1:14" x14ac:dyDescent="0.35">
      <c r="A505" s="2">
        <v>504</v>
      </c>
      <c r="B505" s="2" t="s">
        <v>546</v>
      </c>
      <c r="C505" s="2" t="s">
        <v>64</v>
      </c>
      <c r="D505" s="2" t="s">
        <v>45</v>
      </c>
      <c r="E505" s="2" t="s">
        <v>43</v>
      </c>
      <c r="F505" s="2">
        <v>2018</v>
      </c>
      <c r="G505" s="2">
        <v>61</v>
      </c>
      <c r="H505" s="3">
        <v>1.75</v>
      </c>
      <c r="I505" s="3">
        <v>0.95</v>
      </c>
      <c r="J505" s="3">
        <v>0.46</v>
      </c>
      <c r="K505" s="3">
        <v>0.33</v>
      </c>
      <c r="L505" s="3">
        <v>0.01</v>
      </c>
      <c r="M505" s="2" t="s">
        <v>17</v>
      </c>
      <c r="N505" s="3" t="str" cm="1">
        <f t="array" ref="N505">_xlfn.IFS(G505&gt;=90,"Excellent",G505&gt;=80,"Good",G505&gt;=70,"Average",G505&lt;70,"Poor")</f>
        <v>Poor</v>
      </c>
    </row>
    <row r="506" spans="1:14" x14ac:dyDescent="0.35">
      <c r="A506" s="2">
        <v>505</v>
      </c>
      <c r="B506" s="2" t="s">
        <v>547</v>
      </c>
      <c r="C506" s="2" t="s">
        <v>64</v>
      </c>
      <c r="D506" s="2" t="s">
        <v>29</v>
      </c>
      <c r="E506" s="2" t="s">
        <v>46</v>
      </c>
      <c r="F506" s="2">
        <v>2015</v>
      </c>
      <c r="G506" s="2">
        <v>71</v>
      </c>
      <c r="H506" s="3">
        <v>0.44</v>
      </c>
      <c r="I506" s="3">
        <v>0.22</v>
      </c>
      <c r="J506" s="3">
        <v>0.14000000000000001</v>
      </c>
      <c r="K506" s="3">
        <v>7.0000000000000007E-2</v>
      </c>
      <c r="L506" s="3">
        <v>0.01</v>
      </c>
      <c r="M506" s="2" t="s">
        <v>24</v>
      </c>
      <c r="N506" s="3" t="str" cm="1">
        <f t="array" ref="N506">_xlfn.IFS(G506&gt;=90,"Excellent",G506&gt;=80,"Good",G506&gt;=70,"Average",G506&lt;70,"Poor")</f>
        <v>Average</v>
      </c>
    </row>
    <row r="507" spans="1:14" x14ac:dyDescent="0.35">
      <c r="A507" s="2">
        <v>506</v>
      </c>
      <c r="B507" s="2" t="s">
        <v>548</v>
      </c>
      <c r="C507" s="2" t="s">
        <v>23</v>
      </c>
      <c r="D507" s="2" t="s">
        <v>48</v>
      </c>
      <c r="E507" s="2" t="s">
        <v>60</v>
      </c>
      <c r="F507" s="2">
        <v>2026</v>
      </c>
      <c r="G507" s="2">
        <v>75</v>
      </c>
      <c r="H507" s="3">
        <v>0.92</v>
      </c>
      <c r="I507" s="3">
        <v>0.48</v>
      </c>
      <c r="J507" s="3">
        <v>0.19</v>
      </c>
      <c r="K507" s="3">
        <v>0.06</v>
      </c>
      <c r="L507" s="3">
        <v>0.19</v>
      </c>
      <c r="M507" s="2" t="s">
        <v>17</v>
      </c>
      <c r="N507" s="3" t="str" cm="1">
        <f t="array" ref="N507">_xlfn.IFS(G507&gt;=90,"Excellent",G507&gt;=80,"Good",G507&gt;=70,"Average",G507&lt;70,"Poor")</f>
        <v>Average</v>
      </c>
    </row>
    <row r="508" spans="1:14" x14ac:dyDescent="0.35">
      <c r="A508" s="2">
        <v>507</v>
      </c>
      <c r="B508" s="2" t="s">
        <v>549</v>
      </c>
      <c r="C508" s="2" t="s">
        <v>59</v>
      </c>
      <c r="D508" s="2" t="s">
        <v>62</v>
      </c>
      <c r="E508" s="2" t="s">
        <v>43</v>
      </c>
      <c r="F508" s="2">
        <v>2000</v>
      </c>
      <c r="G508" s="2">
        <v>71</v>
      </c>
      <c r="H508" s="3">
        <v>1.76</v>
      </c>
      <c r="I508" s="3">
        <v>0.95</v>
      </c>
      <c r="J508" s="3">
        <v>0.52</v>
      </c>
      <c r="K508" s="3">
        <v>0.27</v>
      </c>
      <c r="L508" s="3">
        <v>0.02</v>
      </c>
      <c r="M508" s="2" t="s">
        <v>17</v>
      </c>
      <c r="N508" s="3" t="str" cm="1">
        <f t="array" ref="N508">_xlfn.IFS(G508&gt;=90,"Excellent",G508&gt;=80,"Good",G508&gt;=70,"Average",G508&lt;70,"Poor")</f>
        <v>Average</v>
      </c>
    </row>
    <row r="509" spans="1:14" x14ac:dyDescent="0.35">
      <c r="A509" s="2">
        <v>508</v>
      </c>
      <c r="B509" s="2" t="s">
        <v>550</v>
      </c>
      <c r="C509" s="2" t="s">
        <v>59</v>
      </c>
      <c r="D509" s="2" t="s">
        <v>2</v>
      </c>
      <c r="E509" s="2" t="s">
        <v>54</v>
      </c>
      <c r="F509" s="2">
        <v>1995</v>
      </c>
      <c r="G509" s="2">
        <v>66</v>
      </c>
      <c r="H509" s="3">
        <v>0.21</v>
      </c>
      <c r="I509" s="3">
        <v>0.11</v>
      </c>
      <c r="J509" s="3">
        <v>0.06</v>
      </c>
      <c r="K509" s="3">
        <v>0.04</v>
      </c>
      <c r="L509" s="3">
        <v>0</v>
      </c>
      <c r="M509" s="2" t="s">
        <v>24</v>
      </c>
      <c r="N509" s="3" t="str" cm="1">
        <f t="array" ref="N509">_xlfn.IFS(G509&gt;=90,"Excellent",G509&gt;=80,"Good",G509&gt;=70,"Average",G509&lt;70,"Poor")</f>
        <v>Poor</v>
      </c>
    </row>
    <row r="510" spans="1:14" x14ac:dyDescent="0.35">
      <c r="A510" s="2">
        <v>509</v>
      </c>
      <c r="B510" s="2" t="s">
        <v>551</v>
      </c>
      <c r="C510" s="2" t="s">
        <v>14</v>
      </c>
      <c r="D510" s="2" t="s">
        <v>29</v>
      </c>
      <c r="E510" s="2" t="s">
        <v>46</v>
      </c>
      <c r="F510" s="2">
        <v>2012</v>
      </c>
      <c r="G510" s="2">
        <v>72</v>
      </c>
      <c r="H510" s="3">
        <v>1.18</v>
      </c>
      <c r="I510" s="3">
        <v>0.49</v>
      </c>
      <c r="J510" s="3">
        <v>0.25</v>
      </c>
      <c r="K510" s="3">
        <v>0.23</v>
      </c>
      <c r="L510" s="3">
        <v>0.21</v>
      </c>
      <c r="M510" s="2" t="s">
        <v>17</v>
      </c>
      <c r="N510" s="3" t="str" cm="1">
        <f t="array" ref="N510">_xlfn.IFS(G510&gt;=90,"Excellent",G510&gt;=80,"Good",G510&gt;=70,"Average",G510&lt;70,"Poor")</f>
        <v>Average</v>
      </c>
    </row>
    <row r="511" spans="1:14" x14ac:dyDescent="0.35">
      <c r="A511" s="2">
        <v>510</v>
      </c>
      <c r="B511" s="2" t="s">
        <v>552</v>
      </c>
      <c r="C511" s="2" t="s">
        <v>14</v>
      </c>
      <c r="D511" s="2" t="s">
        <v>62</v>
      </c>
      <c r="E511" s="2" t="s">
        <v>49</v>
      </c>
      <c r="F511" s="2">
        <v>2008</v>
      </c>
      <c r="G511" s="2">
        <v>94</v>
      </c>
      <c r="H511" s="3">
        <v>0.37</v>
      </c>
      <c r="I511" s="3">
        <v>0.14000000000000001</v>
      </c>
      <c r="J511" s="3">
        <v>0.1</v>
      </c>
      <c r="K511" s="3">
        <v>0.04</v>
      </c>
      <c r="L511" s="3">
        <v>0.09</v>
      </c>
      <c r="M511" s="2" t="s">
        <v>24</v>
      </c>
      <c r="N511" s="3" t="str" cm="1">
        <f t="array" ref="N511">_xlfn.IFS(G511&gt;=90,"Excellent",G511&gt;=80,"Good",G511&gt;=70,"Average",G511&lt;70,"Poor")</f>
        <v>Excellent</v>
      </c>
    </row>
    <row r="512" spans="1:14" x14ac:dyDescent="0.35">
      <c r="A512" s="2">
        <v>511</v>
      </c>
      <c r="B512" s="2" t="s">
        <v>553</v>
      </c>
      <c r="C512" s="2" t="s">
        <v>23</v>
      </c>
      <c r="D512" s="2" t="s">
        <v>33</v>
      </c>
      <c r="E512" s="2" t="s">
        <v>16</v>
      </c>
      <c r="F512" s="2">
        <v>2025</v>
      </c>
      <c r="G512" s="2">
        <v>57</v>
      </c>
      <c r="H512" s="3">
        <v>0.16</v>
      </c>
      <c r="I512" s="3">
        <v>0.06</v>
      </c>
      <c r="J512" s="3">
        <v>0.04</v>
      </c>
      <c r="K512" s="3">
        <v>0.03</v>
      </c>
      <c r="L512" s="3">
        <v>0.03</v>
      </c>
      <c r="M512" s="2" t="s">
        <v>24</v>
      </c>
      <c r="N512" s="3" t="str" cm="1">
        <f t="array" ref="N512">_xlfn.IFS(G512&gt;=90,"Excellent",G512&gt;=80,"Good",G512&gt;=70,"Average",G512&lt;70,"Poor")</f>
        <v>Poor</v>
      </c>
    </row>
    <row r="513" spans="1:14" x14ac:dyDescent="0.35">
      <c r="A513" s="2">
        <v>512</v>
      </c>
      <c r="B513" s="2" t="s">
        <v>554</v>
      </c>
      <c r="C513" s="2" t="s">
        <v>31</v>
      </c>
      <c r="D513" s="2" t="s">
        <v>15</v>
      </c>
      <c r="E513" s="2" t="s">
        <v>20</v>
      </c>
      <c r="F513" s="2">
        <v>2005</v>
      </c>
      <c r="G513" s="2">
        <v>64</v>
      </c>
      <c r="H513" s="3">
        <v>0.84</v>
      </c>
      <c r="I513" s="3">
        <v>0.45</v>
      </c>
      <c r="J513" s="3">
        <v>0.23</v>
      </c>
      <c r="K513" s="3">
        <v>0.1</v>
      </c>
      <c r="L513" s="3">
        <v>0.06</v>
      </c>
      <c r="M513" s="2" t="s">
        <v>17</v>
      </c>
      <c r="N513" s="3" t="str" cm="1">
        <f t="array" ref="N513">_xlfn.IFS(G513&gt;=90,"Excellent",G513&gt;=80,"Good",G513&gt;=70,"Average",G513&lt;70,"Poor")</f>
        <v>Poor</v>
      </c>
    </row>
    <row r="514" spans="1:14" x14ac:dyDescent="0.35">
      <c r="A514" s="2">
        <v>513</v>
      </c>
      <c r="B514" s="2" t="s">
        <v>555</v>
      </c>
      <c r="C514" s="2" t="s">
        <v>64</v>
      </c>
      <c r="D514" s="2" t="s">
        <v>65</v>
      </c>
      <c r="E514" s="2" t="s">
        <v>52</v>
      </c>
      <c r="F514" s="2">
        <v>2012</v>
      </c>
      <c r="G514" s="2">
        <v>85</v>
      </c>
      <c r="H514" s="3">
        <v>0.08</v>
      </c>
      <c r="I514" s="3">
        <v>0.04</v>
      </c>
      <c r="J514" s="3">
        <v>0.02</v>
      </c>
      <c r="K514" s="3">
        <v>0.01</v>
      </c>
      <c r="L514" s="3">
        <v>0.01</v>
      </c>
      <c r="M514" s="2" t="s">
        <v>24</v>
      </c>
      <c r="N514" s="3" t="str" cm="1">
        <f t="array" ref="N514">_xlfn.IFS(G514&gt;=90,"Excellent",G514&gt;=80,"Good",G514&gt;=70,"Average",G514&lt;70,"Poor")</f>
        <v>Good</v>
      </c>
    </row>
    <row r="515" spans="1:14" x14ac:dyDescent="0.35">
      <c r="A515" s="2">
        <v>514</v>
      </c>
      <c r="B515" s="2" t="s">
        <v>556</v>
      </c>
      <c r="C515" s="2" t="s">
        <v>59</v>
      </c>
      <c r="D515" s="2" t="s">
        <v>33</v>
      </c>
      <c r="E515" s="2" t="s">
        <v>43</v>
      </c>
      <c r="F515" s="2">
        <v>2000</v>
      </c>
      <c r="G515" s="2">
        <v>60</v>
      </c>
      <c r="H515" s="3">
        <v>0.27</v>
      </c>
      <c r="I515" s="3">
        <v>0.12</v>
      </c>
      <c r="J515" s="3">
        <v>0.09</v>
      </c>
      <c r="K515" s="3">
        <v>0.04</v>
      </c>
      <c r="L515" s="3">
        <v>0.02</v>
      </c>
      <c r="M515" s="2" t="s">
        <v>24</v>
      </c>
      <c r="N515" s="3" t="str" cm="1">
        <f t="array" ref="N515">_xlfn.IFS(G515&gt;=90,"Excellent",G515&gt;=80,"Good",G515&gt;=70,"Average",G515&lt;70,"Poor")</f>
        <v>Poor</v>
      </c>
    </row>
    <row r="516" spans="1:14" x14ac:dyDescent="0.35">
      <c r="A516" s="2">
        <v>515</v>
      </c>
      <c r="B516" s="2" t="s">
        <v>557</v>
      </c>
      <c r="C516" s="2" t="s">
        <v>14</v>
      </c>
      <c r="D516" s="2" t="s">
        <v>33</v>
      </c>
      <c r="E516" s="2" t="s">
        <v>43</v>
      </c>
      <c r="F516" s="2">
        <v>2012</v>
      </c>
      <c r="G516" s="2">
        <v>95</v>
      </c>
      <c r="H516" s="3">
        <v>0.52</v>
      </c>
      <c r="I516" s="3">
        <v>0.19</v>
      </c>
      <c r="J516" s="3">
        <v>0.11</v>
      </c>
      <c r="K516" s="3">
        <v>0.1</v>
      </c>
      <c r="L516" s="3">
        <v>0.12</v>
      </c>
      <c r="M516" s="2" t="s">
        <v>17</v>
      </c>
      <c r="N516" s="3" t="str" cm="1">
        <f t="array" ref="N516">_xlfn.IFS(G516&gt;=90,"Excellent",G516&gt;=80,"Good",G516&gt;=70,"Average",G516&lt;70,"Poor")</f>
        <v>Excellent</v>
      </c>
    </row>
    <row r="517" spans="1:14" x14ac:dyDescent="0.35">
      <c r="A517" s="2">
        <v>516</v>
      </c>
      <c r="B517" s="2" t="s">
        <v>558</v>
      </c>
      <c r="C517" s="2" t="s">
        <v>31</v>
      </c>
      <c r="D517" s="2" t="s">
        <v>45</v>
      </c>
      <c r="E517" s="2" t="s">
        <v>49</v>
      </c>
      <c r="F517" s="2">
        <v>2003</v>
      </c>
      <c r="G517" s="2">
        <v>86</v>
      </c>
      <c r="H517" s="3">
        <v>0.91</v>
      </c>
      <c r="I517" s="3">
        <v>0.4</v>
      </c>
      <c r="J517" s="3">
        <v>0.32</v>
      </c>
      <c r="K517" s="3">
        <v>0.05</v>
      </c>
      <c r="L517" s="3">
        <v>0.14000000000000001</v>
      </c>
      <c r="M517" s="2" t="s">
        <v>17</v>
      </c>
      <c r="N517" s="3" t="str" cm="1">
        <f t="array" ref="N517">_xlfn.IFS(G517&gt;=90,"Excellent",G517&gt;=80,"Good",G517&gt;=70,"Average",G517&lt;70,"Poor")</f>
        <v>Good</v>
      </c>
    </row>
    <row r="518" spans="1:14" x14ac:dyDescent="0.35">
      <c r="A518" s="2">
        <v>517</v>
      </c>
      <c r="B518" s="2" t="s">
        <v>559</v>
      </c>
      <c r="C518" s="2" t="s">
        <v>59</v>
      </c>
      <c r="D518" s="2" t="s">
        <v>15</v>
      </c>
      <c r="E518" s="2" t="s">
        <v>41</v>
      </c>
      <c r="F518" s="2">
        <v>1997</v>
      </c>
      <c r="G518" s="2">
        <v>96</v>
      </c>
      <c r="H518" s="3">
        <v>0.65</v>
      </c>
      <c r="I518" s="3">
        <v>0.32</v>
      </c>
      <c r="J518" s="3">
        <v>0.22</v>
      </c>
      <c r="K518" s="3">
        <v>0.05</v>
      </c>
      <c r="L518" s="3">
        <v>0.06</v>
      </c>
      <c r="M518" s="2" t="s">
        <v>17</v>
      </c>
      <c r="N518" s="3" t="str" cm="1">
        <f t="array" ref="N518">_xlfn.IFS(G518&gt;=90,"Excellent",G518&gt;=80,"Good",G518&gt;=70,"Average",G518&lt;70,"Poor")</f>
        <v>Excellent</v>
      </c>
    </row>
    <row r="519" spans="1:14" x14ac:dyDescent="0.35">
      <c r="A519" s="2">
        <v>518</v>
      </c>
      <c r="B519" s="2" t="s">
        <v>560</v>
      </c>
      <c r="C519" s="2" t="s">
        <v>23</v>
      </c>
      <c r="D519" s="2" t="s">
        <v>33</v>
      </c>
      <c r="E519" s="2" t="s">
        <v>20</v>
      </c>
      <c r="F519" s="2">
        <v>2021</v>
      </c>
      <c r="G519" s="2">
        <v>96</v>
      </c>
      <c r="H519" s="3">
        <v>0.94</v>
      </c>
      <c r="I519" s="3">
        <v>0.45</v>
      </c>
      <c r="J519" s="3">
        <v>0.19</v>
      </c>
      <c r="K519" s="3">
        <v>0.14000000000000001</v>
      </c>
      <c r="L519" s="3">
        <v>0.16</v>
      </c>
      <c r="M519" s="2" t="s">
        <v>17</v>
      </c>
      <c r="N519" s="3" t="str" cm="1">
        <f t="array" ref="N519">_xlfn.IFS(G519&gt;=90,"Excellent",G519&gt;=80,"Good",G519&gt;=70,"Average",G519&lt;70,"Poor")</f>
        <v>Excellent</v>
      </c>
    </row>
    <row r="520" spans="1:14" x14ac:dyDescent="0.35">
      <c r="A520" s="2">
        <v>519</v>
      </c>
      <c r="B520" s="2" t="s">
        <v>561</v>
      </c>
      <c r="C520" s="2" t="s">
        <v>14</v>
      </c>
      <c r="D520" s="2" t="s">
        <v>62</v>
      </c>
      <c r="E520" s="2" t="s">
        <v>74</v>
      </c>
      <c r="F520" s="2">
        <v>2007</v>
      </c>
      <c r="G520" s="2">
        <v>59</v>
      </c>
      <c r="H520" s="3">
        <v>1.02</v>
      </c>
      <c r="I520" s="3">
        <v>0.46</v>
      </c>
      <c r="J520" s="3">
        <v>0.33</v>
      </c>
      <c r="K520" s="3">
        <v>0.08</v>
      </c>
      <c r="L520" s="3">
        <v>0.15</v>
      </c>
      <c r="M520" s="2" t="s">
        <v>17</v>
      </c>
      <c r="N520" s="3" t="str" cm="1">
        <f t="array" ref="N520">_xlfn.IFS(G520&gt;=90,"Excellent",G520&gt;=80,"Good",G520&gt;=70,"Average",G520&lt;70,"Poor")</f>
        <v>Poor</v>
      </c>
    </row>
    <row r="521" spans="1:14" x14ac:dyDescent="0.35">
      <c r="A521" s="2">
        <v>520</v>
      </c>
      <c r="B521" s="2" t="s">
        <v>562</v>
      </c>
      <c r="C521" s="2" t="s">
        <v>64</v>
      </c>
      <c r="D521" s="2" t="s">
        <v>45</v>
      </c>
      <c r="E521" s="2" t="s">
        <v>43</v>
      </c>
      <c r="F521" s="2">
        <v>2014</v>
      </c>
      <c r="G521" s="2">
        <v>62</v>
      </c>
      <c r="H521" s="3">
        <v>2.0099999999999998</v>
      </c>
      <c r="I521" s="3">
        <v>0.94</v>
      </c>
      <c r="J521" s="3">
        <v>0.5</v>
      </c>
      <c r="K521" s="3">
        <v>0.14000000000000001</v>
      </c>
      <c r="L521" s="3">
        <v>0.43</v>
      </c>
      <c r="M521" s="2" t="s">
        <v>27</v>
      </c>
      <c r="N521" s="3" t="str" cm="1">
        <f t="array" ref="N521">_xlfn.IFS(G521&gt;=90,"Excellent",G521&gt;=80,"Good",G521&gt;=70,"Average",G521&lt;70,"Poor")</f>
        <v>Poor</v>
      </c>
    </row>
    <row r="522" spans="1:14" x14ac:dyDescent="0.35">
      <c r="A522" s="2">
        <v>521</v>
      </c>
      <c r="B522" s="2" t="s">
        <v>563</v>
      </c>
      <c r="C522" s="2" t="s">
        <v>31</v>
      </c>
      <c r="D522" s="2" t="s">
        <v>45</v>
      </c>
      <c r="E522" s="2" t="s">
        <v>54</v>
      </c>
      <c r="F522" s="2">
        <v>2006</v>
      </c>
      <c r="G522" s="2">
        <v>65</v>
      </c>
      <c r="H522" s="3">
        <v>0.19</v>
      </c>
      <c r="I522" s="3">
        <v>7.0000000000000007E-2</v>
      </c>
      <c r="J522" s="3">
        <v>0.04</v>
      </c>
      <c r="K522" s="3">
        <v>0.03</v>
      </c>
      <c r="L522" s="3">
        <v>0.05</v>
      </c>
      <c r="M522" s="2" t="s">
        <v>24</v>
      </c>
      <c r="N522" s="3" t="str" cm="1">
        <f t="array" ref="N522">_xlfn.IFS(G522&gt;=90,"Excellent",G522&gt;=80,"Good",G522&gt;=70,"Average",G522&lt;70,"Poor")</f>
        <v>Poor</v>
      </c>
    </row>
    <row r="523" spans="1:14" x14ac:dyDescent="0.35">
      <c r="A523" s="2">
        <v>522</v>
      </c>
      <c r="B523" s="2" t="s">
        <v>564</v>
      </c>
      <c r="C523" s="2" t="s">
        <v>23</v>
      </c>
      <c r="D523" s="2" t="s">
        <v>37</v>
      </c>
      <c r="E523" s="2" t="s">
        <v>20</v>
      </c>
      <c r="F523" s="2">
        <v>2023</v>
      </c>
      <c r="G523" s="2">
        <v>55</v>
      </c>
      <c r="H523" s="3">
        <v>1.62</v>
      </c>
      <c r="I523" s="3">
        <v>0.66</v>
      </c>
      <c r="J523" s="3">
        <v>0.49</v>
      </c>
      <c r="K523" s="3">
        <v>0.27</v>
      </c>
      <c r="L523" s="3">
        <v>0.2</v>
      </c>
      <c r="M523" s="2" t="s">
        <v>17</v>
      </c>
      <c r="N523" s="3" t="str" cm="1">
        <f t="array" ref="N523">_xlfn.IFS(G523&gt;=90,"Excellent",G523&gt;=80,"Good",G523&gt;=70,"Average",G523&lt;70,"Poor")</f>
        <v>Poor</v>
      </c>
    </row>
    <row r="524" spans="1:14" x14ac:dyDescent="0.35">
      <c r="A524" s="2">
        <v>523</v>
      </c>
      <c r="B524" s="2" t="s">
        <v>565</v>
      </c>
      <c r="C524" s="2" t="s">
        <v>19</v>
      </c>
      <c r="D524" s="2" t="s">
        <v>48</v>
      </c>
      <c r="E524" s="2" t="s">
        <v>54</v>
      </c>
      <c r="F524" s="2">
        <v>2015</v>
      </c>
      <c r="G524" s="2">
        <v>83</v>
      </c>
      <c r="H524" s="3">
        <v>0.09</v>
      </c>
      <c r="I524" s="3">
        <v>0.04</v>
      </c>
      <c r="J524" s="3">
        <v>0.02</v>
      </c>
      <c r="K524" s="3">
        <v>0.01</v>
      </c>
      <c r="L524" s="3">
        <v>0.02</v>
      </c>
      <c r="M524" s="2" t="s">
        <v>24</v>
      </c>
      <c r="N524" s="3" t="str" cm="1">
        <f t="array" ref="N524">_xlfn.IFS(G524&gt;=90,"Excellent",G524&gt;=80,"Good",G524&gt;=70,"Average",G524&lt;70,"Poor")</f>
        <v>Good</v>
      </c>
    </row>
    <row r="525" spans="1:14" x14ac:dyDescent="0.35">
      <c r="A525" s="2">
        <v>524</v>
      </c>
      <c r="B525" s="2" t="s">
        <v>566</v>
      </c>
      <c r="C525" s="2" t="s">
        <v>19</v>
      </c>
      <c r="D525" s="2" t="s">
        <v>51</v>
      </c>
      <c r="E525" s="2" t="s">
        <v>43</v>
      </c>
      <c r="F525" s="2">
        <v>2014</v>
      </c>
      <c r="G525" s="2">
        <v>90</v>
      </c>
      <c r="H525" s="3">
        <v>0.51</v>
      </c>
      <c r="I525" s="3">
        <v>0.23</v>
      </c>
      <c r="J525" s="3">
        <v>0.11</v>
      </c>
      <c r="K525" s="3">
        <v>0.05</v>
      </c>
      <c r="L525" s="3">
        <v>0.12</v>
      </c>
      <c r="M525" s="2" t="s">
        <v>17</v>
      </c>
      <c r="N525" s="3" t="str" cm="1">
        <f t="array" ref="N525">_xlfn.IFS(G525&gt;=90,"Excellent",G525&gt;=80,"Good",G525&gt;=70,"Average",G525&lt;70,"Poor")</f>
        <v>Excellent</v>
      </c>
    </row>
    <row r="526" spans="1:14" x14ac:dyDescent="0.35">
      <c r="A526" s="2">
        <v>525</v>
      </c>
      <c r="B526" s="2" t="s">
        <v>567</v>
      </c>
      <c r="C526" s="2" t="s">
        <v>64</v>
      </c>
      <c r="D526" s="2" t="s">
        <v>65</v>
      </c>
      <c r="E526" s="2" t="s">
        <v>52</v>
      </c>
      <c r="F526" s="2">
        <v>2019</v>
      </c>
      <c r="G526" s="2">
        <v>72</v>
      </c>
      <c r="H526" s="3">
        <v>1.04</v>
      </c>
      <c r="I526" s="3">
        <v>0.4</v>
      </c>
      <c r="J526" s="3">
        <v>0.35</v>
      </c>
      <c r="K526" s="3">
        <v>0.06</v>
      </c>
      <c r="L526" s="3">
        <v>0.23</v>
      </c>
      <c r="M526" s="2" t="s">
        <v>17</v>
      </c>
      <c r="N526" s="3" t="str" cm="1">
        <f t="array" ref="N526">_xlfn.IFS(G526&gt;=90,"Excellent",G526&gt;=80,"Good",G526&gt;=70,"Average",G526&lt;70,"Poor")</f>
        <v>Average</v>
      </c>
    </row>
    <row r="527" spans="1:14" x14ac:dyDescent="0.35">
      <c r="A527" s="2">
        <v>526</v>
      </c>
      <c r="B527" s="2" t="s">
        <v>568</v>
      </c>
      <c r="C527" s="2" t="s">
        <v>14</v>
      </c>
      <c r="D527" s="2" t="s">
        <v>48</v>
      </c>
      <c r="E527" s="2" t="s">
        <v>41</v>
      </c>
      <c r="F527" s="2">
        <v>2010</v>
      </c>
      <c r="G527" s="2">
        <v>94</v>
      </c>
      <c r="H527" s="3">
        <v>4.1399999999999997</v>
      </c>
      <c r="I527" s="3">
        <v>1.48</v>
      </c>
      <c r="J527" s="3">
        <v>1.29</v>
      </c>
      <c r="K527" s="3">
        <v>0.78</v>
      </c>
      <c r="L527" s="3">
        <v>0.59</v>
      </c>
      <c r="M527" s="2" t="s">
        <v>27</v>
      </c>
      <c r="N527" s="3" t="str" cm="1">
        <f t="array" ref="N527">_xlfn.IFS(G527&gt;=90,"Excellent",G527&gt;=80,"Good",G527&gt;=70,"Average",G527&lt;70,"Poor")</f>
        <v>Excellent</v>
      </c>
    </row>
    <row r="528" spans="1:14" x14ac:dyDescent="0.35">
      <c r="A528" s="2">
        <v>527</v>
      </c>
      <c r="B528" s="2" t="s">
        <v>569</v>
      </c>
      <c r="C528" s="2" t="s">
        <v>31</v>
      </c>
      <c r="D528" s="2" t="s">
        <v>15</v>
      </c>
      <c r="E528" s="2" t="s">
        <v>16</v>
      </c>
      <c r="F528" s="2">
        <v>2001</v>
      </c>
      <c r="G528" s="2">
        <v>59</v>
      </c>
      <c r="H528" s="3">
        <v>0.82</v>
      </c>
      <c r="I528" s="3">
        <v>0.32</v>
      </c>
      <c r="J528" s="3">
        <v>0.25</v>
      </c>
      <c r="K528" s="3">
        <v>0.08</v>
      </c>
      <c r="L528" s="3">
        <v>0.17</v>
      </c>
      <c r="M528" s="2" t="s">
        <v>17</v>
      </c>
      <c r="N528" s="3" t="str" cm="1">
        <f t="array" ref="N528">_xlfn.IFS(G528&gt;=90,"Excellent",G528&gt;=80,"Good",G528&gt;=70,"Average",G528&lt;70,"Poor")</f>
        <v>Poor</v>
      </c>
    </row>
    <row r="529" spans="1:14" x14ac:dyDescent="0.35">
      <c r="A529" s="2">
        <v>528</v>
      </c>
      <c r="B529" s="2" t="s">
        <v>570</v>
      </c>
      <c r="C529" s="2" t="s">
        <v>64</v>
      </c>
      <c r="D529" s="2" t="s">
        <v>29</v>
      </c>
      <c r="E529" s="2" t="s">
        <v>52</v>
      </c>
      <c r="F529" s="2">
        <v>2012</v>
      </c>
      <c r="G529" s="2">
        <v>81</v>
      </c>
      <c r="H529" s="3">
        <v>0.74</v>
      </c>
      <c r="I529" s="3">
        <v>0.28999999999999998</v>
      </c>
      <c r="J529" s="3">
        <v>0.2</v>
      </c>
      <c r="K529" s="3">
        <v>0.09</v>
      </c>
      <c r="L529" s="3">
        <v>0.16</v>
      </c>
      <c r="M529" s="2" t="s">
        <v>17</v>
      </c>
      <c r="N529" s="3" t="str" cm="1">
        <f t="array" ref="N529">_xlfn.IFS(G529&gt;=90,"Excellent",G529&gt;=80,"Good",G529&gt;=70,"Average",G529&lt;70,"Poor")</f>
        <v>Good</v>
      </c>
    </row>
    <row r="530" spans="1:14" x14ac:dyDescent="0.35">
      <c r="A530" s="2">
        <v>529</v>
      </c>
      <c r="B530" s="2" t="s">
        <v>571</v>
      </c>
      <c r="C530" s="2" t="s">
        <v>19</v>
      </c>
      <c r="D530" s="2" t="s">
        <v>48</v>
      </c>
      <c r="E530" s="2" t="s">
        <v>74</v>
      </c>
      <c r="F530" s="2">
        <v>2015</v>
      </c>
      <c r="G530" s="2">
        <v>79</v>
      </c>
      <c r="H530" s="3">
        <v>0.56999999999999995</v>
      </c>
      <c r="I530" s="3">
        <v>0.22</v>
      </c>
      <c r="J530" s="3">
        <v>0.14000000000000001</v>
      </c>
      <c r="K530" s="3">
        <v>0.05</v>
      </c>
      <c r="L530" s="3">
        <v>0.16</v>
      </c>
      <c r="M530" s="2" t="s">
        <v>17</v>
      </c>
      <c r="N530" s="3" t="str" cm="1">
        <f t="array" ref="N530">_xlfn.IFS(G530&gt;=90,"Excellent",G530&gt;=80,"Good",G530&gt;=70,"Average",G530&lt;70,"Poor")</f>
        <v>Average</v>
      </c>
    </row>
    <row r="531" spans="1:14" x14ac:dyDescent="0.35">
      <c r="A531" s="2">
        <v>530</v>
      </c>
      <c r="B531" s="2" t="s">
        <v>572</v>
      </c>
      <c r="C531" s="2" t="s">
        <v>14</v>
      </c>
      <c r="D531" s="2" t="s">
        <v>15</v>
      </c>
      <c r="E531" s="2" t="s">
        <v>74</v>
      </c>
      <c r="F531" s="2">
        <v>2008</v>
      </c>
      <c r="G531" s="2">
        <v>63</v>
      </c>
      <c r="H531" s="3">
        <v>0.19</v>
      </c>
      <c r="I531" s="3">
        <v>0.08</v>
      </c>
      <c r="J531" s="3">
        <v>0.06</v>
      </c>
      <c r="K531" s="3">
        <v>0.02</v>
      </c>
      <c r="L531" s="3">
        <v>0.03</v>
      </c>
      <c r="M531" s="2" t="s">
        <v>24</v>
      </c>
      <c r="N531" s="3" t="str" cm="1">
        <f t="array" ref="N531">_xlfn.IFS(G531&gt;=90,"Excellent",G531&gt;=80,"Good",G531&gt;=70,"Average",G531&lt;70,"Poor")</f>
        <v>Poor</v>
      </c>
    </row>
    <row r="532" spans="1:14" x14ac:dyDescent="0.35">
      <c r="A532" s="2">
        <v>531</v>
      </c>
      <c r="B532" s="2" t="s">
        <v>573</v>
      </c>
      <c r="C532" s="2" t="s">
        <v>14</v>
      </c>
      <c r="D532" s="2" t="s">
        <v>2</v>
      </c>
      <c r="E532" s="2" t="s">
        <v>54</v>
      </c>
      <c r="F532" s="2">
        <v>2008</v>
      </c>
      <c r="G532" s="2">
        <v>69</v>
      </c>
      <c r="H532" s="3">
        <v>0.05</v>
      </c>
      <c r="I532" s="3">
        <v>0.02</v>
      </c>
      <c r="J532" s="3">
        <v>0.02</v>
      </c>
      <c r="K532" s="3">
        <v>0</v>
      </c>
      <c r="L532" s="3">
        <v>0.01</v>
      </c>
      <c r="M532" s="2" t="s">
        <v>24</v>
      </c>
      <c r="N532" s="3" t="str" cm="1">
        <f t="array" ref="N532">_xlfn.IFS(G532&gt;=90,"Excellent",G532&gt;=80,"Good",G532&gt;=70,"Average",G532&lt;70,"Poor")</f>
        <v>Poor</v>
      </c>
    </row>
    <row r="533" spans="1:14" x14ac:dyDescent="0.35">
      <c r="A533" s="2">
        <v>532</v>
      </c>
      <c r="B533" s="2" t="s">
        <v>574</v>
      </c>
      <c r="C533" s="2" t="s">
        <v>57</v>
      </c>
      <c r="D533" s="2" t="s">
        <v>48</v>
      </c>
      <c r="E533" s="2" t="s">
        <v>52</v>
      </c>
      <c r="F533" s="2">
        <v>2010</v>
      </c>
      <c r="G533" s="2">
        <v>92</v>
      </c>
      <c r="H533" s="3">
        <v>1.38</v>
      </c>
      <c r="I533" s="3">
        <v>0.5</v>
      </c>
      <c r="J533" s="3">
        <v>0.48</v>
      </c>
      <c r="K533" s="3">
        <v>0.22</v>
      </c>
      <c r="L533" s="3">
        <v>0.18</v>
      </c>
      <c r="M533" s="2" t="s">
        <v>17</v>
      </c>
      <c r="N533" s="3" t="str" cm="1">
        <f t="array" ref="N533">_xlfn.IFS(G533&gt;=90,"Excellent",G533&gt;=80,"Good",G533&gt;=70,"Average",G533&lt;70,"Poor")</f>
        <v>Excellent</v>
      </c>
    </row>
    <row r="534" spans="1:14" x14ac:dyDescent="0.35">
      <c r="A534" s="2">
        <v>533</v>
      </c>
      <c r="B534" s="2" t="s">
        <v>575</v>
      </c>
      <c r="C534" s="2" t="s">
        <v>23</v>
      </c>
      <c r="D534" s="2" t="s">
        <v>45</v>
      </c>
      <c r="E534" s="2" t="s">
        <v>60</v>
      </c>
      <c r="F534" s="2">
        <v>2020</v>
      </c>
      <c r="G534" s="2">
        <v>61</v>
      </c>
      <c r="H534" s="3">
        <v>0.67</v>
      </c>
      <c r="I534" s="3">
        <v>0.31</v>
      </c>
      <c r="J534" s="3">
        <v>0.14000000000000001</v>
      </c>
      <c r="K534" s="3">
        <v>0.11</v>
      </c>
      <c r="L534" s="3">
        <v>0.11</v>
      </c>
      <c r="M534" s="2" t="s">
        <v>17</v>
      </c>
      <c r="N534" s="3" t="str" cm="1">
        <f t="array" ref="N534">_xlfn.IFS(G534&gt;=90,"Excellent",G534&gt;=80,"Good",G534&gt;=70,"Average",G534&lt;70,"Poor")</f>
        <v>Poor</v>
      </c>
    </row>
    <row r="535" spans="1:14" x14ac:dyDescent="0.35">
      <c r="A535" s="2">
        <v>534</v>
      </c>
      <c r="B535" s="2" t="s">
        <v>576</v>
      </c>
      <c r="C535" s="2" t="s">
        <v>31</v>
      </c>
      <c r="D535" s="2" t="s">
        <v>29</v>
      </c>
      <c r="E535" s="2" t="s">
        <v>46</v>
      </c>
      <c r="F535" s="2">
        <v>2001</v>
      </c>
      <c r="G535" s="2">
        <v>56</v>
      </c>
      <c r="H535" s="3">
        <v>0.63</v>
      </c>
      <c r="I535" s="3">
        <v>0.31</v>
      </c>
      <c r="J535" s="3">
        <v>0.21</v>
      </c>
      <c r="K535" s="3">
        <v>0.1</v>
      </c>
      <c r="L535" s="3">
        <v>0.01</v>
      </c>
      <c r="M535" s="2" t="s">
        <v>17</v>
      </c>
      <c r="N535" s="3" t="str" cm="1">
        <f t="array" ref="N535">_xlfn.IFS(G535&gt;=90,"Excellent",G535&gt;=80,"Good",G535&gt;=70,"Average",G535&lt;70,"Poor")</f>
        <v>Poor</v>
      </c>
    </row>
    <row r="536" spans="1:14" x14ac:dyDescent="0.35">
      <c r="A536" s="2">
        <v>535</v>
      </c>
      <c r="B536" s="2" t="s">
        <v>577</v>
      </c>
      <c r="C536" s="2" t="s">
        <v>59</v>
      </c>
      <c r="D536" s="2" t="s">
        <v>62</v>
      </c>
      <c r="E536" s="2" t="s">
        <v>54</v>
      </c>
      <c r="F536" s="2">
        <v>1998</v>
      </c>
      <c r="G536" s="2">
        <v>78</v>
      </c>
      <c r="H536" s="3">
        <v>0.79</v>
      </c>
      <c r="I536" s="3">
        <v>0.28000000000000003</v>
      </c>
      <c r="J536" s="3">
        <v>0.23</v>
      </c>
      <c r="K536" s="3">
        <v>0.09</v>
      </c>
      <c r="L536" s="3">
        <v>0.19</v>
      </c>
      <c r="M536" s="2" t="s">
        <v>17</v>
      </c>
      <c r="N536" s="3" t="str" cm="1">
        <f t="array" ref="N536">_xlfn.IFS(G536&gt;=90,"Excellent",G536&gt;=80,"Good",G536&gt;=70,"Average",G536&lt;70,"Poor")</f>
        <v>Average</v>
      </c>
    </row>
    <row r="537" spans="1:14" x14ac:dyDescent="0.35">
      <c r="A537" s="2">
        <v>536</v>
      </c>
      <c r="B537" s="2" t="s">
        <v>578</v>
      </c>
      <c r="C537" s="2" t="s">
        <v>57</v>
      </c>
      <c r="D537" s="2" t="s">
        <v>65</v>
      </c>
      <c r="E537" s="2" t="s">
        <v>20</v>
      </c>
      <c r="F537" s="2">
        <v>2009</v>
      </c>
      <c r="G537" s="2">
        <v>72</v>
      </c>
      <c r="H537" s="3">
        <v>1.05</v>
      </c>
      <c r="I537" s="3">
        <v>0.49</v>
      </c>
      <c r="J537" s="3">
        <v>0.24</v>
      </c>
      <c r="K537" s="3">
        <v>0.16</v>
      </c>
      <c r="L537" s="3">
        <v>0.16</v>
      </c>
      <c r="M537" s="2" t="s">
        <v>17</v>
      </c>
      <c r="N537" s="3" t="str" cm="1">
        <f t="array" ref="N537">_xlfn.IFS(G537&gt;=90,"Excellent",G537&gt;=80,"Good",G537&gt;=70,"Average",G537&lt;70,"Poor")</f>
        <v>Average</v>
      </c>
    </row>
    <row r="538" spans="1:14" x14ac:dyDescent="0.35">
      <c r="A538" s="2">
        <v>537</v>
      </c>
      <c r="B538" s="2" t="s">
        <v>579</v>
      </c>
      <c r="C538" s="2" t="s">
        <v>23</v>
      </c>
      <c r="D538" s="2" t="s">
        <v>15</v>
      </c>
      <c r="E538" s="2" t="s">
        <v>60</v>
      </c>
      <c r="F538" s="2">
        <v>2022</v>
      </c>
      <c r="G538" s="2">
        <v>62</v>
      </c>
      <c r="H538" s="3">
        <v>0.53</v>
      </c>
      <c r="I538" s="3">
        <v>0.19</v>
      </c>
      <c r="J538" s="3">
        <v>0.14000000000000001</v>
      </c>
      <c r="K538" s="3">
        <v>0.08</v>
      </c>
      <c r="L538" s="3">
        <v>0.12</v>
      </c>
      <c r="M538" s="2" t="s">
        <v>17</v>
      </c>
      <c r="N538" s="3" t="str" cm="1">
        <f t="array" ref="N538">_xlfn.IFS(G538&gt;=90,"Excellent",G538&gt;=80,"Good",G538&gt;=70,"Average",G538&lt;70,"Poor")</f>
        <v>Poor</v>
      </c>
    </row>
    <row r="539" spans="1:14" x14ac:dyDescent="0.35">
      <c r="A539" s="2">
        <v>538</v>
      </c>
      <c r="B539" s="2" t="s">
        <v>580</v>
      </c>
      <c r="C539" s="2" t="s">
        <v>57</v>
      </c>
      <c r="D539" s="2" t="s">
        <v>65</v>
      </c>
      <c r="E539" s="2" t="s">
        <v>52</v>
      </c>
      <c r="F539" s="2">
        <v>2005</v>
      </c>
      <c r="G539" s="2">
        <v>70</v>
      </c>
      <c r="H539" s="3">
        <v>0.56999999999999995</v>
      </c>
      <c r="I539" s="3">
        <v>0.28000000000000003</v>
      </c>
      <c r="J539" s="3">
        <v>0.18</v>
      </c>
      <c r="K539" s="3">
        <v>0.1</v>
      </c>
      <c r="L539" s="3">
        <v>0.01</v>
      </c>
      <c r="M539" s="2" t="s">
        <v>17</v>
      </c>
      <c r="N539" s="3" t="str" cm="1">
        <f t="array" ref="N539">_xlfn.IFS(G539&gt;=90,"Excellent",G539&gt;=80,"Good",G539&gt;=70,"Average",G539&lt;70,"Poor")</f>
        <v>Average</v>
      </c>
    </row>
    <row r="540" spans="1:14" x14ac:dyDescent="0.35">
      <c r="A540" s="2">
        <v>539</v>
      </c>
      <c r="B540" s="2" t="s">
        <v>581</v>
      </c>
      <c r="C540" s="2" t="s">
        <v>57</v>
      </c>
      <c r="D540" s="2" t="s">
        <v>48</v>
      </c>
      <c r="E540" s="2" t="s">
        <v>43</v>
      </c>
      <c r="F540" s="2">
        <v>2007</v>
      </c>
      <c r="G540" s="2">
        <v>87</v>
      </c>
      <c r="H540" s="3">
        <v>0.7</v>
      </c>
      <c r="I540" s="3">
        <v>0.25</v>
      </c>
      <c r="J540" s="3">
        <v>0.18</v>
      </c>
      <c r="K540" s="3">
        <v>0.09</v>
      </c>
      <c r="L540" s="3">
        <v>0.18</v>
      </c>
      <c r="M540" s="2" t="s">
        <v>17</v>
      </c>
      <c r="N540" s="3" t="str" cm="1">
        <f t="array" ref="N540">_xlfn.IFS(G540&gt;=90,"Excellent",G540&gt;=80,"Good",G540&gt;=70,"Average",G540&lt;70,"Poor")</f>
        <v>Good</v>
      </c>
    </row>
    <row r="541" spans="1:14" x14ac:dyDescent="0.35">
      <c r="A541" s="2">
        <v>540</v>
      </c>
      <c r="B541" s="2" t="s">
        <v>582</v>
      </c>
      <c r="C541" s="2" t="s">
        <v>23</v>
      </c>
      <c r="D541" s="2" t="s">
        <v>33</v>
      </c>
      <c r="E541" s="2" t="s">
        <v>16</v>
      </c>
      <c r="F541" s="2">
        <v>2026</v>
      </c>
      <c r="G541" s="2">
        <v>73</v>
      </c>
      <c r="H541" s="3">
        <v>0.66</v>
      </c>
      <c r="I541" s="3">
        <v>0.32</v>
      </c>
      <c r="J541" s="3">
        <v>0.2</v>
      </c>
      <c r="K541" s="3">
        <v>0.13</v>
      </c>
      <c r="L541" s="3">
        <v>0.01</v>
      </c>
      <c r="M541" s="2" t="s">
        <v>17</v>
      </c>
      <c r="N541" s="3" t="str" cm="1">
        <f t="array" ref="N541">_xlfn.IFS(G541&gt;=90,"Excellent",G541&gt;=80,"Good",G541&gt;=70,"Average",G541&lt;70,"Poor")</f>
        <v>Average</v>
      </c>
    </row>
    <row r="542" spans="1:14" x14ac:dyDescent="0.35">
      <c r="A542" s="2">
        <v>541</v>
      </c>
      <c r="B542" s="2" t="s">
        <v>583</v>
      </c>
      <c r="C542" s="2" t="s">
        <v>59</v>
      </c>
      <c r="D542" s="2" t="s">
        <v>62</v>
      </c>
      <c r="E542" s="2" t="s">
        <v>49</v>
      </c>
      <c r="F542" s="2">
        <v>1996</v>
      </c>
      <c r="G542" s="2">
        <v>66</v>
      </c>
      <c r="H542" s="3">
        <v>0.18</v>
      </c>
      <c r="I542" s="3">
        <v>0.09</v>
      </c>
      <c r="J542" s="3">
        <v>0.05</v>
      </c>
      <c r="K542" s="3">
        <v>0.03</v>
      </c>
      <c r="L542" s="3">
        <v>0.01</v>
      </c>
      <c r="M542" s="2" t="s">
        <v>24</v>
      </c>
      <c r="N542" s="3" t="str" cm="1">
        <f t="array" ref="N542">_xlfn.IFS(G542&gt;=90,"Excellent",G542&gt;=80,"Good",G542&gt;=70,"Average",G542&lt;70,"Poor")</f>
        <v>Poor</v>
      </c>
    </row>
    <row r="543" spans="1:14" x14ac:dyDescent="0.35">
      <c r="A543" s="2">
        <v>542</v>
      </c>
      <c r="B543" s="2" t="s">
        <v>584</v>
      </c>
      <c r="C543" s="2" t="s">
        <v>23</v>
      </c>
      <c r="D543" s="2" t="s">
        <v>15</v>
      </c>
      <c r="E543" s="2" t="s">
        <v>46</v>
      </c>
      <c r="F543" s="2">
        <v>2025</v>
      </c>
      <c r="G543" s="2">
        <v>63</v>
      </c>
      <c r="H543" s="3">
        <v>0.69</v>
      </c>
      <c r="I543" s="3">
        <v>0.34</v>
      </c>
      <c r="J543" s="3">
        <v>0.14000000000000001</v>
      </c>
      <c r="K543" s="3">
        <v>0.05</v>
      </c>
      <c r="L543" s="3">
        <v>0.16</v>
      </c>
      <c r="M543" s="2" t="s">
        <v>17</v>
      </c>
      <c r="N543" s="3" t="str" cm="1">
        <f t="array" ref="N543">_xlfn.IFS(G543&gt;=90,"Excellent",G543&gt;=80,"Good",G543&gt;=70,"Average",G543&lt;70,"Poor")</f>
        <v>Poor</v>
      </c>
    </row>
    <row r="544" spans="1:14" x14ac:dyDescent="0.35">
      <c r="A544" s="2">
        <v>543</v>
      </c>
      <c r="B544" s="2" t="s">
        <v>585</v>
      </c>
      <c r="C544" s="2" t="s">
        <v>59</v>
      </c>
      <c r="D544" s="2" t="s">
        <v>65</v>
      </c>
      <c r="E544" s="2" t="s">
        <v>43</v>
      </c>
      <c r="F544" s="2">
        <v>1996</v>
      </c>
      <c r="G544" s="2">
        <v>76</v>
      </c>
      <c r="H544" s="3">
        <v>1.25</v>
      </c>
      <c r="I544" s="3">
        <v>0.56000000000000005</v>
      </c>
      <c r="J544" s="3">
        <v>0.37</v>
      </c>
      <c r="K544" s="3">
        <v>0.16</v>
      </c>
      <c r="L544" s="3">
        <v>0.16</v>
      </c>
      <c r="M544" s="2" t="s">
        <v>17</v>
      </c>
      <c r="N544" s="3" t="str" cm="1">
        <f t="array" ref="N544">_xlfn.IFS(G544&gt;=90,"Excellent",G544&gt;=80,"Good",G544&gt;=70,"Average",G544&lt;70,"Poor")</f>
        <v>Average</v>
      </c>
    </row>
    <row r="545" spans="1:14" x14ac:dyDescent="0.35">
      <c r="A545" s="2">
        <v>544</v>
      </c>
      <c r="B545" s="2" t="s">
        <v>586</v>
      </c>
      <c r="C545" s="2" t="s">
        <v>23</v>
      </c>
      <c r="D545" s="2" t="s">
        <v>62</v>
      </c>
      <c r="E545" s="2" t="s">
        <v>46</v>
      </c>
      <c r="F545" s="2">
        <v>2023</v>
      </c>
      <c r="G545" s="2">
        <v>74</v>
      </c>
      <c r="H545" s="3">
        <v>0.37</v>
      </c>
      <c r="I545" s="3">
        <v>0.17</v>
      </c>
      <c r="J545" s="3">
        <v>0.13</v>
      </c>
      <c r="K545" s="3">
        <v>0.06</v>
      </c>
      <c r="L545" s="3">
        <v>0.01</v>
      </c>
      <c r="M545" s="2" t="s">
        <v>24</v>
      </c>
      <c r="N545" s="3" t="str" cm="1">
        <f t="array" ref="N545">_xlfn.IFS(G545&gt;=90,"Excellent",G545&gt;=80,"Good",G545&gt;=70,"Average",G545&lt;70,"Poor")</f>
        <v>Average</v>
      </c>
    </row>
    <row r="546" spans="1:14" x14ac:dyDescent="0.35">
      <c r="A546" s="2">
        <v>545</v>
      </c>
      <c r="B546" s="2" t="s">
        <v>587</v>
      </c>
      <c r="C546" s="2" t="s">
        <v>59</v>
      </c>
      <c r="D546" s="2" t="s">
        <v>29</v>
      </c>
      <c r="E546" s="2" t="s">
        <v>46</v>
      </c>
      <c r="F546" s="2">
        <v>1996</v>
      </c>
      <c r="G546" s="2">
        <v>94</v>
      </c>
      <c r="H546" s="3">
        <v>2.23</v>
      </c>
      <c r="I546" s="3">
        <v>1.08</v>
      </c>
      <c r="J546" s="3">
        <v>0.5</v>
      </c>
      <c r="K546" s="3">
        <v>0.19</v>
      </c>
      <c r="L546" s="3">
        <v>0.46</v>
      </c>
      <c r="M546" s="2" t="s">
        <v>27</v>
      </c>
      <c r="N546" s="3" t="str" cm="1">
        <f t="array" ref="N546">_xlfn.IFS(G546&gt;=90,"Excellent",G546&gt;=80,"Good",G546&gt;=70,"Average",G546&lt;70,"Poor")</f>
        <v>Excellent</v>
      </c>
    </row>
    <row r="547" spans="1:14" x14ac:dyDescent="0.35">
      <c r="A547" s="2">
        <v>546</v>
      </c>
      <c r="B547" s="2" t="s">
        <v>588</v>
      </c>
      <c r="C547" s="2" t="s">
        <v>59</v>
      </c>
      <c r="D547" s="2" t="s">
        <v>2</v>
      </c>
      <c r="E547" s="2" t="s">
        <v>54</v>
      </c>
      <c r="F547" s="2">
        <v>1997</v>
      </c>
      <c r="G547" s="2">
        <v>78</v>
      </c>
      <c r="H547" s="3">
        <v>0.13</v>
      </c>
      <c r="I547" s="3">
        <v>0.05</v>
      </c>
      <c r="J547" s="3">
        <v>0.03</v>
      </c>
      <c r="K547" s="3">
        <v>0.01</v>
      </c>
      <c r="L547" s="3">
        <v>0.04</v>
      </c>
      <c r="M547" s="2" t="s">
        <v>24</v>
      </c>
      <c r="N547" s="3" t="str" cm="1">
        <f t="array" ref="N547">_xlfn.IFS(G547&gt;=90,"Excellent",G547&gt;=80,"Good",G547&gt;=70,"Average",G547&lt;70,"Poor")</f>
        <v>Average</v>
      </c>
    </row>
    <row r="548" spans="1:14" x14ac:dyDescent="0.35">
      <c r="A548" s="2">
        <v>547</v>
      </c>
      <c r="B548" s="2" t="s">
        <v>589</v>
      </c>
      <c r="C548" s="2" t="s">
        <v>14</v>
      </c>
      <c r="D548" s="2" t="s">
        <v>65</v>
      </c>
      <c r="E548" s="2" t="s">
        <v>54</v>
      </c>
      <c r="F548" s="2">
        <v>2013</v>
      </c>
      <c r="G548" s="2">
        <v>62</v>
      </c>
      <c r="H548" s="3">
        <v>1.75</v>
      </c>
      <c r="I548" s="3">
        <v>0.79</v>
      </c>
      <c r="J548" s="3">
        <v>0.39</v>
      </c>
      <c r="K548" s="3">
        <v>0.21</v>
      </c>
      <c r="L548" s="3">
        <v>0.36</v>
      </c>
      <c r="M548" s="2" t="s">
        <v>17</v>
      </c>
      <c r="N548" s="3" t="str" cm="1">
        <f t="array" ref="N548">_xlfn.IFS(G548&gt;=90,"Excellent",G548&gt;=80,"Good",G548&gt;=70,"Average",G548&lt;70,"Poor")</f>
        <v>Poor</v>
      </c>
    </row>
    <row r="549" spans="1:14" x14ac:dyDescent="0.35">
      <c r="A549" s="2">
        <v>548</v>
      </c>
      <c r="B549" s="2" t="s">
        <v>590</v>
      </c>
      <c r="C549" s="2" t="s">
        <v>14</v>
      </c>
      <c r="D549" s="2" t="s">
        <v>15</v>
      </c>
      <c r="E549" s="2" t="s">
        <v>60</v>
      </c>
      <c r="F549" s="2">
        <v>2008</v>
      </c>
      <c r="G549" s="2">
        <v>96</v>
      </c>
      <c r="H549" s="3">
        <v>1.08</v>
      </c>
      <c r="I549" s="3">
        <v>0.44</v>
      </c>
      <c r="J549" s="3">
        <v>0.37</v>
      </c>
      <c r="K549" s="3">
        <v>0.21</v>
      </c>
      <c r="L549" s="3">
        <v>0.06</v>
      </c>
      <c r="M549" s="2" t="s">
        <v>17</v>
      </c>
      <c r="N549" s="3" t="str" cm="1">
        <f t="array" ref="N549">_xlfn.IFS(G549&gt;=90,"Excellent",G549&gt;=80,"Good",G549&gt;=70,"Average",G549&lt;70,"Poor")</f>
        <v>Excellent</v>
      </c>
    </row>
    <row r="550" spans="1:14" x14ac:dyDescent="0.35">
      <c r="A550" s="2">
        <v>549</v>
      </c>
      <c r="B550" s="2" t="s">
        <v>591</v>
      </c>
      <c r="C550" s="2" t="s">
        <v>23</v>
      </c>
      <c r="D550" s="2" t="s">
        <v>37</v>
      </c>
      <c r="E550" s="2" t="s">
        <v>74</v>
      </c>
      <c r="F550" s="2">
        <v>2025</v>
      </c>
      <c r="G550" s="2">
        <v>62</v>
      </c>
      <c r="H550" s="3">
        <v>0.21</v>
      </c>
      <c r="I550" s="3">
        <v>0.09</v>
      </c>
      <c r="J550" s="3">
        <v>0.05</v>
      </c>
      <c r="K550" s="3">
        <v>0.04</v>
      </c>
      <c r="L550" s="3">
        <v>0.03</v>
      </c>
      <c r="M550" s="2" t="s">
        <v>24</v>
      </c>
      <c r="N550" s="3" t="str" cm="1">
        <f t="array" ref="N550">_xlfn.IFS(G550&gt;=90,"Excellent",G550&gt;=80,"Good",G550&gt;=70,"Average",G550&lt;70,"Poor")</f>
        <v>Poor</v>
      </c>
    </row>
    <row r="551" spans="1:14" x14ac:dyDescent="0.35">
      <c r="A551" s="2">
        <v>550</v>
      </c>
      <c r="B551" s="2" t="s">
        <v>592</v>
      </c>
      <c r="C551" s="2" t="s">
        <v>19</v>
      </c>
      <c r="D551" s="2" t="s">
        <v>33</v>
      </c>
      <c r="E551" s="2" t="s">
        <v>43</v>
      </c>
      <c r="F551" s="2">
        <v>2018</v>
      </c>
      <c r="G551" s="2">
        <v>96</v>
      </c>
      <c r="H551" s="3">
        <v>0.3</v>
      </c>
      <c r="I551" s="3">
        <v>0.15</v>
      </c>
      <c r="J551" s="3">
        <v>0.09</v>
      </c>
      <c r="K551" s="3">
        <v>0.02</v>
      </c>
      <c r="L551" s="3">
        <v>0.04</v>
      </c>
      <c r="M551" s="2" t="s">
        <v>24</v>
      </c>
      <c r="N551" s="3" t="str" cm="1">
        <f t="array" ref="N551">_xlfn.IFS(G551&gt;=90,"Excellent",G551&gt;=80,"Good",G551&gt;=70,"Average",G551&lt;70,"Poor")</f>
        <v>Excellent</v>
      </c>
    </row>
    <row r="552" spans="1:14" x14ac:dyDescent="0.35">
      <c r="A552" s="2">
        <v>551</v>
      </c>
      <c r="B552" s="2" t="s">
        <v>593</v>
      </c>
      <c r="C552" s="2" t="s">
        <v>59</v>
      </c>
      <c r="D552" s="2" t="s">
        <v>62</v>
      </c>
      <c r="E552" s="2" t="s">
        <v>49</v>
      </c>
      <c r="F552" s="2">
        <v>1999</v>
      </c>
      <c r="G552" s="2">
        <v>67</v>
      </c>
      <c r="H552" s="3">
        <v>0.39</v>
      </c>
      <c r="I552" s="3">
        <v>0.18</v>
      </c>
      <c r="J552" s="3">
        <v>0.08</v>
      </c>
      <c r="K552" s="3">
        <v>0.06</v>
      </c>
      <c r="L552" s="3">
        <v>7.0000000000000007E-2</v>
      </c>
      <c r="M552" s="2" t="s">
        <v>24</v>
      </c>
      <c r="N552" s="3" t="str" cm="1">
        <f t="array" ref="N552">_xlfn.IFS(G552&gt;=90,"Excellent",G552&gt;=80,"Good",G552&gt;=70,"Average",G552&lt;70,"Poor")</f>
        <v>Poor</v>
      </c>
    </row>
    <row r="553" spans="1:14" x14ac:dyDescent="0.35">
      <c r="A553" s="2">
        <v>552</v>
      </c>
      <c r="B553" s="2" t="s">
        <v>594</v>
      </c>
      <c r="C553" s="2" t="s">
        <v>19</v>
      </c>
      <c r="D553" s="2" t="s">
        <v>45</v>
      </c>
      <c r="E553" s="2" t="s">
        <v>43</v>
      </c>
      <c r="F553" s="2">
        <v>2015</v>
      </c>
      <c r="G553" s="2">
        <v>55</v>
      </c>
      <c r="H553" s="3">
        <v>0.49</v>
      </c>
      <c r="I553" s="3">
        <v>0.27</v>
      </c>
      <c r="J553" s="3">
        <v>0.16</v>
      </c>
      <c r="K553" s="3">
        <v>0.03</v>
      </c>
      <c r="L553" s="3">
        <v>0.03</v>
      </c>
      <c r="M553" s="2" t="s">
        <v>24</v>
      </c>
      <c r="N553" s="3" t="str" cm="1">
        <f t="array" ref="N553">_xlfn.IFS(G553&gt;=90,"Excellent",G553&gt;=80,"Good",G553&gt;=70,"Average",G553&lt;70,"Poor")</f>
        <v>Poor</v>
      </c>
    </row>
    <row r="554" spans="1:14" x14ac:dyDescent="0.35">
      <c r="A554" s="2">
        <v>553</v>
      </c>
      <c r="B554" s="2" t="s">
        <v>595</v>
      </c>
      <c r="C554" s="2" t="s">
        <v>57</v>
      </c>
      <c r="D554" s="2" t="s">
        <v>45</v>
      </c>
      <c r="E554" s="2" t="s">
        <v>16</v>
      </c>
      <c r="F554" s="2">
        <v>2011</v>
      </c>
      <c r="G554" s="2">
        <v>82</v>
      </c>
      <c r="H554" s="3">
        <v>0.87</v>
      </c>
      <c r="I554" s="3">
        <v>0.45</v>
      </c>
      <c r="J554" s="3">
        <v>0.25</v>
      </c>
      <c r="K554" s="3">
        <v>0.06</v>
      </c>
      <c r="L554" s="3">
        <v>0.11</v>
      </c>
      <c r="M554" s="2" t="s">
        <v>17</v>
      </c>
      <c r="N554" s="3" t="str" cm="1">
        <f t="array" ref="N554">_xlfn.IFS(G554&gt;=90,"Excellent",G554&gt;=80,"Good",G554&gt;=70,"Average",G554&lt;70,"Poor")</f>
        <v>Good</v>
      </c>
    </row>
    <row r="555" spans="1:14" x14ac:dyDescent="0.35">
      <c r="A555" s="2">
        <v>554</v>
      </c>
      <c r="B555" s="2" t="s">
        <v>596</v>
      </c>
      <c r="C555" s="2" t="s">
        <v>14</v>
      </c>
      <c r="D555" s="2" t="s">
        <v>65</v>
      </c>
      <c r="E555" s="2" t="s">
        <v>43</v>
      </c>
      <c r="F555" s="2">
        <v>2013</v>
      </c>
      <c r="G555" s="2">
        <v>79</v>
      </c>
      <c r="H555" s="3">
        <v>0.2</v>
      </c>
      <c r="I555" s="3">
        <v>0.11</v>
      </c>
      <c r="J555" s="3">
        <v>0.05</v>
      </c>
      <c r="K555" s="3">
        <v>0.03</v>
      </c>
      <c r="L555" s="3">
        <v>0.01</v>
      </c>
      <c r="M555" s="2" t="s">
        <v>24</v>
      </c>
      <c r="N555" s="3" t="str" cm="1">
        <f t="array" ref="N555">_xlfn.IFS(G555&gt;=90,"Excellent",G555&gt;=80,"Good",G555&gt;=70,"Average",G555&lt;70,"Poor")</f>
        <v>Average</v>
      </c>
    </row>
    <row r="556" spans="1:14" x14ac:dyDescent="0.35">
      <c r="A556" s="2">
        <v>555</v>
      </c>
      <c r="B556" s="2" t="s">
        <v>597</v>
      </c>
      <c r="C556" s="2" t="s">
        <v>57</v>
      </c>
      <c r="D556" s="2" t="s">
        <v>37</v>
      </c>
      <c r="E556" s="2" t="s">
        <v>52</v>
      </c>
      <c r="F556" s="2">
        <v>2013</v>
      </c>
      <c r="G556" s="2">
        <v>73</v>
      </c>
      <c r="H556" s="3">
        <v>0.52</v>
      </c>
      <c r="I556" s="3">
        <v>0.27</v>
      </c>
      <c r="J556" s="3">
        <v>0.17</v>
      </c>
      <c r="K556" s="3">
        <v>0.05</v>
      </c>
      <c r="L556" s="3">
        <v>0.03</v>
      </c>
      <c r="M556" s="2" t="s">
        <v>17</v>
      </c>
      <c r="N556" s="3" t="str" cm="1">
        <f t="array" ref="N556">_xlfn.IFS(G556&gt;=90,"Excellent",G556&gt;=80,"Good",G556&gt;=70,"Average",G556&lt;70,"Poor")</f>
        <v>Average</v>
      </c>
    </row>
    <row r="557" spans="1:14" x14ac:dyDescent="0.35">
      <c r="A557" s="2">
        <v>556</v>
      </c>
      <c r="B557" s="2" t="s">
        <v>598</v>
      </c>
      <c r="C557" s="2" t="s">
        <v>23</v>
      </c>
      <c r="D557" s="2" t="s">
        <v>62</v>
      </c>
      <c r="E557" s="2" t="s">
        <v>52</v>
      </c>
      <c r="F557" s="2">
        <v>2025</v>
      </c>
      <c r="G557" s="2">
        <v>64</v>
      </c>
      <c r="H557" s="3">
        <v>1.96</v>
      </c>
      <c r="I557" s="3">
        <v>0.94</v>
      </c>
      <c r="J557" s="3">
        <v>0.65</v>
      </c>
      <c r="K557" s="3">
        <v>0.22</v>
      </c>
      <c r="L557" s="3">
        <v>0.15</v>
      </c>
      <c r="M557" s="2" t="s">
        <v>17</v>
      </c>
      <c r="N557" s="3" t="str" cm="1">
        <f t="array" ref="N557">_xlfn.IFS(G557&gt;=90,"Excellent",G557&gt;=80,"Good",G557&gt;=70,"Average",G557&lt;70,"Poor")</f>
        <v>Poor</v>
      </c>
    </row>
    <row r="558" spans="1:14" x14ac:dyDescent="0.35">
      <c r="A558" s="2">
        <v>557</v>
      </c>
      <c r="B558" s="2" t="s">
        <v>599</v>
      </c>
      <c r="C558" s="2" t="s">
        <v>19</v>
      </c>
      <c r="D558" s="2" t="s">
        <v>15</v>
      </c>
      <c r="E558" s="2" t="s">
        <v>49</v>
      </c>
      <c r="F558" s="2">
        <v>2016</v>
      </c>
      <c r="G558" s="2">
        <v>59</v>
      </c>
      <c r="H558" s="3">
        <v>1.03</v>
      </c>
      <c r="I558" s="3">
        <v>0.46</v>
      </c>
      <c r="J558" s="3">
        <v>0.27</v>
      </c>
      <c r="K558" s="3">
        <v>0.09</v>
      </c>
      <c r="L558" s="3">
        <v>0.21</v>
      </c>
      <c r="M558" s="2" t="s">
        <v>17</v>
      </c>
      <c r="N558" s="3" t="str" cm="1">
        <f t="array" ref="N558">_xlfn.IFS(G558&gt;=90,"Excellent",G558&gt;=80,"Good",G558&gt;=70,"Average",G558&lt;70,"Poor")</f>
        <v>Poor</v>
      </c>
    </row>
    <row r="559" spans="1:14" x14ac:dyDescent="0.35">
      <c r="A559" s="2">
        <v>558</v>
      </c>
      <c r="B559" s="2" t="s">
        <v>600</v>
      </c>
      <c r="C559" s="2" t="s">
        <v>57</v>
      </c>
      <c r="D559" s="2" t="s">
        <v>33</v>
      </c>
      <c r="E559" s="2" t="s">
        <v>43</v>
      </c>
      <c r="F559" s="2">
        <v>2011</v>
      </c>
      <c r="G559" s="2">
        <v>56</v>
      </c>
      <c r="H559" s="3">
        <v>0.91</v>
      </c>
      <c r="I559" s="3">
        <v>0.33</v>
      </c>
      <c r="J559" s="3">
        <v>0.23</v>
      </c>
      <c r="K559" s="3">
        <v>0.17</v>
      </c>
      <c r="L559" s="3">
        <v>0.18</v>
      </c>
      <c r="M559" s="2" t="s">
        <v>17</v>
      </c>
      <c r="N559" s="3" t="str" cm="1">
        <f t="array" ref="N559">_xlfn.IFS(G559&gt;=90,"Excellent",G559&gt;=80,"Good",G559&gt;=70,"Average",G559&lt;70,"Poor")</f>
        <v>Poor</v>
      </c>
    </row>
    <row r="560" spans="1:14" x14ac:dyDescent="0.35">
      <c r="A560" s="2">
        <v>559</v>
      </c>
      <c r="B560" s="2" t="s">
        <v>601</v>
      </c>
      <c r="C560" s="2" t="s">
        <v>31</v>
      </c>
      <c r="D560" s="2" t="s">
        <v>37</v>
      </c>
      <c r="E560" s="2" t="s">
        <v>20</v>
      </c>
      <c r="F560" s="2">
        <v>2002</v>
      </c>
      <c r="G560" s="2">
        <v>81</v>
      </c>
      <c r="H560" s="3">
        <v>0.25</v>
      </c>
      <c r="I560" s="3">
        <v>0.12</v>
      </c>
      <c r="J560" s="3">
        <v>0.05</v>
      </c>
      <c r="K560" s="3">
        <v>0.02</v>
      </c>
      <c r="L560" s="3">
        <v>0.06</v>
      </c>
      <c r="M560" s="2" t="s">
        <v>24</v>
      </c>
      <c r="N560" s="3" t="str" cm="1">
        <f t="array" ref="N560">_xlfn.IFS(G560&gt;=90,"Excellent",G560&gt;=80,"Good",G560&gt;=70,"Average",G560&lt;70,"Poor")</f>
        <v>Good</v>
      </c>
    </row>
    <row r="561" spans="1:14" x14ac:dyDescent="0.35">
      <c r="A561" s="2">
        <v>560</v>
      </c>
      <c r="B561" s="2" t="s">
        <v>602</v>
      </c>
      <c r="C561" s="2" t="s">
        <v>57</v>
      </c>
      <c r="D561" s="2" t="s">
        <v>33</v>
      </c>
      <c r="E561" s="2" t="s">
        <v>74</v>
      </c>
      <c r="F561" s="2">
        <v>2006</v>
      </c>
      <c r="G561" s="2">
        <v>75</v>
      </c>
      <c r="H561" s="3">
        <v>0.72</v>
      </c>
      <c r="I561" s="3">
        <v>0.35</v>
      </c>
      <c r="J561" s="3">
        <v>0.22</v>
      </c>
      <c r="K561" s="3">
        <v>0.05</v>
      </c>
      <c r="L561" s="3">
        <v>0.1</v>
      </c>
      <c r="M561" s="2" t="s">
        <v>17</v>
      </c>
      <c r="N561" s="3" t="str" cm="1">
        <f t="array" ref="N561">_xlfn.IFS(G561&gt;=90,"Excellent",G561&gt;=80,"Good",G561&gt;=70,"Average",G561&lt;70,"Poor")</f>
        <v>Average</v>
      </c>
    </row>
    <row r="562" spans="1:14" x14ac:dyDescent="0.35">
      <c r="A562" s="2">
        <v>561</v>
      </c>
      <c r="B562" s="2" t="s">
        <v>603</v>
      </c>
      <c r="C562" s="2" t="s">
        <v>23</v>
      </c>
      <c r="D562" s="2" t="s">
        <v>37</v>
      </c>
      <c r="E562" s="2" t="s">
        <v>20</v>
      </c>
      <c r="F562" s="2">
        <v>2022</v>
      </c>
      <c r="G562" s="2">
        <v>73</v>
      </c>
      <c r="H562" s="3">
        <v>0.5</v>
      </c>
      <c r="I562" s="3">
        <v>0.21</v>
      </c>
      <c r="J562" s="3">
        <v>0.17</v>
      </c>
      <c r="K562" s="3">
        <v>0.03</v>
      </c>
      <c r="L562" s="3">
        <v>0.09</v>
      </c>
      <c r="M562" s="2" t="s">
        <v>24</v>
      </c>
      <c r="N562" s="3" t="str" cm="1">
        <f t="array" ref="N562">_xlfn.IFS(G562&gt;=90,"Excellent",G562&gt;=80,"Good",G562&gt;=70,"Average",G562&lt;70,"Poor")</f>
        <v>Average</v>
      </c>
    </row>
    <row r="563" spans="1:14" x14ac:dyDescent="0.35">
      <c r="A563" s="2">
        <v>562</v>
      </c>
      <c r="B563" s="2" t="s">
        <v>604</v>
      </c>
      <c r="C563" s="2" t="s">
        <v>31</v>
      </c>
      <c r="D563" s="2" t="s">
        <v>48</v>
      </c>
      <c r="E563" s="2" t="s">
        <v>52</v>
      </c>
      <c r="F563" s="2">
        <v>2004</v>
      </c>
      <c r="G563" s="2">
        <v>88</v>
      </c>
      <c r="H563" s="3">
        <v>4.25</v>
      </c>
      <c r="I563" s="3">
        <v>2.08</v>
      </c>
      <c r="J563" s="3">
        <v>1.36</v>
      </c>
      <c r="K563" s="3">
        <v>0.48</v>
      </c>
      <c r="L563" s="3">
        <v>0.33</v>
      </c>
      <c r="M563" s="2" t="s">
        <v>27</v>
      </c>
      <c r="N563" s="3" t="str" cm="1">
        <f t="array" ref="N563">_xlfn.IFS(G563&gt;=90,"Excellent",G563&gt;=80,"Good",G563&gt;=70,"Average",G563&lt;70,"Poor")</f>
        <v>Good</v>
      </c>
    </row>
    <row r="564" spans="1:14" x14ac:dyDescent="0.35">
      <c r="A564" s="2">
        <v>563</v>
      </c>
      <c r="B564" s="2" t="s">
        <v>605</v>
      </c>
      <c r="C564" s="2" t="s">
        <v>59</v>
      </c>
      <c r="D564" s="2" t="s">
        <v>37</v>
      </c>
      <c r="E564" s="2" t="s">
        <v>20</v>
      </c>
      <c r="F564" s="2">
        <v>1995</v>
      </c>
      <c r="G564" s="2">
        <v>74</v>
      </c>
      <c r="H564" s="3">
        <v>0.56999999999999995</v>
      </c>
      <c r="I564" s="3">
        <v>0.25</v>
      </c>
      <c r="J564" s="3">
        <v>0.2</v>
      </c>
      <c r="K564" s="3">
        <v>7.0000000000000007E-2</v>
      </c>
      <c r="L564" s="3">
        <v>0.05</v>
      </c>
      <c r="M564" s="2" t="s">
        <v>17</v>
      </c>
      <c r="N564" s="3" t="str" cm="1">
        <f t="array" ref="N564">_xlfn.IFS(G564&gt;=90,"Excellent",G564&gt;=80,"Good",G564&gt;=70,"Average",G564&lt;70,"Poor")</f>
        <v>Average</v>
      </c>
    </row>
    <row r="565" spans="1:14" x14ac:dyDescent="0.35">
      <c r="A565" s="2">
        <v>564</v>
      </c>
      <c r="B565" s="2" t="s">
        <v>606</v>
      </c>
      <c r="C565" s="2" t="s">
        <v>14</v>
      </c>
      <c r="D565" s="2" t="s">
        <v>51</v>
      </c>
      <c r="E565" s="2" t="s">
        <v>20</v>
      </c>
      <c r="F565" s="2">
        <v>2008</v>
      </c>
      <c r="G565" s="2">
        <v>63</v>
      </c>
      <c r="H565" s="3">
        <v>1.1200000000000001</v>
      </c>
      <c r="I565" s="3">
        <v>0.44</v>
      </c>
      <c r="J565" s="3">
        <v>0.25</v>
      </c>
      <c r="K565" s="3">
        <v>0.08</v>
      </c>
      <c r="L565" s="3">
        <v>0.35</v>
      </c>
      <c r="M565" s="2" t="s">
        <v>17</v>
      </c>
      <c r="N565" s="3" t="str" cm="1">
        <f t="array" ref="N565">_xlfn.IFS(G565&gt;=90,"Excellent",G565&gt;=80,"Good",G565&gt;=70,"Average",G565&lt;70,"Poor")</f>
        <v>Poor</v>
      </c>
    </row>
    <row r="566" spans="1:14" x14ac:dyDescent="0.35">
      <c r="A566" s="2">
        <v>565</v>
      </c>
      <c r="B566" s="2" t="s">
        <v>607</v>
      </c>
      <c r="C566" s="2" t="s">
        <v>59</v>
      </c>
      <c r="D566" s="2" t="s">
        <v>33</v>
      </c>
      <c r="E566" s="2" t="s">
        <v>49</v>
      </c>
      <c r="F566" s="2">
        <v>1998</v>
      </c>
      <c r="G566" s="2">
        <v>82</v>
      </c>
      <c r="H566" s="3">
        <v>1.03</v>
      </c>
      <c r="I566" s="3">
        <v>0.37</v>
      </c>
      <c r="J566" s="3">
        <v>0.22</v>
      </c>
      <c r="K566" s="3">
        <v>0.09</v>
      </c>
      <c r="L566" s="3">
        <v>0.35</v>
      </c>
      <c r="M566" s="2" t="s">
        <v>17</v>
      </c>
      <c r="N566" s="3" t="str" cm="1">
        <f t="array" ref="N566">_xlfn.IFS(G566&gt;=90,"Excellent",G566&gt;=80,"Good",G566&gt;=70,"Average",G566&lt;70,"Poor")</f>
        <v>Good</v>
      </c>
    </row>
    <row r="567" spans="1:14" x14ac:dyDescent="0.35">
      <c r="A567" s="2">
        <v>566</v>
      </c>
      <c r="B567" s="2" t="s">
        <v>608</v>
      </c>
      <c r="C567" s="2" t="s">
        <v>59</v>
      </c>
      <c r="D567" s="2" t="s">
        <v>15</v>
      </c>
      <c r="E567" s="2" t="s">
        <v>49</v>
      </c>
      <c r="F567" s="2">
        <v>1997</v>
      </c>
      <c r="G567" s="2">
        <v>68</v>
      </c>
      <c r="H567" s="3">
        <v>0.48</v>
      </c>
      <c r="I567" s="3">
        <v>0.23</v>
      </c>
      <c r="J567" s="3">
        <v>0.1</v>
      </c>
      <c r="K567" s="3">
        <v>0.03</v>
      </c>
      <c r="L567" s="3">
        <v>0.12</v>
      </c>
      <c r="M567" s="2" t="s">
        <v>24</v>
      </c>
      <c r="N567" s="3" t="str" cm="1">
        <f t="array" ref="N567">_xlfn.IFS(G567&gt;=90,"Excellent",G567&gt;=80,"Good",G567&gt;=70,"Average",G567&lt;70,"Poor")</f>
        <v>Poor</v>
      </c>
    </row>
    <row r="568" spans="1:14" x14ac:dyDescent="0.35">
      <c r="A568" s="2">
        <v>567</v>
      </c>
      <c r="B568" s="2" t="s">
        <v>609</v>
      </c>
      <c r="C568" s="2" t="s">
        <v>57</v>
      </c>
      <c r="D568" s="2" t="s">
        <v>2</v>
      </c>
      <c r="E568" s="2" t="s">
        <v>43</v>
      </c>
      <c r="F568" s="2">
        <v>2008</v>
      </c>
      <c r="G568" s="2">
        <v>87</v>
      </c>
      <c r="H568" s="3">
        <v>1.47</v>
      </c>
      <c r="I568" s="3">
        <v>0.66</v>
      </c>
      <c r="J568" s="3">
        <v>0.31</v>
      </c>
      <c r="K568" s="3">
        <v>0.25</v>
      </c>
      <c r="L568" s="3">
        <v>0.25</v>
      </c>
      <c r="M568" s="2" t="s">
        <v>17</v>
      </c>
      <c r="N568" s="3" t="str" cm="1">
        <f t="array" ref="N568">_xlfn.IFS(G568&gt;=90,"Excellent",G568&gt;=80,"Good",G568&gt;=70,"Average",G568&lt;70,"Poor")</f>
        <v>Good</v>
      </c>
    </row>
    <row r="569" spans="1:14" x14ac:dyDescent="0.35">
      <c r="A569" s="2">
        <v>568</v>
      </c>
      <c r="B569" s="2" t="s">
        <v>610</v>
      </c>
      <c r="C569" s="2" t="s">
        <v>64</v>
      </c>
      <c r="D569" s="2" t="s">
        <v>65</v>
      </c>
      <c r="E569" s="2" t="s">
        <v>52</v>
      </c>
      <c r="F569" s="2">
        <v>2011</v>
      </c>
      <c r="G569" s="2">
        <v>65</v>
      </c>
      <c r="H569" s="3">
        <v>1.1299999999999999</v>
      </c>
      <c r="I569" s="3">
        <v>0.62</v>
      </c>
      <c r="J569" s="3">
        <v>0.24</v>
      </c>
      <c r="K569" s="3">
        <v>0.09</v>
      </c>
      <c r="L569" s="3">
        <v>0.18</v>
      </c>
      <c r="M569" s="2" t="s">
        <v>17</v>
      </c>
      <c r="N569" s="3" t="str" cm="1">
        <f t="array" ref="N569">_xlfn.IFS(G569&gt;=90,"Excellent",G569&gt;=80,"Good",G569&gt;=70,"Average",G569&lt;70,"Poor")</f>
        <v>Poor</v>
      </c>
    </row>
    <row r="570" spans="1:14" x14ac:dyDescent="0.35">
      <c r="A570" s="2">
        <v>569</v>
      </c>
      <c r="B570" s="2" t="s">
        <v>611</v>
      </c>
      <c r="C570" s="2" t="s">
        <v>23</v>
      </c>
      <c r="D570" s="2" t="s">
        <v>62</v>
      </c>
      <c r="E570" s="2" t="s">
        <v>43</v>
      </c>
      <c r="F570" s="2">
        <v>2026</v>
      </c>
      <c r="G570" s="2">
        <v>83</v>
      </c>
      <c r="H570" s="3">
        <v>0.99</v>
      </c>
      <c r="I570" s="3">
        <v>0.51</v>
      </c>
      <c r="J570" s="3">
        <v>0.34</v>
      </c>
      <c r="K570" s="3">
        <v>0.11</v>
      </c>
      <c r="L570" s="3">
        <v>0.03</v>
      </c>
      <c r="M570" s="2" t="s">
        <v>17</v>
      </c>
      <c r="N570" s="3" t="str" cm="1">
        <f t="array" ref="N570">_xlfn.IFS(G570&gt;=90,"Excellent",G570&gt;=80,"Good",G570&gt;=70,"Average",G570&lt;70,"Poor")</f>
        <v>Good</v>
      </c>
    </row>
    <row r="571" spans="1:14" x14ac:dyDescent="0.35">
      <c r="A571" s="2">
        <v>570</v>
      </c>
      <c r="B571" s="2" t="s">
        <v>612</v>
      </c>
      <c r="C571" s="2" t="s">
        <v>23</v>
      </c>
      <c r="D571" s="2" t="s">
        <v>45</v>
      </c>
      <c r="E571" s="2" t="s">
        <v>49</v>
      </c>
      <c r="F571" s="2">
        <v>2021</v>
      </c>
      <c r="G571" s="2">
        <v>84</v>
      </c>
      <c r="H571" s="3">
        <v>2.9</v>
      </c>
      <c r="I571" s="3">
        <v>1.34</v>
      </c>
      <c r="J571" s="3">
        <v>0.6</v>
      </c>
      <c r="K571" s="3">
        <v>0.28999999999999998</v>
      </c>
      <c r="L571" s="3">
        <v>0.67</v>
      </c>
      <c r="M571" s="2" t="s">
        <v>27</v>
      </c>
      <c r="N571" s="3" t="str" cm="1">
        <f t="array" ref="N571">_xlfn.IFS(G571&gt;=90,"Excellent",G571&gt;=80,"Good",G571&gt;=70,"Average",G571&lt;70,"Poor")</f>
        <v>Good</v>
      </c>
    </row>
    <row r="572" spans="1:14" x14ac:dyDescent="0.35">
      <c r="A572" s="2">
        <v>571</v>
      </c>
      <c r="B572" s="2" t="s">
        <v>613</v>
      </c>
      <c r="C572" s="2" t="s">
        <v>59</v>
      </c>
      <c r="D572" s="2" t="s">
        <v>51</v>
      </c>
      <c r="E572" s="2" t="s">
        <v>16</v>
      </c>
      <c r="F572" s="2">
        <v>1998</v>
      </c>
      <c r="G572" s="2">
        <v>98</v>
      </c>
      <c r="H572" s="3">
        <v>1.52</v>
      </c>
      <c r="I572" s="3">
        <v>0.7</v>
      </c>
      <c r="J572" s="3">
        <v>0.37</v>
      </c>
      <c r="K572" s="3">
        <v>0.27</v>
      </c>
      <c r="L572" s="3">
        <v>0.18</v>
      </c>
      <c r="M572" s="2" t="s">
        <v>17</v>
      </c>
      <c r="N572" s="3" t="str" cm="1">
        <f t="array" ref="N572">_xlfn.IFS(G572&gt;=90,"Excellent",G572&gt;=80,"Good",G572&gt;=70,"Average",G572&lt;70,"Poor")</f>
        <v>Excellent</v>
      </c>
    </row>
    <row r="573" spans="1:14" x14ac:dyDescent="0.35">
      <c r="A573" s="2">
        <v>572</v>
      </c>
      <c r="B573" s="2" t="s">
        <v>614</v>
      </c>
      <c r="C573" s="2" t="s">
        <v>31</v>
      </c>
      <c r="D573" s="2" t="s">
        <v>33</v>
      </c>
      <c r="E573" s="2" t="s">
        <v>16</v>
      </c>
      <c r="F573" s="2">
        <v>2006</v>
      </c>
      <c r="G573" s="2">
        <v>55</v>
      </c>
      <c r="H573" s="3">
        <v>0.22</v>
      </c>
      <c r="I573" s="3">
        <v>0.11</v>
      </c>
      <c r="J573" s="3">
        <v>0.05</v>
      </c>
      <c r="K573" s="3">
        <v>0.02</v>
      </c>
      <c r="L573" s="3">
        <v>0.04</v>
      </c>
      <c r="M573" s="2" t="s">
        <v>24</v>
      </c>
      <c r="N573" s="3" t="str" cm="1">
        <f t="array" ref="N573">_xlfn.IFS(G573&gt;=90,"Excellent",G573&gt;=80,"Good",G573&gt;=70,"Average",G573&lt;70,"Poor")</f>
        <v>Poor</v>
      </c>
    </row>
    <row r="574" spans="1:14" x14ac:dyDescent="0.35">
      <c r="A574" s="2">
        <v>573</v>
      </c>
      <c r="B574" s="2" t="s">
        <v>615</v>
      </c>
      <c r="C574" s="2" t="s">
        <v>19</v>
      </c>
      <c r="D574" s="2" t="s">
        <v>37</v>
      </c>
      <c r="E574" s="2" t="s">
        <v>49</v>
      </c>
      <c r="F574" s="2">
        <v>2014</v>
      </c>
      <c r="G574" s="2">
        <v>76</v>
      </c>
      <c r="H574" s="3">
        <v>0.67</v>
      </c>
      <c r="I574" s="3">
        <v>0.28999999999999998</v>
      </c>
      <c r="J574" s="3">
        <v>0.18</v>
      </c>
      <c r="K574" s="3">
        <v>0.11</v>
      </c>
      <c r="L574" s="3">
        <v>0.09</v>
      </c>
      <c r="M574" s="2" t="s">
        <v>17</v>
      </c>
      <c r="N574" s="3" t="str" cm="1">
        <f t="array" ref="N574">_xlfn.IFS(G574&gt;=90,"Excellent",G574&gt;=80,"Good",G574&gt;=70,"Average",G574&lt;70,"Poor")</f>
        <v>Average</v>
      </c>
    </row>
    <row r="575" spans="1:14" x14ac:dyDescent="0.35">
      <c r="A575" s="2">
        <v>574</v>
      </c>
      <c r="B575" s="2" t="s">
        <v>616</v>
      </c>
      <c r="C575" s="2" t="s">
        <v>64</v>
      </c>
      <c r="D575" s="2" t="s">
        <v>45</v>
      </c>
      <c r="E575" s="2" t="s">
        <v>43</v>
      </c>
      <c r="F575" s="2">
        <v>2015</v>
      </c>
      <c r="G575" s="2">
        <v>80</v>
      </c>
      <c r="H575" s="3">
        <v>0.11</v>
      </c>
      <c r="I575" s="3">
        <v>0.04</v>
      </c>
      <c r="J575" s="3">
        <v>0.03</v>
      </c>
      <c r="K575" s="3">
        <v>0.01</v>
      </c>
      <c r="L575" s="3">
        <v>0.03</v>
      </c>
      <c r="M575" s="2" t="s">
        <v>24</v>
      </c>
      <c r="N575" s="3" t="str" cm="1">
        <f t="array" ref="N575">_xlfn.IFS(G575&gt;=90,"Excellent",G575&gt;=80,"Good",G575&gt;=70,"Average",G575&lt;70,"Poor")</f>
        <v>Good</v>
      </c>
    </row>
    <row r="576" spans="1:14" x14ac:dyDescent="0.35">
      <c r="A576" s="2">
        <v>575</v>
      </c>
      <c r="B576" s="2" t="s">
        <v>617</v>
      </c>
      <c r="C576" s="2" t="s">
        <v>31</v>
      </c>
      <c r="D576" s="2" t="s">
        <v>33</v>
      </c>
      <c r="E576" s="2" t="s">
        <v>20</v>
      </c>
      <c r="F576" s="2">
        <v>2000</v>
      </c>
      <c r="G576" s="2">
        <v>98</v>
      </c>
      <c r="H576" s="3">
        <v>0.84</v>
      </c>
      <c r="I576" s="3">
        <v>0.34</v>
      </c>
      <c r="J576" s="3">
        <v>0.25</v>
      </c>
      <c r="K576" s="3">
        <v>0.14000000000000001</v>
      </c>
      <c r="L576" s="3">
        <v>0.11</v>
      </c>
      <c r="M576" s="2" t="s">
        <v>17</v>
      </c>
      <c r="N576" s="3" t="str" cm="1">
        <f t="array" ref="N576">_xlfn.IFS(G576&gt;=90,"Excellent",G576&gt;=80,"Good",G576&gt;=70,"Average",G576&lt;70,"Poor")</f>
        <v>Excellent</v>
      </c>
    </row>
    <row r="577" spans="1:14" x14ac:dyDescent="0.35">
      <c r="A577" s="2">
        <v>576</v>
      </c>
      <c r="B577" s="2" t="s">
        <v>618</v>
      </c>
      <c r="C577" s="2" t="s">
        <v>57</v>
      </c>
      <c r="D577" s="2" t="s">
        <v>62</v>
      </c>
      <c r="E577" s="2" t="s">
        <v>16</v>
      </c>
      <c r="F577" s="2">
        <v>2012</v>
      </c>
      <c r="G577" s="2">
        <v>97</v>
      </c>
      <c r="H577" s="3">
        <v>0.48</v>
      </c>
      <c r="I577" s="3">
        <v>0.22</v>
      </c>
      <c r="J577" s="3">
        <v>0.15</v>
      </c>
      <c r="K577" s="3">
        <v>0.06</v>
      </c>
      <c r="L577" s="3">
        <v>0.05</v>
      </c>
      <c r="M577" s="2" t="s">
        <v>24</v>
      </c>
      <c r="N577" s="3" t="str" cm="1">
        <f t="array" ref="N577">_xlfn.IFS(G577&gt;=90,"Excellent",G577&gt;=80,"Good",G577&gt;=70,"Average",G577&lt;70,"Poor")</f>
        <v>Excellent</v>
      </c>
    </row>
    <row r="578" spans="1:14" x14ac:dyDescent="0.35">
      <c r="A578" s="2">
        <v>577</v>
      </c>
      <c r="B578" s="2" t="s">
        <v>619</v>
      </c>
      <c r="C578" s="2" t="s">
        <v>59</v>
      </c>
      <c r="D578" s="2" t="s">
        <v>45</v>
      </c>
      <c r="E578" s="2" t="s">
        <v>49</v>
      </c>
      <c r="F578" s="2">
        <v>1995</v>
      </c>
      <c r="G578" s="2">
        <v>75</v>
      </c>
      <c r="H578" s="3">
        <v>1.08</v>
      </c>
      <c r="I578" s="3">
        <v>0.39</v>
      </c>
      <c r="J578" s="3">
        <v>0.24</v>
      </c>
      <c r="K578" s="3">
        <v>0.16</v>
      </c>
      <c r="L578" s="3">
        <v>0.28999999999999998</v>
      </c>
      <c r="M578" s="2" t="s">
        <v>17</v>
      </c>
      <c r="N578" s="3" t="str" cm="1">
        <f t="array" ref="N578">_xlfn.IFS(G578&gt;=90,"Excellent",G578&gt;=80,"Good",G578&gt;=70,"Average",G578&lt;70,"Poor")</f>
        <v>Average</v>
      </c>
    </row>
    <row r="579" spans="1:14" x14ac:dyDescent="0.35">
      <c r="A579" s="2">
        <v>578</v>
      </c>
      <c r="B579" s="2" t="s">
        <v>620</v>
      </c>
      <c r="C579" s="2" t="s">
        <v>64</v>
      </c>
      <c r="D579" s="2" t="s">
        <v>37</v>
      </c>
      <c r="E579" s="2" t="s">
        <v>16</v>
      </c>
      <c r="F579" s="2">
        <v>2015</v>
      </c>
      <c r="G579" s="2">
        <v>74</v>
      </c>
      <c r="H579" s="3">
        <v>0.56000000000000005</v>
      </c>
      <c r="I579" s="3">
        <v>0.21</v>
      </c>
      <c r="J579" s="3">
        <v>0.17</v>
      </c>
      <c r="K579" s="3">
        <v>0.08</v>
      </c>
      <c r="L579" s="3">
        <v>0.1</v>
      </c>
      <c r="M579" s="2" t="s">
        <v>17</v>
      </c>
      <c r="N579" s="3" t="str" cm="1">
        <f t="array" ref="N579">_xlfn.IFS(G579&gt;=90,"Excellent",G579&gt;=80,"Good",G579&gt;=70,"Average",G579&lt;70,"Poor")</f>
        <v>Average</v>
      </c>
    </row>
    <row r="580" spans="1:14" x14ac:dyDescent="0.35">
      <c r="A580" s="2">
        <v>579</v>
      </c>
      <c r="B580" s="2" t="s">
        <v>621</v>
      </c>
      <c r="C580" s="2" t="s">
        <v>57</v>
      </c>
      <c r="D580" s="2" t="s">
        <v>2</v>
      </c>
      <c r="E580" s="2" t="s">
        <v>16</v>
      </c>
      <c r="F580" s="2">
        <v>2012</v>
      </c>
      <c r="G580" s="2">
        <v>65</v>
      </c>
      <c r="H580" s="3">
        <v>0.49</v>
      </c>
      <c r="I580" s="3">
        <v>0.22</v>
      </c>
      <c r="J580" s="3">
        <v>0.17</v>
      </c>
      <c r="K580" s="3">
        <v>7.0000000000000007E-2</v>
      </c>
      <c r="L580" s="3">
        <v>0.03</v>
      </c>
      <c r="M580" s="2" t="s">
        <v>24</v>
      </c>
      <c r="N580" s="3" t="str" cm="1">
        <f t="array" ref="N580">_xlfn.IFS(G580&gt;=90,"Excellent",G580&gt;=80,"Good",G580&gt;=70,"Average",G580&lt;70,"Poor")</f>
        <v>Poor</v>
      </c>
    </row>
    <row r="581" spans="1:14" x14ac:dyDescent="0.35">
      <c r="A581" s="2">
        <v>580</v>
      </c>
      <c r="B581" s="2" t="s">
        <v>622</v>
      </c>
      <c r="C581" s="2" t="s">
        <v>14</v>
      </c>
      <c r="D581" s="2" t="s">
        <v>29</v>
      </c>
      <c r="E581" s="2" t="s">
        <v>20</v>
      </c>
      <c r="F581" s="2">
        <v>2010</v>
      </c>
      <c r="G581" s="2">
        <v>57</v>
      </c>
      <c r="H581" s="3">
        <v>0.24</v>
      </c>
      <c r="I581" s="3">
        <v>0.12</v>
      </c>
      <c r="J581" s="3">
        <v>7.0000000000000007E-2</v>
      </c>
      <c r="K581" s="3">
        <v>0.04</v>
      </c>
      <c r="L581" s="3">
        <v>0.01</v>
      </c>
      <c r="M581" s="2" t="s">
        <v>24</v>
      </c>
      <c r="N581" s="3" t="str" cm="1">
        <f t="array" ref="N581">_xlfn.IFS(G581&gt;=90,"Excellent",G581&gt;=80,"Good",G581&gt;=70,"Average",G581&lt;70,"Poor")</f>
        <v>Poor</v>
      </c>
    </row>
    <row r="582" spans="1:14" x14ac:dyDescent="0.35">
      <c r="A582" s="2">
        <v>581</v>
      </c>
      <c r="B582" s="2" t="s">
        <v>623</v>
      </c>
      <c r="C582" s="2" t="s">
        <v>57</v>
      </c>
      <c r="D582" s="2" t="s">
        <v>45</v>
      </c>
      <c r="E582" s="2" t="s">
        <v>49</v>
      </c>
      <c r="F582" s="2">
        <v>2009</v>
      </c>
      <c r="G582" s="2">
        <v>77</v>
      </c>
      <c r="H582" s="3">
        <v>0.41</v>
      </c>
      <c r="I582" s="3">
        <v>0.16</v>
      </c>
      <c r="J582" s="3">
        <v>0.1</v>
      </c>
      <c r="K582" s="3">
        <v>0.04</v>
      </c>
      <c r="L582" s="3">
        <v>0.11</v>
      </c>
      <c r="M582" s="2" t="s">
        <v>24</v>
      </c>
      <c r="N582" s="3" t="str" cm="1">
        <f t="array" ref="N582">_xlfn.IFS(G582&gt;=90,"Excellent",G582&gt;=80,"Good",G582&gt;=70,"Average",G582&lt;70,"Poor")</f>
        <v>Average</v>
      </c>
    </row>
    <row r="583" spans="1:14" x14ac:dyDescent="0.35">
      <c r="A583" s="2">
        <v>582</v>
      </c>
      <c r="B583" s="2" t="s">
        <v>624</v>
      </c>
      <c r="C583" s="2" t="s">
        <v>59</v>
      </c>
      <c r="D583" s="2" t="s">
        <v>33</v>
      </c>
      <c r="E583" s="2" t="s">
        <v>46</v>
      </c>
      <c r="F583" s="2">
        <v>2000</v>
      </c>
      <c r="G583" s="2">
        <v>65</v>
      </c>
      <c r="H583" s="3">
        <v>0.13</v>
      </c>
      <c r="I583" s="3">
        <v>0.06</v>
      </c>
      <c r="J583" s="3">
        <v>0.04</v>
      </c>
      <c r="K583" s="3">
        <v>0.02</v>
      </c>
      <c r="L583" s="3">
        <v>0.01</v>
      </c>
      <c r="M583" s="2" t="s">
        <v>24</v>
      </c>
      <c r="N583" s="3" t="str" cm="1">
        <f t="array" ref="N583">_xlfn.IFS(G583&gt;=90,"Excellent",G583&gt;=80,"Good",G583&gt;=70,"Average",G583&lt;70,"Poor")</f>
        <v>Poor</v>
      </c>
    </row>
    <row r="584" spans="1:14" x14ac:dyDescent="0.35">
      <c r="A584" s="2">
        <v>583</v>
      </c>
      <c r="B584" s="2" t="s">
        <v>625</v>
      </c>
      <c r="C584" s="2" t="s">
        <v>19</v>
      </c>
      <c r="D584" s="2" t="s">
        <v>15</v>
      </c>
      <c r="E584" s="2" t="s">
        <v>16</v>
      </c>
      <c r="F584" s="2">
        <v>2017</v>
      </c>
      <c r="G584" s="2">
        <v>75</v>
      </c>
      <c r="H584" s="3">
        <v>0.59</v>
      </c>
      <c r="I584" s="3">
        <v>0.27</v>
      </c>
      <c r="J584" s="3">
        <v>0.19</v>
      </c>
      <c r="K584" s="3">
        <v>0.04</v>
      </c>
      <c r="L584" s="3">
        <v>0.09</v>
      </c>
      <c r="M584" s="2" t="s">
        <v>17</v>
      </c>
      <c r="N584" s="3" t="str" cm="1">
        <f t="array" ref="N584">_xlfn.IFS(G584&gt;=90,"Excellent",G584&gt;=80,"Good",G584&gt;=70,"Average",G584&lt;70,"Poor")</f>
        <v>Average</v>
      </c>
    </row>
    <row r="585" spans="1:14" x14ac:dyDescent="0.35">
      <c r="A585" s="2">
        <v>584</v>
      </c>
      <c r="B585" s="2" t="s">
        <v>626</v>
      </c>
      <c r="C585" s="2" t="s">
        <v>57</v>
      </c>
      <c r="D585" s="2" t="s">
        <v>29</v>
      </c>
      <c r="E585" s="2" t="s">
        <v>16</v>
      </c>
      <c r="F585" s="2">
        <v>2007</v>
      </c>
      <c r="G585" s="2">
        <v>65</v>
      </c>
      <c r="H585" s="3">
        <v>0.63</v>
      </c>
      <c r="I585" s="3">
        <v>0.28000000000000003</v>
      </c>
      <c r="J585" s="3">
        <v>0.17</v>
      </c>
      <c r="K585" s="3">
        <v>0.11</v>
      </c>
      <c r="L585" s="3">
        <v>7.0000000000000007E-2</v>
      </c>
      <c r="M585" s="2" t="s">
        <v>17</v>
      </c>
      <c r="N585" s="3" t="str" cm="1">
        <f t="array" ref="N585">_xlfn.IFS(G585&gt;=90,"Excellent",G585&gt;=80,"Good",G585&gt;=70,"Average",G585&lt;70,"Poor")</f>
        <v>Poor</v>
      </c>
    </row>
    <row r="586" spans="1:14" x14ac:dyDescent="0.35">
      <c r="A586" s="2">
        <v>585</v>
      </c>
      <c r="B586" s="2" t="s">
        <v>627</v>
      </c>
      <c r="C586" s="2" t="s">
        <v>64</v>
      </c>
      <c r="D586" s="2" t="s">
        <v>65</v>
      </c>
      <c r="E586" s="2" t="s">
        <v>52</v>
      </c>
      <c r="F586" s="2">
        <v>2012</v>
      </c>
      <c r="G586" s="2">
        <v>58</v>
      </c>
      <c r="H586" s="3">
        <v>0.14000000000000001</v>
      </c>
      <c r="I586" s="3">
        <v>7.0000000000000007E-2</v>
      </c>
      <c r="J586" s="3">
        <v>0.04</v>
      </c>
      <c r="K586" s="3">
        <v>0.03</v>
      </c>
      <c r="L586" s="3">
        <v>0</v>
      </c>
      <c r="M586" s="2" t="s">
        <v>24</v>
      </c>
      <c r="N586" s="3" t="str" cm="1">
        <f t="array" ref="N586">_xlfn.IFS(G586&gt;=90,"Excellent",G586&gt;=80,"Good",G586&gt;=70,"Average",G586&lt;70,"Poor")</f>
        <v>Poor</v>
      </c>
    </row>
    <row r="587" spans="1:14" x14ac:dyDescent="0.35">
      <c r="A587" s="2">
        <v>586</v>
      </c>
      <c r="B587" s="2" t="s">
        <v>628</v>
      </c>
      <c r="C587" s="2" t="s">
        <v>57</v>
      </c>
      <c r="D587" s="2" t="s">
        <v>33</v>
      </c>
      <c r="E587" s="2" t="s">
        <v>74</v>
      </c>
      <c r="F587" s="2">
        <v>2013</v>
      </c>
      <c r="G587" s="2">
        <v>59</v>
      </c>
      <c r="H587" s="3">
        <v>0.6</v>
      </c>
      <c r="I587" s="3">
        <v>0.26</v>
      </c>
      <c r="J587" s="3">
        <v>0.15</v>
      </c>
      <c r="K587" s="3">
        <v>0.04</v>
      </c>
      <c r="L587" s="3">
        <v>0.15</v>
      </c>
      <c r="M587" s="2" t="s">
        <v>17</v>
      </c>
      <c r="N587" s="3" t="str" cm="1">
        <f t="array" ref="N587">_xlfn.IFS(G587&gt;=90,"Excellent",G587&gt;=80,"Good",G587&gt;=70,"Average",G587&lt;70,"Poor")</f>
        <v>Poor</v>
      </c>
    </row>
    <row r="588" spans="1:14" x14ac:dyDescent="0.35">
      <c r="A588" s="2">
        <v>587</v>
      </c>
      <c r="B588" s="2" t="s">
        <v>629</v>
      </c>
      <c r="C588" s="2" t="s">
        <v>64</v>
      </c>
      <c r="D588" s="2" t="s">
        <v>65</v>
      </c>
      <c r="E588" s="2" t="s">
        <v>46</v>
      </c>
      <c r="F588" s="2">
        <v>2015</v>
      </c>
      <c r="G588" s="2">
        <v>75</v>
      </c>
      <c r="H588" s="3">
        <v>0.14000000000000001</v>
      </c>
      <c r="I588" s="3">
        <v>7.0000000000000007E-2</v>
      </c>
      <c r="J588" s="3">
        <v>0.04</v>
      </c>
      <c r="K588" s="3">
        <v>0.02</v>
      </c>
      <c r="L588" s="3">
        <v>0.01</v>
      </c>
      <c r="M588" s="2" t="s">
        <v>24</v>
      </c>
      <c r="N588" s="3" t="str" cm="1">
        <f t="array" ref="N588">_xlfn.IFS(G588&gt;=90,"Excellent",G588&gt;=80,"Good",G588&gt;=70,"Average",G588&lt;70,"Poor")</f>
        <v>Average</v>
      </c>
    </row>
    <row r="589" spans="1:14" x14ac:dyDescent="0.35">
      <c r="A589" s="2">
        <v>588</v>
      </c>
      <c r="B589" s="2" t="s">
        <v>630</v>
      </c>
      <c r="C589" s="2" t="s">
        <v>31</v>
      </c>
      <c r="D589" s="2" t="s">
        <v>65</v>
      </c>
      <c r="E589" s="2" t="s">
        <v>54</v>
      </c>
      <c r="F589" s="2">
        <v>2000</v>
      </c>
      <c r="G589" s="2">
        <v>68</v>
      </c>
      <c r="H589" s="3">
        <v>2.72</v>
      </c>
      <c r="I589" s="3">
        <v>1.46</v>
      </c>
      <c r="J589" s="3">
        <v>0.65</v>
      </c>
      <c r="K589" s="3">
        <v>0.4</v>
      </c>
      <c r="L589" s="3">
        <v>0.21</v>
      </c>
      <c r="M589" s="2" t="s">
        <v>27</v>
      </c>
      <c r="N589" s="3" t="str" cm="1">
        <f t="array" ref="N589">_xlfn.IFS(G589&gt;=90,"Excellent",G589&gt;=80,"Good",G589&gt;=70,"Average",G589&lt;70,"Poor")</f>
        <v>Poor</v>
      </c>
    </row>
    <row r="590" spans="1:14" x14ac:dyDescent="0.35">
      <c r="A590" s="2">
        <v>589</v>
      </c>
      <c r="B590" s="2" t="s">
        <v>631</v>
      </c>
      <c r="C590" s="2" t="s">
        <v>64</v>
      </c>
      <c r="D590" s="2" t="s">
        <v>2</v>
      </c>
      <c r="E590" s="2" t="s">
        <v>20</v>
      </c>
      <c r="F590" s="2">
        <v>2017</v>
      </c>
      <c r="G590" s="2">
        <v>78</v>
      </c>
      <c r="H590" s="3">
        <v>0.27</v>
      </c>
      <c r="I590" s="3">
        <v>0.13</v>
      </c>
      <c r="J590" s="3">
        <v>0.09</v>
      </c>
      <c r="K590" s="3">
        <v>0.05</v>
      </c>
      <c r="L590" s="3">
        <v>0</v>
      </c>
      <c r="M590" s="2" t="s">
        <v>24</v>
      </c>
      <c r="N590" s="3" t="str" cm="1">
        <f t="array" ref="N590">_xlfn.IFS(G590&gt;=90,"Excellent",G590&gt;=80,"Good",G590&gt;=70,"Average",G590&lt;70,"Poor")</f>
        <v>Average</v>
      </c>
    </row>
    <row r="591" spans="1:14" x14ac:dyDescent="0.35">
      <c r="A591" s="2">
        <v>590</v>
      </c>
      <c r="B591" s="2" t="s">
        <v>632</v>
      </c>
      <c r="C591" s="2" t="s">
        <v>19</v>
      </c>
      <c r="D591" s="2" t="s">
        <v>33</v>
      </c>
      <c r="E591" s="2" t="s">
        <v>52</v>
      </c>
      <c r="F591" s="2">
        <v>2018</v>
      </c>
      <c r="G591" s="2">
        <v>73</v>
      </c>
      <c r="H591" s="3">
        <v>1.1000000000000001</v>
      </c>
      <c r="I591" s="3">
        <v>0.52</v>
      </c>
      <c r="J591" s="3">
        <v>0.28999999999999998</v>
      </c>
      <c r="K591" s="3">
        <v>7.0000000000000007E-2</v>
      </c>
      <c r="L591" s="3">
        <v>0.22</v>
      </c>
      <c r="M591" s="2" t="s">
        <v>17</v>
      </c>
      <c r="N591" s="3" t="str" cm="1">
        <f t="array" ref="N591">_xlfn.IFS(G591&gt;=90,"Excellent",G591&gt;=80,"Good",G591&gt;=70,"Average",G591&lt;70,"Poor")</f>
        <v>Average</v>
      </c>
    </row>
    <row r="592" spans="1:14" x14ac:dyDescent="0.35">
      <c r="A592" s="2">
        <v>591</v>
      </c>
      <c r="B592" s="2" t="s">
        <v>633</v>
      </c>
      <c r="C592" s="2" t="s">
        <v>31</v>
      </c>
      <c r="D592" s="2" t="s">
        <v>48</v>
      </c>
      <c r="E592" s="2" t="s">
        <v>46</v>
      </c>
      <c r="F592" s="2">
        <v>2000</v>
      </c>
      <c r="G592" s="2">
        <v>90</v>
      </c>
      <c r="H592" s="3">
        <v>2.46</v>
      </c>
      <c r="I592" s="3">
        <v>1.31</v>
      </c>
      <c r="J592" s="3">
        <v>0.56999999999999995</v>
      </c>
      <c r="K592" s="3">
        <v>0.22</v>
      </c>
      <c r="L592" s="3">
        <v>0.36</v>
      </c>
      <c r="M592" s="2" t="s">
        <v>27</v>
      </c>
      <c r="N592" s="3" t="str" cm="1">
        <f t="array" ref="N592">_xlfn.IFS(G592&gt;=90,"Excellent",G592&gt;=80,"Good",G592&gt;=70,"Average",G592&lt;70,"Poor")</f>
        <v>Excellent</v>
      </c>
    </row>
    <row r="593" spans="1:14" x14ac:dyDescent="0.35">
      <c r="A593" s="2">
        <v>592</v>
      </c>
      <c r="B593" s="2" t="s">
        <v>634</v>
      </c>
      <c r="C593" s="2" t="s">
        <v>59</v>
      </c>
      <c r="D593" s="2" t="s">
        <v>51</v>
      </c>
      <c r="E593" s="2" t="s">
        <v>60</v>
      </c>
      <c r="F593" s="2">
        <v>1997</v>
      </c>
      <c r="G593" s="2">
        <v>86</v>
      </c>
      <c r="H593" s="3">
        <v>0.99</v>
      </c>
      <c r="I593" s="3">
        <v>0.41</v>
      </c>
      <c r="J593" s="3">
        <v>0.21</v>
      </c>
      <c r="K593" s="3">
        <v>0.19</v>
      </c>
      <c r="L593" s="3">
        <v>0.18</v>
      </c>
      <c r="M593" s="2" t="s">
        <v>17</v>
      </c>
      <c r="N593" s="3" t="str" cm="1">
        <f t="array" ref="N593">_xlfn.IFS(G593&gt;=90,"Excellent",G593&gt;=80,"Good",G593&gt;=70,"Average",G593&lt;70,"Poor")</f>
        <v>Good</v>
      </c>
    </row>
    <row r="594" spans="1:14" x14ac:dyDescent="0.35">
      <c r="A594" s="2">
        <v>593</v>
      </c>
      <c r="B594" s="2" t="s">
        <v>635</v>
      </c>
      <c r="C594" s="2" t="s">
        <v>14</v>
      </c>
      <c r="D594" s="2" t="s">
        <v>45</v>
      </c>
      <c r="E594" s="2" t="s">
        <v>54</v>
      </c>
      <c r="F594" s="2">
        <v>2007</v>
      </c>
      <c r="G594" s="2">
        <v>91</v>
      </c>
      <c r="H594" s="3">
        <v>0.72</v>
      </c>
      <c r="I594" s="3">
        <v>0.39</v>
      </c>
      <c r="J594" s="3">
        <v>0.24</v>
      </c>
      <c r="K594" s="3">
        <v>0.06</v>
      </c>
      <c r="L594" s="3">
        <v>0.03</v>
      </c>
      <c r="M594" s="2" t="s">
        <v>17</v>
      </c>
      <c r="N594" s="3" t="str" cm="1">
        <f t="array" ref="N594">_xlfn.IFS(G594&gt;=90,"Excellent",G594&gt;=80,"Good",G594&gt;=70,"Average",G594&lt;70,"Poor")</f>
        <v>Excellent</v>
      </c>
    </row>
    <row r="595" spans="1:14" x14ac:dyDescent="0.35">
      <c r="A595" s="2">
        <v>594</v>
      </c>
      <c r="B595" s="2" t="s">
        <v>636</v>
      </c>
      <c r="C595" s="2" t="s">
        <v>59</v>
      </c>
      <c r="D595" s="2" t="s">
        <v>2</v>
      </c>
      <c r="E595" s="2" t="s">
        <v>49</v>
      </c>
      <c r="F595" s="2">
        <v>1996</v>
      </c>
      <c r="G595" s="2">
        <v>92</v>
      </c>
      <c r="H595" s="3">
        <v>2.67</v>
      </c>
      <c r="I595" s="3">
        <v>1.33</v>
      </c>
      <c r="J595" s="3">
        <v>0.91</v>
      </c>
      <c r="K595" s="3">
        <v>0.22</v>
      </c>
      <c r="L595" s="3">
        <v>0.21</v>
      </c>
      <c r="M595" s="2" t="s">
        <v>27</v>
      </c>
      <c r="N595" s="3" t="str" cm="1">
        <f t="array" ref="N595">_xlfn.IFS(G595&gt;=90,"Excellent",G595&gt;=80,"Good",G595&gt;=70,"Average",G595&lt;70,"Poor")</f>
        <v>Excellent</v>
      </c>
    </row>
    <row r="596" spans="1:14" x14ac:dyDescent="0.35">
      <c r="A596" s="2">
        <v>595</v>
      </c>
      <c r="B596" s="2" t="s">
        <v>637</v>
      </c>
      <c r="C596" s="2" t="s">
        <v>59</v>
      </c>
      <c r="D596" s="2" t="s">
        <v>48</v>
      </c>
      <c r="E596" s="2" t="s">
        <v>46</v>
      </c>
      <c r="F596" s="2">
        <v>1996</v>
      </c>
      <c r="G596" s="2">
        <v>71</v>
      </c>
      <c r="H596" s="3">
        <v>0.48</v>
      </c>
      <c r="I596" s="3">
        <v>0.18</v>
      </c>
      <c r="J596" s="3">
        <v>0.14000000000000001</v>
      </c>
      <c r="K596" s="3">
        <v>0.06</v>
      </c>
      <c r="L596" s="3">
        <v>0.1</v>
      </c>
      <c r="M596" s="2" t="s">
        <v>24</v>
      </c>
      <c r="N596" s="3" t="str" cm="1">
        <f t="array" ref="N596">_xlfn.IFS(G596&gt;=90,"Excellent",G596&gt;=80,"Good",G596&gt;=70,"Average",G596&lt;70,"Poor")</f>
        <v>Average</v>
      </c>
    </row>
    <row r="597" spans="1:14" x14ac:dyDescent="0.35">
      <c r="A597" s="2">
        <v>596</v>
      </c>
      <c r="B597" s="2" t="s">
        <v>638</v>
      </c>
      <c r="C597" s="2" t="s">
        <v>31</v>
      </c>
      <c r="D597" s="2" t="s">
        <v>37</v>
      </c>
      <c r="E597" s="2" t="s">
        <v>43</v>
      </c>
      <c r="F597" s="2">
        <v>2002</v>
      </c>
      <c r="G597" s="2">
        <v>74</v>
      </c>
      <c r="H597" s="3">
        <v>1.86</v>
      </c>
      <c r="I597" s="3">
        <v>0.9</v>
      </c>
      <c r="J597" s="3">
        <v>0.63</v>
      </c>
      <c r="K597" s="3">
        <v>0.28999999999999998</v>
      </c>
      <c r="L597" s="3">
        <v>0.04</v>
      </c>
      <c r="M597" s="2" t="s">
        <v>17</v>
      </c>
      <c r="N597" s="3" t="str" cm="1">
        <f t="array" ref="N597">_xlfn.IFS(G597&gt;=90,"Excellent",G597&gt;=80,"Good",G597&gt;=70,"Average",G597&lt;70,"Poor")</f>
        <v>Average</v>
      </c>
    </row>
    <row r="598" spans="1:14" x14ac:dyDescent="0.35">
      <c r="A598" s="2">
        <v>597</v>
      </c>
      <c r="B598" s="2" t="s">
        <v>639</v>
      </c>
      <c r="C598" s="2" t="s">
        <v>64</v>
      </c>
      <c r="D598" s="2" t="s">
        <v>51</v>
      </c>
      <c r="E598" s="2" t="s">
        <v>60</v>
      </c>
      <c r="F598" s="2">
        <v>2014</v>
      </c>
      <c r="G598" s="2">
        <v>95</v>
      </c>
      <c r="H598" s="3">
        <v>0.9</v>
      </c>
      <c r="I598" s="3">
        <v>0.46</v>
      </c>
      <c r="J598" s="3">
        <v>0.2</v>
      </c>
      <c r="K598" s="3">
        <v>0.16</v>
      </c>
      <c r="L598" s="3">
        <v>0.08</v>
      </c>
      <c r="M598" s="2" t="s">
        <v>17</v>
      </c>
      <c r="N598" s="3" t="str" cm="1">
        <f t="array" ref="N598">_xlfn.IFS(G598&gt;=90,"Excellent",G598&gt;=80,"Good",G598&gt;=70,"Average",G598&lt;70,"Poor")</f>
        <v>Excellent</v>
      </c>
    </row>
    <row r="599" spans="1:14" x14ac:dyDescent="0.35">
      <c r="A599" s="2">
        <v>598</v>
      </c>
      <c r="B599" s="2" t="s">
        <v>640</v>
      </c>
      <c r="C599" s="2" t="s">
        <v>64</v>
      </c>
      <c r="D599" s="2" t="s">
        <v>45</v>
      </c>
      <c r="E599" s="2" t="s">
        <v>20</v>
      </c>
      <c r="F599" s="2">
        <v>2018</v>
      </c>
      <c r="G599" s="2">
        <v>74</v>
      </c>
      <c r="H599" s="3">
        <v>0.19</v>
      </c>
      <c r="I599" s="3">
        <v>0.1</v>
      </c>
      <c r="J599" s="3">
        <v>0.06</v>
      </c>
      <c r="K599" s="3">
        <v>0.03</v>
      </c>
      <c r="L599" s="3">
        <v>0</v>
      </c>
      <c r="M599" s="2" t="s">
        <v>24</v>
      </c>
      <c r="N599" s="3" t="str" cm="1">
        <f t="array" ref="N599">_xlfn.IFS(G599&gt;=90,"Excellent",G599&gt;=80,"Good",G599&gt;=70,"Average",G599&lt;70,"Poor")</f>
        <v>Average</v>
      </c>
    </row>
    <row r="600" spans="1:14" x14ac:dyDescent="0.35">
      <c r="A600" s="2">
        <v>599</v>
      </c>
      <c r="B600" s="2" t="s">
        <v>641</v>
      </c>
      <c r="C600" s="2" t="s">
        <v>64</v>
      </c>
      <c r="D600" s="2" t="s">
        <v>15</v>
      </c>
      <c r="E600" s="2" t="s">
        <v>46</v>
      </c>
      <c r="F600" s="2">
        <v>2017</v>
      </c>
      <c r="G600" s="2">
        <v>85</v>
      </c>
      <c r="H600" s="3">
        <v>0.19</v>
      </c>
      <c r="I600" s="3">
        <v>0.1</v>
      </c>
      <c r="J600" s="3">
        <v>0.04</v>
      </c>
      <c r="K600" s="3">
        <v>0.01</v>
      </c>
      <c r="L600" s="3">
        <v>0.04</v>
      </c>
      <c r="M600" s="2" t="s">
        <v>24</v>
      </c>
      <c r="N600" s="3" t="str" cm="1">
        <f t="array" ref="N600">_xlfn.IFS(G600&gt;=90,"Excellent",G600&gt;=80,"Good",G600&gt;=70,"Average",G600&lt;70,"Poor")</f>
        <v>Good</v>
      </c>
    </row>
    <row r="601" spans="1:14" x14ac:dyDescent="0.35">
      <c r="A601" s="2">
        <v>600</v>
      </c>
      <c r="B601" s="2" t="s">
        <v>642</v>
      </c>
      <c r="C601" s="2" t="s">
        <v>14</v>
      </c>
      <c r="D601" s="2" t="s">
        <v>29</v>
      </c>
      <c r="E601" s="2" t="s">
        <v>41</v>
      </c>
      <c r="F601" s="2">
        <v>2007</v>
      </c>
      <c r="G601" s="2">
        <v>75</v>
      </c>
      <c r="H601" s="3">
        <v>0.55000000000000004</v>
      </c>
      <c r="I601" s="3">
        <v>0.2</v>
      </c>
      <c r="J601" s="3">
        <v>0.16</v>
      </c>
      <c r="K601" s="3">
        <v>0.08</v>
      </c>
      <c r="L601" s="3">
        <v>0.11</v>
      </c>
      <c r="M601" s="2" t="s">
        <v>17</v>
      </c>
      <c r="N601" s="3" t="str" cm="1">
        <f t="array" ref="N601">_xlfn.IFS(G601&gt;=90,"Excellent",G601&gt;=80,"Good",G601&gt;=70,"Average",G601&lt;70,"Poor")</f>
        <v>Average</v>
      </c>
    </row>
    <row r="602" spans="1:14" x14ac:dyDescent="0.35">
      <c r="A602" s="2">
        <v>601</v>
      </c>
      <c r="B602" s="2" t="s">
        <v>643</v>
      </c>
      <c r="C602" s="2" t="s">
        <v>64</v>
      </c>
      <c r="D602" s="2" t="s">
        <v>15</v>
      </c>
      <c r="E602" s="2" t="s">
        <v>41</v>
      </c>
      <c r="F602" s="2">
        <v>2013</v>
      </c>
      <c r="G602" s="2">
        <v>75</v>
      </c>
      <c r="H602" s="3">
        <v>0.34</v>
      </c>
      <c r="I602" s="3">
        <v>0.14000000000000001</v>
      </c>
      <c r="J602" s="3">
        <v>0.1</v>
      </c>
      <c r="K602" s="3">
        <v>0.06</v>
      </c>
      <c r="L602" s="3">
        <v>0.04</v>
      </c>
      <c r="M602" s="2" t="s">
        <v>24</v>
      </c>
      <c r="N602" s="3" t="str" cm="1">
        <f t="array" ref="N602">_xlfn.IFS(G602&gt;=90,"Excellent",G602&gt;=80,"Good",G602&gt;=70,"Average",G602&lt;70,"Poor")</f>
        <v>Average</v>
      </c>
    </row>
    <row r="603" spans="1:14" x14ac:dyDescent="0.35">
      <c r="A603" s="2">
        <v>602</v>
      </c>
      <c r="B603" s="2" t="s">
        <v>644</v>
      </c>
      <c r="C603" s="2" t="s">
        <v>57</v>
      </c>
      <c r="D603" s="2" t="s">
        <v>2</v>
      </c>
      <c r="E603" s="2" t="s">
        <v>41</v>
      </c>
      <c r="F603" s="2">
        <v>2006</v>
      </c>
      <c r="G603" s="2">
        <v>85</v>
      </c>
      <c r="H603" s="3">
        <v>0.93</v>
      </c>
      <c r="I603" s="3">
        <v>0.36</v>
      </c>
      <c r="J603" s="3">
        <v>0.27</v>
      </c>
      <c r="K603" s="3">
        <v>0.09</v>
      </c>
      <c r="L603" s="3">
        <v>0.21</v>
      </c>
      <c r="M603" s="2" t="s">
        <v>17</v>
      </c>
      <c r="N603" s="3" t="str" cm="1">
        <f t="array" ref="N603">_xlfn.IFS(G603&gt;=90,"Excellent",G603&gt;=80,"Good",G603&gt;=70,"Average",G603&lt;70,"Poor")</f>
        <v>Good</v>
      </c>
    </row>
    <row r="604" spans="1:14" x14ac:dyDescent="0.35">
      <c r="A604" s="2">
        <v>603</v>
      </c>
      <c r="B604" s="2" t="s">
        <v>645</v>
      </c>
      <c r="C604" s="2" t="s">
        <v>14</v>
      </c>
      <c r="D604" s="2" t="s">
        <v>33</v>
      </c>
      <c r="E604" s="2" t="s">
        <v>41</v>
      </c>
      <c r="F604" s="2">
        <v>2009</v>
      </c>
      <c r="G604" s="2">
        <v>80</v>
      </c>
      <c r="H604" s="3">
        <v>1.31</v>
      </c>
      <c r="I604" s="3">
        <v>0.69</v>
      </c>
      <c r="J604" s="3">
        <v>0.43</v>
      </c>
      <c r="K604" s="3">
        <v>0.19</v>
      </c>
      <c r="L604" s="3">
        <v>0</v>
      </c>
      <c r="M604" s="2" t="s">
        <v>17</v>
      </c>
      <c r="N604" s="3" t="str" cm="1">
        <f t="array" ref="N604">_xlfn.IFS(G604&gt;=90,"Excellent",G604&gt;=80,"Good",G604&gt;=70,"Average",G604&lt;70,"Poor")</f>
        <v>Good</v>
      </c>
    </row>
    <row r="605" spans="1:14" x14ac:dyDescent="0.35">
      <c r="A605" s="2">
        <v>604</v>
      </c>
      <c r="B605" s="2" t="s">
        <v>646</v>
      </c>
      <c r="C605" s="2" t="s">
        <v>57</v>
      </c>
      <c r="D605" s="2" t="s">
        <v>33</v>
      </c>
      <c r="E605" s="2" t="s">
        <v>16</v>
      </c>
      <c r="F605" s="2">
        <v>2007</v>
      </c>
      <c r="G605" s="2">
        <v>65</v>
      </c>
      <c r="H605" s="3">
        <v>0.56999999999999995</v>
      </c>
      <c r="I605" s="3">
        <v>0.31</v>
      </c>
      <c r="J605" s="3">
        <v>0.13</v>
      </c>
      <c r="K605" s="3">
        <v>0.08</v>
      </c>
      <c r="L605" s="3">
        <v>0.05</v>
      </c>
      <c r="M605" s="2" t="s">
        <v>17</v>
      </c>
      <c r="N605" s="3" t="str" cm="1">
        <f t="array" ref="N605">_xlfn.IFS(G605&gt;=90,"Excellent",G605&gt;=80,"Good",G605&gt;=70,"Average",G605&lt;70,"Poor")</f>
        <v>Poor</v>
      </c>
    </row>
    <row r="606" spans="1:14" x14ac:dyDescent="0.35">
      <c r="A606" s="2">
        <v>605</v>
      </c>
      <c r="B606" s="2" t="s">
        <v>647</v>
      </c>
      <c r="C606" s="2" t="s">
        <v>59</v>
      </c>
      <c r="D606" s="2" t="s">
        <v>65</v>
      </c>
      <c r="E606" s="2" t="s">
        <v>41</v>
      </c>
      <c r="F606" s="2">
        <v>2000</v>
      </c>
      <c r="G606" s="2">
        <v>62</v>
      </c>
      <c r="H606" s="3">
        <v>0.24</v>
      </c>
      <c r="I606" s="3">
        <v>0.13</v>
      </c>
      <c r="J606" s="3">
        <v>0.08</v>
      </c>
      <c r="K606" s="3">
        <v>0.02</v>
      </c>
      <c r="L606" s="3">
        <v>0.01</v>
      </c>
      <c r="M606" s="2" t="s">
        <v>24</v>
      </c>
      <c r="N606" s="3" t="str" cm="1">
        <f t="array" ref="N606">_xlfn.IFS(G606&gt;=90,"Excellent",G606&gt;=80,"Good",G606&gt;=70,"Average",G606&lt;70,"Poor")</f>
        <v>Poor</v>
      </c>
    </row>
    <row r="607" spans="1:14" x14ac:dyDescent="0.35">
      <c r="A607" s="2">
        <v>606</v>
      </c>
      <c r="B607" s="2" t="s">
        <v>648</v>
      </c>
      <c r="C607" s="2" t="s">
        <v>57</v>
      </c>
      <c r="D607" s="2" t="s">
        <v>45</v>
      </c>
      <c r="E607" s="2" t="s">
        <v>54</v>
      </c>
      <c r="F607" s="2">
        <v>2011</v>
      </c>
      <c r="G607" s="2">
        <v>93</v>
      </c>
      <c r="H607" s="3">
        <v>0.74</v>
      </c>
      <c r="I607" s="3">
        <v>0.28999999999999998</v>
      </c>
      <c r="J607" s="3">
        <v>0.24</v>
      </c>
      <c r="K607" s="3">
        <v>0.04</v>
      </c>
      <c r="L607" s="3">
        <v>0.17</v>
      </c>
      <c r="M607" s="2" t="s">
        <v>17</v>
      </c>
      <c r="N607" s="3" t="str" cm="1">
        <f t="array" ref="N607">_xlfn.IFS(G607&gt;=90,"Excellent",G607&gt;=80,"Good",G607&gt;=70,"Average",G607&lt;70,"Poor")</f>
        <v>Excellent</v>
      </c>
    </row>
    <row r="608" spans="1:14" x14ac:dyDescent="0.35">
      <c r="A608" s="2">
        <v>607</v>
      </c>
      <c r="B608" s="2" t="s">
        <v>649</v>
      </c>
      <c r="C608" s="2" t="s">
        <v>14</v>
      </c>
      <c r="D608" s="2" t="s">
        <v>2</v>
      </c>
      <c r="E608" s="2" t="s">
        <v>16</v>
      </c>
      <c r="F608" s="2">
        <v>2009</v>
      </c>
      <c r="G608" s="2">
        <v>92</v>
      </c>
      <c r="H608" s="3">
        <v>1</v>
      </c>
      <c r="I608" s="3">
        <v>0.35</v>
      </c>
      <c r="J608" s="3">
        <v>0.22</v>
      </c>
      <c r="K608" s="3">
        <v>0.1</v>
      </c>
      <c r="L608" s="3">
        <v>0.33</v>
      </c>
      <c r="M608" s="2" t="s">
        <v>17</v>
      </c>
      <c r="N608" s="3" t="str" cm="1">
        <f t="array" ref="N608">_xlfn.IFS(G608&gt;=90,"Excellent",G608&gt;=80,"Good",G608&gt;=70,"Average",G608&lt;70,"Poor")</f>
        <v>Excellent</v>
      </c>
    </row>
    <row r="609" spans="1:14" x14ac:dyDescent="0.35">
      <c r="A609" s="2">
        <v>608</v>
      </c>
      <c r="B609" s="2" t="s">
        <v>650</v>
      </c>
      <c r="C609" s="2" t="s">
        <v>57</v>
      </c>
      <c r="D609" s="2" t="s">
        <v>48</v>
      </c>
      <c r="E609" s="2" t="s">
        <v>41</v>
      </c>
      <c r="F609" s="2">
        <v>2010</v>
      </c>
      <c r="G609" s="2">
        <v>71</v>
      </c>
      <c r="H609" s="3">
        <v>0.11</v>
      </c>
      <c r="I609" s="3">
        <v>0.04</v>
      </c>
      <c r="J609" s="3">
        <v>0.04</v>
      </c>
      <c r="K609" s="3">
        <v>0.01</v>
      </c>
      <c r="L609" s="3">
        <v>0.02</v>
      </c>
      <c r="M609" s="2" t="s">
        <v>24</v>
      </c>
      <c r="N609" s="3" t="str" cm="1">
        <f t="array" ref="N609">_xlfn.IFS(G609&gt;=90,"Excellent",G609&gt;=80,"Good",G609&gt;=70,"Average",G609&lt;70,"Poor")</f>
        <v>Average</v>
      </c>
    </row>
    <row r="610" spans="1:14" x14ac:dyDescent="0.35">
      <c r="A610" s="2">
        <v>609</v>
      </c>
      <c r="B610" s="2" t="s">
        <v>651</v>
      </c>
      <c r="C610" s="2" t="s">
        <v>14</v>
      </c>
      <c r="D610" s="2" t="s">
        <v>15</v>
      </c>
      <c r="E610" s="2" t="s">
        <v>46</v>
      </c>
      <c r="F610" s="2">
        <v>2006</v>
      </c>
      <c r="G610" s="2">
        <v>79</v>
      </c>
      <c r="H610" s="3">
        <v>0.36</v>
      </c>
      <c r="I610" s="3">
        <v>0.15</v>
      </c>
      <c r="J610" s="3">
        <v>0.12</v>
      </c>
      <c r="K610" s="3">
        <v>0.05</v>
      </c>
      <c r="L610" s="3">
        <v>0.04</v>
      </c>
      <c r="M610" s="2" t="s">
        <v>24</v>
      </c>
      <c r="N610" s="3" t="str" cm="1">
        <f t="array" ref="N610">_xlfn.IFS(G610&gt;=90,"Excellent",G610&gt;=80,"Good",G610&gt;=70,"Average",G610&lt;70,"Poor")</f>
        <v>Average</v>
      </c>
    </row>
    <row r="611" spans="1:14" x14ac:dyDescent="0.35">
      <c r="A611" s="2">
        <v>610</v>
      </c>
      <c r="B611" s="2" t="s">
        <v>652</v>
      </c>
      <c r="C611" s="2" t="s">
        <v>23</v>
      </c>
      <c r="D611" s="2" t="s">
        <v>51</v>
      </c>
      <c r="E611" s="2" t="s">
        <v>54</v>
      </c>
      <c r="F611" s="2">
        <v>2021</v>
      </c>
      <c r="G611" s="2">
        <v>76</v>
      </c>
      <c r="H611" s="3">
        <v>1.44</v>
      </c>
      <c r="I611" s="3">
        <v>0.6</v>
      </c>
      <c r="J611" s="3">
        <v>0.4</v>
      </c>
      <c r="K611" s="3">
        <v>0.1</v>
      </c>
      <c r="L611" s="3">
        <v>0.34</v>
      </c>
      <c r="M611" s="2" t="s">
        <v>17</v>
      </c>
      <c r="N611" s="3" t="str" cm="1">
        <f t="array" ref="N611">_xlfn.IFS(G611&gt;=90,"Excellent",G611&gt;=80,"Good",G611&gt;=70,"Average",G611&lt;70,"Poor")</f>
        <v>Average</v>
      </c>
    </row>
    <row r="612" spans="1:14" x14ac:dyDescent="0.35">
      <c r="A612" s="2">
        <v>611</v>
      </c>
      <c r="B612" s="2" t="s">
        <v>653</v>
      </c>
      <c r="C612" s="2" t="s">
        <v>59</v>
      </c>
      <c r="D612" s="2" t="s">
        <v>15</v>
      </c>
      <c r="E612" s="2" t="s">
        <v>54</v>
      </c>
      <c r="F612" s="2">
        <v>1997</v>
      </c>
      <c r="G612" s="2">
        <v>78</v>
      </c>
      <c r="H612" s="3">
        <v>1.01</v>
      </c>
      <c r="I612" s="3">
        <v>0.53</v>
      </c>
      <c r="J612" s="3">
        <v>0.28999999999999998</v>
      </c>
      <c r="K612" s="3">
        <v>0.17</v>
      </c>
      <c r="L612" s="3">
        <v>0.02</v>
      </c>
      <c r="M612" s="2" t="s">
        <v>17</v>
      </c>
      <c r="N612" s="3" t="str" cm="1">
        <f t="array" ref="N612">_xlfn.IFS(G612&gt;=90,"Excellent",G612&gt;=80,"Good",G612&gt;=70,"Average",G612&lt;70,"Poor")</f>
        <v>Average</v>
      </c>
    </row>
    <row r="613" spans="1:14" x14ac:dyDescent="0.35">
      <c r="A613" s="2">
        <v>612</v>
      </c>
      <c r="B613" s="2" t="s">
        <v>654</v>
      </c>
      <c r="C613" s="2" t="s">
        <v>14</v>
      </c>
      <c r="D613" s="2" t="s">
        <v>45</v>
      </c>
      <c r="E613" s="2" t="s">
        <v>54</v>
      </c>
      <c r="F613" s="2">
        <v>2011</v>
      </c>
      <c r="G613" s="2">
        <v>64</v>
      </c>
      <c r="H613" s="3">
        <v>1.8</v>
      </c>
      <c r="I613" s="3">
        <v>0.86</v>
      </c>
      <c r="J613" s="3">
        <v>0.48</v>
      </c>
      <c r="K613" s="3">
        <v>0.14000000000000001</v>
      </c>
      <c r="L613" s="3">
        <v>0.32</v>
      </c>
      <c r="M613" s="2" t="s">
        <v>17</v>
      </c>
      <c r="N613" s="3" t="str" cm="1">
        <f t="array" ref="N613">_xlfn.IFS(G613&gt;=90,"Excellent",G613&gt;=80,"Good",G613&gt;=70,"Average",G613&lt;70,"Poor")</f>
        <v>Poor</v>
      </c>
    </row>
    <row r="614" spans="1:14" x14ac:dyDescent="0.35">
      <c r="A614" s="2">
        <v>613</v>
      </c>
      <c r="B614" s="2" t="s">
        <v>655</v>
      </c>
      <c r="C614" s="2" t="s">
        <v>59</v>
      </c>
      <c r="D614" s="2" t="s">
        <v>37</v>
      </c>
      <c r="E614" s="2" t="s">
        <v>20</v>
      </c>
      <c r="F614" s="2">
        <v>1996</v>
      </c>
      <c r="G614" s="2">
        <v>65</v>
      </c>
      <c r="H614" s="3">
        <v>0.71</v>
      </c>
      <c r="I614" s="3">
        <v>0.39</v>
      </c>
      <c r="J614" s="3">
        <v>0.24</v>
      </c>
      <c r="K614" s="3">
        <v>0.04</v>
      </c>
      <c r="L614" s="3">
        <v>0.04</v>
      </c>
      <c r="M614" s="2" t="s">
        <v>17</v>
      </c>
      <c r="N614" s="3" t="str" cm="1">
        <f t="array" ref="N614">_xlfn.IFS(G614&gt;=90,"Excellent",G614&gt;=80,"Good",G614&gt;=70,"Average",G614&lt;70,"Poor")</f>
        <v>Poor</v>
      </c>
    </row>
    <row r="615" spans="1:14" x14ac:dyDescent="0.35">
      <c r="A615" s="2">
        <v>614</v>
      </c>
      <c r="B615" s="2" t="s">
        <v>656</v>
      </c>
      <c r="C615" s="2" t="s">
        <v>14</v>
      </c>
      <c r="D615" s="2" t="s">
        <v>62</v>
      </c>
      <c r="E615" s="2" t="s">
        <v>16</v>
      </c>
      <c r="F615" s="2">
        <v>2013</v>
      </c>
      <c r="G615" s="2">
        <v>62</v>
      </c>
      <c r="H615" s="3">
        <v>0.44</v>
      </c>
      <c r="I615" s="3">
        <v>0.18</v>
      </c>
      <c r="J615" s="3">
        <v>0.14000000000000001</v>
      </c>
      <c r="K615" s="3">
        <v>7.0000000000000007E-2</v>
      </c>
      <c r="L615" s="3">
        <v>0.05</v>
      </c>
      <c r="M615" s="2" t="s">
        <v>24</v>
      </c>
      <c r="N615" s="3" t="str" cm="1">
        <f t="array" ref="N615">_xlfn.IFS(G615&gt;=90,"Excellent",G615&gt;=80,"Good",G615&gt;=70,"Average",G615&lt;70,"Poor")</f>
        <v>Poor</v>
      </c>
    </row>
    <row r="616" spans="1:14" x14ac:dyDescent="0.35">
      <c r="A616" s="2">
        <v>615</v>
      </c>
      <c r="B616" s="2" t="s">
        <v>657</v>
      </c>
      <c r="C616" s="2" t="s">
        <v>64</v>
      </c>
      <c r="D616" s="2" t="s">
        <v>2</v>
      </c>
      <c r="E616" s="2" t="s">
        <v>74</v>
      </c>
      <c r="F616" s="2">
        <v>2015</v>
      </c>
      <c r="G616" s="2">
        <v>55</v>
      </c>
      <c r="H616" s="3">
        <v>0.32</v>
      </c>
      <c r="I616" s="3">
        <v>0.14000000000000001</v>
      </c>
      <c r="J616" s="3">
        <v>7.0000000000000007E-2</v>
      </c>
      <c r="K616" s="3">
        <v>0.05</v>
      </c>
      <c r="L616" s="3">
        <v>0.06</v>
      </c>
      <c r="M616" s="2" t="s">
        <v>24</v>
      </c>
      <c r="N616" s="3" t="str" cm="1">
        <f t="array" ref="N616">_xlfn.IFS(G616&gt;=90,"Excellent",G616&gt;=80,"Good",G616&gt;=70,"Average",G616&lt;70,"Poor")</f>
        <v>Poor</v>
      </c>
    </row>
    <row r="617" spans="1:14" x14ac:dyDescent="0.35">
      <c r="A617" s="2">
        <v>616</v>
      </c>
      <c r="B617" s="2" t="s">
        <v>658</v>
      </c>
      <c r="C617" s="2" t="s">
        <v>57</v>
      </c>
      <c r="D617" s="2" t="s">
        <v>29</v>
      </c>
      <c r="E617" s="2" t="s">
        <v>20</v>
      </c>
      <c r="F617" s="2">
        <v>2005</v>
      </c>
      <c r="G617" s="2">
        <v>80</v>
      </c>
      <c r="H617" s="3">
        <v>0.05</v>
      </c>
      <c r="I617" s="3">
        <v>0.02</v>
      </c>
      <c r="J617" s="3">
        <v>0.01</v>
      </c>
      <c r="K617" s="3">
        <v>0</v>
      </c>
      <c r="L617" s="3">
        <v>0.02</v>
      </c>
      <c r="M617" s="2" t="s">
        <v>24</v>
      </c>
      <c r="N617" s="3" t="str" cm="1">
        <f t="array" ref="N617">_xlfn.IFS(G617&gt;=90,"Excellent",G617&gt;=80,"Good",G617&gt;=70,"Average",G617&lt;70,"Poor")</f>
        <v>Good</v>
      </c>
    </row>
    <row r="618" spans="1:14" x14ac:dyDescent="0.35">
      <c r="A618" s="2">
        <v>617</v>
      </c>
      <c r="B618" s="2" t="s">
        <v>659</v>
      </c>
      <c r="C618" s="2" t="s">
        <v>19</v>
      </c>
      <c r="D618" s="2" t="s">
        <v>62</v>
      </c>
      <c r="E618" s="2" t="s">
        <v>46</v>
      </c>
      <c r="F618" s="2">
        <v>2020</v>
      </c>
      <c r="G618" s="2">
        <v>76</v>
      </c>
      <c r="H618" s="3">
        <v>2.27</v>
      </c>
      <c r="I618" s="3">
        <v>1.1299999999999999</v>
      </c>
      <c r="J618" s="3">
        <v>0.7</v>
      </c>
      <c r="K618" s="3">
        <v>0.44</v>
      </c>
      <c r="L618" s="3">
        <v>0</v>
      </c>
      <c r="M618" s="2" t="s">
        <v>27</v>
      </c>
      <c r="N618" s="3" t="str" cm="1">
        <f t="array" ref="N618">_xlfn.IFS(G618&gt;=90,"Excellent",G618&gt;=80,"Good",G618&gt;=70,"Average",G618&lt;70,"Poor")</f>
        <v>Average</v>
      </c>
    </row>
    <row r="619" spans="1:14" x14ac:dyDescent="0.35">
      <c r="A619" s="2">
        <v>618</v>
      </c>
      <c r="B619" s="2" t="s">
        <v>660</v>
      </c>
      <c r="C619" s="2" t="s">
        <v>23</v>
      </c>
      <c r="D619" s="2" t="s">
        <v>48</v>
      </c>
      <c r="E619" s="2" t="s">
        <v>20</v>
      </c>
      <c r="F619" s="2">
        <v>2021</v>
      </c>
      <c r="G619" s="2">
        <v>58</v>
      </c>
      <c r="H619" s="3">
        <v>1.69</v>
      </c>
      <c r="I619" s="3">
        <v>0.8</v>
      </c>
      <c r="J619" s="3">
        <v>0.36</v>
      </c>
      <c r="K619" s="3">
        <v>0.15</v>
      </c>
      <c r="L619" s="3">
        <v>0.38</v>
      </c>
      <c r="M619" s="2" t="s">
        <v>17</v>
      </c>
      <c r="N619" s="3" t="str" cm="1">
        <f t="array" ref="N619">_xlfn.IFS(G619&gt;=90,"Excellent",G619&gt;=80,"Good",G619&gt;=70,"Average",G619&lt;70,"Poor")</f>
        <v>Poor</v>
      </c>
    </row>
    <row r="620" spans="1:14" x14ac:dyDescent="0.35">
      <c r="A620" s="2">
        <v>619</v>
      </c>
      <c r="B620" s="2" t="s">
        <v>661</v>
      </c>
      <c r="C620" s="2" t="s">
        <v>31</v>
      </c>
      <c r="D620" s="2" t="s">
        <v>45</v>
      </c>
      <c r="E620" s="2" t="s">
        <v>49</v>
      </c>
      <c r="F620" s="2">
        <v>2006</v>
      </c>
      <c r="G620" s="2">
        <v>65</v>
      </c>
      <c r="H620" s="3">
        <v>0.5</v>
      </c>
      <c r="I620" s="3">
        <v>0.24</v>
      </c>
      <c r="J620" s="3">
        <v>0.17</v>
      </c>
      <c r="K620" s="3">
        <v>0.04</v>
      </c>
      <c r="L620" s="3">
        <v>0.05</v>
      </c>
      <c r="M620" s="2" t="s">
        <v>24</v>
      </c>
      <c r="N620" s="3" t="str" cm="1">
        <f t="array" ref="N620">_xlfn.IFS(G620&gt;=90,"Excellent",G620&gt;=80,"Good",G620&gt;=70,"Average",G620&lt;70,"Poor")</f>
        <v>Poor</v>
      </c>
    </row>
    <row r="621" spans="1:14" x14ac:dyDescent="0.35">
      <c r="A621" s="2">
        <v>620</v>
      </c>
      <c r="B621" s="2" t="s">
        <v>662</v>
      </c>
      <c r="C621" s="2" t="s">
        <v>14</v>
      </c>
      <c r="D621" s="2" t="s">
        <v>45</v>
      </c>
      <c r="E621" s="2" t="s">
        <v>46</v>
      </c>
      <c r="F621" s="2">
        <v>2013</v>
      </c>
      <c r="G621" s="2">
        <v>77</v>
      </c>
      <c r="H621" s="3">
        <v>2.7</v>
      </c>
      <c r="I621" s="3">
        <v>1.22</v>
      </c>
      <c r="J621" s="3">
        <v>0.74</v>
      </c>
      <c r="K621" s="3">
        <v>0.49</v>
      </c>
      <c r="L621" s="3">
        <v>0.25</v>
      </c>
      <c r="M621" s="2" t="s">
        <v>27</v>
      </c>
      <c r="N621" s="3" t="str" cm="1">
        <f t="array" ref="N621">_xlfn.IFS(G621&gt;=90,"Excellent",G621&gt;=80,"Good",G621&gt;=70,"Average",G621&lt;70,"Poor")</f>
        <v>Average</v>
      </c>
    </row>
    <row r="622" spans="1:14" x14ac:dyDescent="0.35">
      <c r="A622" s="2">
        <v>621</v>
      </c>
      <c r="B622" s="2" t="s">
        <v>663</v>
      </c>
      <c r="C622" s="2" t="s">
        <v>19</v>
      </c>
      <c r="D622" s="2" t="s">
        <v>2</v>
      </c>
      <c r="E622" s="2" t="s">
        <v>74</v>
      </c>
      <c r="F622" s="2">
        <v>2017</v>
      </c>
      <c r="G622" s="2">
        <v>82</v>
      </c>
      <c r="H622" s="3">
        <v>2.81</v>
      </c>
      <c r="I622" s="3">
        <v>1.23</v>
      </c>
      <c r="J622" s="3">
        <v>0.74</v>
      </c>
      <c r="K622" s="3">
        <v>0.16</v>
      </c>
      <c r="L622" s="3">
        <v>0.68</v>
      </c>
      <c r="M622" s="2" t="s">
        <v>27</v>
      </c>
      <c r="N622" s="3" t="str" cm="1">
        <f t="array" ref="N622">_xlfn.IFS(G622&gt;=90,"Excellent",G622&gt;=80,"Good",G622&gt;=70,"Average",G622&lt;70,"Poor")</f>
        <v>Good</v>
      </c>
    </row>
    <row r="623" spans="1:14" x14ac:dyDescent="0.35">
      <c r="A623" s="2">
        <v>622</v>
      </c>
      <c r="B623" s="2" t="s">
        <v>664</v>
      </c>
      <c r="C623" s="2" t="s">
        <v>14</v>
      </c>
      <c r="D623" s="2" t="s">
        <v>48</v>
      </c>
      <c r="E623" s="2" t="s">
        <v>54</v>
      </c>
      <c r="F623" s="2">
        <v>2013</v>
      </c>
      <c r="G623" s="2">
        <v>95</v>
      </c>
      <c r="H623" s="3">
        <v>0.76</v>
      </c>
      <c r="I623" s="3">
        <v>0.34</v>
      </c>
      <c r="J623" s="3">
        <v>0.16</v>
      </c>
      <c r="K623" s="3">
        <v>0.13</v>
      </c>
      <c r="L623" s="3">
        <v>0.13</v>
      </c>
      <c r="M623" s="2" t="s">
        <v>17</v>
      </c>
      <c r="N623" s="3" t="str" cm="1">
        <f t="array" ref="N623">_xlfn.IFS(G623&gt;=90,"Excellent",G623&gt;=80,"Good",G623&gt;=70,"Average",G623&lt;70,"Poor")</f>
        <v>Excellent</v>
      </c>
    </row>
    <row r="624" spans="1:14" x14ac:dyDescent="0.35">
      <c r="A624" s="2">
        <v>623</v>
      </c>
      <c r="B624" s="2" t="s">
        <v>665</v>
      </c>
      <c r="C624" s="2" t="s">
        <v>14</v>
      </c>
      <c r="D624" s="2" t="s">
        <v>37</v>
      </c>
      <c r="E624" s="2" t="s">
        <v>46</v>
      </c>
      <c r="F624" s="2">
        <v>2008</v>
      </c>
      <c r="G624" s="2">
        <v>82</v>
      </c>
      <c r="H624" s="3">
        <v>0.42</v>
      </c>
      <c r="I624" s="3">
        <v>0.15</v>
      </c>
      <c r="J624" s="3">
        <v>0.09</v>
      </c>
      <c r="K624" s="3">
        <v>0.03</v>
      </c>
      <c r="L624" s="3">
        <v>0.15</v>
      </c>
      <c r="M624" s="2" t="s">
        <v>24</v>
      </c>
      <c r="N624" s="3" t="str" cm="1">
        <f t="array" ref="N624">_xlfn.IFS(G624&gt;=90,"Excellent",G624&gt;=80,"Good",G624&gt;=70,"Average",G624&lt;70,"Poor")</f>
        <v>Good</v>
      </c>
    </row>
    <row r="625" spans="1:14" x14ac:dyDescent="0.35">
      <c r="A625" s="2">
        <v>624</v>
      </c>
      <c r="B625" s="2" t="s">
        <v>666</v>
      </c>
      <c r="C625" s="2" t="s">
        <v>19</v>
      </c>
      <c r="D625" s="2" t="s">
        <v>33</v>
      </c>
      <c r="E625" s="2" t="s">
        <v>16</v>
      </c>
      <c r="F625" s="2">
        <v>2019</v>
      </c>
      <c r="G625" s="2">
        <v>77</v>
      </c>
      <c r="H625" s="3">
        <v>0.54</v>
      </c>
      <c r="I625" s="3">
        <v>0.24</v>
      </c>
      <c r="J625" s="3">
        <v>0.12</v>
      </c>
      <c r="K625" s="3">
        <v>0.08</v>
      </c>
      <c r="L625" s="3">
        <v>0.1</v>
      </c>
      <c r="M625" s="2" t="s">
        <v>17</v>
      </c>
      <c r="N625" s="3" t="str" cm="1">
        <f t="array" ref="N625">_xlfn.IFS(G625&gt;=90,"Excellent",G625&gt;=80,"Good",G625&gt;=70,"Average",G625&lt;70,"Poor")</f>
        <v>Average</v>
      </c>
    </row>
    <row r="626" spans="1:14" x14ac:dyDescent="0.35">
      <c r="A626" s="2">
        <v>625</v>
      </c>
      <c r="B626" s="2" t="s">
        <v>667</v>
      </c>
      <c r="C626" s="2" t="s">
        <v>31</v>
      </c>
      <c r="D626" s="2" t="s">
        <v>37</v>
      </c>
      <c r="E626" s="2" t="s">
        <v>41</v>
      </c>
      <c r="F626" s="2">
        <v>2006</v>
      </c>
      <c r="G626" s="2">
        <v>81</v>
      </c>
      <c r="H626" s="3">
        <v>1.52</v>
      </c>
      <c r="I626" s="3">
        <v>0.71</v>
      </c>
      <c r="J626" s="3">
        <v>0.41</v>
      </c>
      <c r="K626" s="3">
        <v>0.23</v>
      </c>
      <c r="L626" s="3">
        <v>0.17</v>
      </c>
      <c r="M626" s="2" t="s">
        <v>17</v>
      </c>
      <c r="N626" s="3" t="str" cm="1">
        <f t="array" ref="N626">_xlfn.IFS(G626&gt;=90,"Excellent",G626&gt;=80,"Good",G626&gt;=70,"Average",G626&lt;70,"Poor")</f>
        <v>Good</v>
      </c>
    </row>
    <row r="627" spans="1:14" x14ac:dyDescent="0.35">
      <c r="A627" s="2">
        <v>626</v>
      </c>
      <c r="B627" s="2" t="s">
        <v>668</v>
      </c>
      <c r="C627" s="2" t="s">
        <v>23</v>
      </c>
      <c r="D627" s="2" t="s">
        <v>51</v>
      </c>
      <c r="E627" s="2" t="s">
        <v>43</v>
      </c>
      <c r="F627" s="2">
        <v>2026</v>
      </c>
      <c r="G627" s="2">
        <v>66</v>
      </c>
      <c r="H627" s="3">
        <v>0.24</v>
      </c>
      <c r="I627" s="3">
        <v>0.1</v>
      </c>
      <c r="J627" s="3">
        <v>0.05</v>
      </c>
      <c r="K627" s="3">
        <v>0.03</v>
      </c>
      <c r="L627" s="3">
        <v>0.06</v>
      </c>
      <c r="M627" s="2" t="s">
        <v>24</v>
      </c>
      <c r="N627" s="3" t="str" cm="1">
        <f t="array" ref="N627">_xlfn.IFS(G627&gt;=90,"Excellent",G627&gt;=80,"Good",G627&gt;=70,"Average",G627&lt;70,"Poor")</f>
        <v>Poor</v>
      </c>
    </row>
    <row r="628" spans="1:14" x14ac:dyDescent="0.35">
      <c r="A628" s="2">
        <v>627</v>
      </c>
      <c r="B628" s="2" t="s">
        <v>669</v>
      </c>
      <c r="C628" s="2" t="s">
        <v>59</v>
      </c>
      <c r="D628" s="2" t="s">
        <v>62</v>
      </c>
      <c r="E628" s="2" t="s">
        <v>16</v>
      </c>
      <c r="F628" s="2">
        <v>1996</v>
      </c>
      <c r="G628" s="2">
        <v>86</v>
      </c>
      <c r="H628" s="3">
        <v>0.08</v>
      </c>
      <c r="I628" s="3">
        <v>0.04</v>
      </c>
      <c r="J628" s="3">
        <v>0.02</v>
      </c>
      <c r="K628" s="3">
        <v>0.02</v>
      </c>
      <c r="L628" s="3">
        <v>0</v>
      </c>
      <c r="M628" s="2" t="s">
        <v>24</v>
      </c>
      <c r="N628" s="3" t="str" cm="1">
        <f t="array" ref="N628">_xlfn.IFS(G628&gt;=90,"Excellent",G628&gt;=80,"Good",G628&gt;=70,"Average",G628&lt;70,"Poor")</f>
        <v>Good</v>
      </c>
    </row>
    <row r="629" spans="1:14" x14ac:dyDescent="0.35">
      <c r="A629" s="2">
        <v>628</v>
      </c>
      <c r="B629" s="2" t="s">
        <v>670</v>
      </c>
      <c r="C629" s="2" t="s">
        <v>57</v>
      </c>
      <c r="D629" s="2" t="s">
        <v>51</v>
      </c>
      <c r="E629" s="2" t="s">
        <v>49</v>
      </c>
      <c r="F629" s="2">
        <v>2010</v>
      </c>
      <c r="G629" s="2">
        <v>55</v>
      </c>
      <c r="H629" s="3">
        <v>0.7</v>
      </c>
      <c r="I629" s="3">
        <v>0.25</v>
      </c>
      <c r="J629" s="3">
        <v>0.19</v>
      </c>
      <c r="K629" s="3">
        <v>0.05</v>
      </c>
      <c r="L629" s="3">
        <v>0.21</v>
      </c>
      <c r="M629" s="2" t="s">
        <v>17</v>
      </c>
      <c r="N629" s="3" t="str" cm="1">
        <f t="array" ref="N629">_xlfn.IFS(G629&gt;=90,"Excellent",G629&gt;=80,"Good",G629&gt;=70,"Average",G629&lt;70,"Poor")</f>
        <v>Poor</v>
      </c>
    </row>
    <row r="630" spans="1:14" x14ac:dyDescent="0.35">
      <c r="A630" s="2">
        <v>629</v>
      </c>
      <c r="B630" s="2" t="s">
        <v>671</v>
      </c>
      <c r="C630" s="2" t="s">
        <v>31</v>
      </c>
      <c r="D630" s="2" t="s">
        <v>65</v>
      </c>
      <c r="E630" s="2" t="s">
        <v>52</v>
      </c>
      <c r="F630" s="2">
        <v>2003</v>
      </c>
      <c r="G630" s="2">
        <v>84</v>
      </c>
      <c r="H630" s="3">
        <v>0.26</v>
      </c>
      <c r="I630" s="3">
        <v>0.1</v>
      </c>
      <c r="J630" s="3">
        <v>0.09</v>
      </c>
      <c r="K630" s="3">
        <v>0.04</v>
      </c>
      <c r="L630" s="3">
        <v>0.03</v>
      </c>
      <c r="M630" s="2" t="s">
        <v>24</v>
      </c>
      <c r="N630" s="3" t="str" cm="1">
        <f t="array" ref="N630">_xlfn.IFS(G630&gt;=90,"Excellent",G630&gt;=80,"Good",G630&gt;=70,"Average",G630&lt;70,"Poor")</f>
        <v>Good</v>
      </c>
    </row>
    <row r="631" spans="1:14" x14ac:dyDescent="0.35">
      <c r="A631" s="2">
        <v>630</v>
      </c>
      <c r="B631" s="2" t="s">
        <v>672</v>
      </c>
      <c r="C631" s="2" t="s">
        <v>19</v>
      </c>
      <c r="D631" s="2" t="s">
        <v>62</v>
      </c>
      <c r="E631" s="2" t="s">
        <v>20</v>
      </c>
      <c r="F631" s="2">
        <v>2020</v>
      </c>
      <c r="G631" s="2">
        <v>70</v>
      </c>
      <c r="H631" s="3">
        <v>0.28000000000000003</v>
      </c>
      <c r="I631" s="3">
        <v>0.14000000000000001</v>
      </c>
      <c r="J631" s="3">
        <v>0.06</v>
      </c>
      <c r="K631" s="3">
        <v>0.01</v>
      </c>
      <c r="L631" s="3">
        <v>7.0000000000000007E-2</v>
      </c>
      <c r="M631" s="2" t="s">
        <v>24</v>
      </c>
      <c r="N631" s="3" t="str" cm="1">
        <f t="array" ref="N631">_xlfn.IFS(G631&gt;=90,"Excellent",G631&gt;=80,"Good",G631&gt;=70,"Average",G631&lt;70,"Poor")</f>
        <v>Average</v>
      </c>
    </row>
    <row r="632" spans="1:14" x14ac:dyDescent="0.35">
      <c r="A632" s="2">
        <v>631</v>
      </c>
      <c r="B632" s="2" t="s">
        <v>673</v>
      </c>
      <c r="C632" s="2" t="s">
        <v>57</v>
      </c>
      <c r="D632" s="2" t="s">
        <v>45</v>
      </c>
      <c r="E632" s="2" t="s">
        <v>16</v>
      </c>
      <c r="F632" s="2">
        <v>2010</v>
      </c>
      <c r="G632" s="2">
        <v>90</v>
      </c>
      <c r="H632" s="3">
        <v>0.36</v>
      </c>
      <c r="I632" s="3">
        <v>0.17</v>
      </c>
      <c r="J632" s="3">
        <v>0.12</v>
      </c>
      <c r="K632" s="3">
        <v>7.0000000000000007E-2</v>
      </c>
      <c r="L632" s="3">
        <v>0</v>
      </c>
      <c r="M632" s="2" t="s">
        <v>24</v>
      </c>
      <c r="N632" s="3" t="str" cm="1">
        <f t="array" ref="N632">_xlfn.IFS(G632&gt;=90,"Excellent",G632&gt;=80,"Good",G632&gt;=70,"Average",G632&lt;70,"Poor")</f>
        <v>Excellent</v>
      </c>
    </row>
    <row r="633" spans="1:14" x14ac:dyDescent="0.35">
      <c r="A633" s="2">
        <v>632</v>
      </c>
      <c r="B633" s="2" t="s">
        <v>674</v>
      </c>
      <c r="C633" s="2" t="s">
        <v>64</v>
      </c>
      <c r="D633" s="2" t="s">
        <v>48</v>
      </c>
      <c r="E633" s="2" t="s">
        <v>20</v>
      </c>
      <c r="F633" s="2">
        <v>2018</v>
      </c>
      <c r="G633" s="2">
        <v>82</v>
      </c>
      <c r="H633" s="3">
        <v>0.38</v>
      </c>
      <c r="I633" s="3">
        <v>0.15</v>
      </c>
      <c r="J633" s="3">
        <v>0.11</v>
      </c>
      <c r="K633" s="3">
        <v>7.0000000000000007E-2</v>
      </c>
      <c r="L633" s="3">
        <v>0.05</v>
      </c>
      <c r="M633" s="2" t="s">
        <v>24</v>
      </c>
      <c r="N633" s="3" t="str" cm="1">
        <f t="array" ref="N633">_xlfn.IFS(G633&gt;=90,"Excellent",G633&gt;=80,"Good",G633&gt;=70,"Average",G633&lt;70,"Poor")</f>
        <v>Good</v>
      </c>
    </row>
    <row r="634" spans="1:14" x14ac:dyDescent="0.35">
      <c r="A634" s="2">
        <v>633</v>
      </c>
      <c r="B634" s="2" t="s">
        <v>675</v>
      </c>
      <c r="C634" s="2" t="s">
        <v>59</v>
      </c>
      <c r="D634" s="2" t="s">
        <v>2</v>
      </c>
      <c r="E634" s="2" t="s">
        <v>43</v>
      </c>
      <c r="F634" s="2">
        <v>1998</v>
      </c>
      <c r="G634" s="2">
        <v>56</v>
      </c>
      <c r="H634" s="3">
        <v>0.06</v>
      </c>
      <c r="I634" s="3">
        <v>0.03</v>
      </c>
      <c r="J634" s="3">
        <v>0.02</v>
      </c>
      <c r="K634" s="3">
        <v>0.01</v>
      </c>
      <c r="L634" s="3">
        <v>0</v>
      </c>
      <c r="M634" s="2" t="s">
        <v>24</v>
      </c>
      <c r="N634" s="3" t="str" cm="1">
        <f t="array" ref="N634">_xlfn.IFS(G634&gt;=90,"Excellent",G634&gt;=80,"Good",G634&gt;=70,"Average",G634&lt;70,"Poor")</f>
        <v>Poor</v>
      </c>
    </row>
    <row r="635" spans="1:14" x14ac:dyDescent="0.35">
      <c r="A635" s="2">
        <v>634</v>
      </c>
      <c r="B635" s="2" t="s">
        <v>676</v>
      </c>
      <c r="C635" s="2" t="s">
        <v>23</v>
      </c>
      <c r="D635" s="2" t="s">
        <v>29</v>
      </c>
      <c r="E635" s="2" t="s">
        <v>74</v>
      </c>
      <c r="F635" s="2">
        <v>2025</v>
      </c>
      <c r="G635" s="2">
        <v>73</v>
      </c>
      <c r="H635" s="3">
        <v>1.3</v>
      </c>
      <c r="I635" s="3">
        <v>0.56000000000000005</v>
      </c>
      <c r="J635" s="3">
        <v>0.44</v>
      </c>
      <c r="K635" s="3">
        <v>0.19</v>
      </c>
      <c r="L635" s="3">
        <v>0.11</v>
      </c>
      <c r="M635" s="2" t="s">
        <v>17</v>
      </c>
      <c r="N635" s="3" t="str" cm="1">
        <f t="array" ref="N635">_xlfn.IFS(G635&gt;=90,"Excellent",G635&gt;=80,"Good",G635&gt;=70,"Average",G635&lt;70,"Poor")</f>
        <v>Average</v>
      </c>
    </row>
    <row r="636" spans="1:14" x14ac:dyDescent="0.35">
      <c r="A636" s="2">
        <v>635</v>
      </c>
      <c r="B636" s="2" t="s">
        <v>677</v>
      </c>
      <c r="C636" s="2" t="s">
        <v>14</v>
      </c>
      <c r="D636" s="2" t="s">
        <v>37</v>
      </c>
      <c r="E636" s="2" t="s">
        <v>74</v>
      </c>
      <c r="F636" s="2">
        <v>2013</v>
      </c>
      <c r="G636" s="2">
        <v>60</v>
      </c>
      <c r="H636" s="3">
        <v>0.79</v>
      </c>
      <c r="I636" s="3">
        <v>0.31</v>
      </c>
      <c r="J636" s="3">
        <v>0.23</v>
      </c>
      <c r="K636" s="3">
        <v>0.05</v>
      </c>
      <c r="L636" s="3">
        <v>0.2</v>
      </c>
      <c r="M636" s="2" t="s">
        <v>17</v>
      </c>
      <c r="N636" s="3" t="str" cm="1">
        <f t="array" ref="N636">_xlfn.IFS(G636&gt;=90,"Excellent",G636&gt;=80,"Good",G636&gt;=70,"Average",G636&lt;70,"Poor")</f>
        <v>Poor</v>
      </c>
    </row>
    <row r="637" spans="1:14" x14ac:dyDescent="0.35">
      <c r="A637" s="2">
        <v>636</v>
      </c>
      <c r="B637" s="2" t="s">
        <v>678</v>
      </c>
      <c r="C637" s="2" t="s">
        <v>19</v>
      </c>
      <c r="D637" s="2" t="s">
        <v>51</v>
      </c>
      <c r="E637" s="2" t="s">
        <v>52</v>
      </c>
      <c r="F637" s="2">
        <v>2020</v>
      </c>
      <c r="G637" s="2">
        <v>58</v>
      </c>
      <c r="H637" s="3">
        <v>0.26</v>
      </c>
      <c r="I637" s="3">
        <v>0.1</v>
      </c>
      <c r="J637" s="3">
        <v>0.09</v>
      </c>
      <c r="K637" s="3">
        <v>0.03</v>
      </c>
      <c r="L637" s="3">
        <v>0.04</v>
      </c>
      <c r="M637" s="2" t="s">
        <v>24</v>
      </c>
      <c r="N637" s="3" t="str" cm="1">
        <f t="array" ref="N637">_xlfn.IFS(G637&gt;=90,"Excellent",G637&gt;=80,"Good",G637&gt;=70,"Average",G637&lt;70,"Poor")</f>
        <v>Poor</v>
      </c>
    </row>
    <row r="638" spans="1:14" x14ac:dyDescent="0.35">
      <c r="A638" s="2">
        <v>637</v>
      </c>
      <c r="B638" s="2" t="s">
        <v>679</v>
      </c>
      <c r="C638" s="2" t="s">
        <v>64</v>
      </c>
      <c r="D638" s="2" t="s">
        <v>29</v>
      </c>
      <c r="E638" s="2" t="s">
        <v>41</v>
      </c>
      <c r="F638" s="2">
        <v>2012</v>
      </c>
      <c r="G638" s="2">
        <v>69</v>
      </c>
      <c r="H638" s="3">
        <v>0.14000000000000001</v>
      </c>
      <c r="I638" s="3">
        <v>0.06</v>
      </c>
      <c r="J638" s="3">
        <v>0.04</v>
      </c>
      <c r="K638" s="3">
        <v>0.01</v>
      </c>
      <c r="L638" s="3">
        <v>0.03</v>
      </c>
      <c r="M638" s="2" t="s">
        <v>24</v>
      </c>
      <c r="N638" s="3" t="str" cm="1">
        <f t="array" ref="N638">_xlfn.IFS(G638&gt;=90,"Excellent",G638&gt;=80,"Good",G638&gt;=70,"Average",G638&lt;70,"Poor")</f>
        <v>Poor</v>
      </c>
    </row>
    <row r="639" spans="1:14" x14ac:dyDescent="0.35">
      <c r="A639" s="2">
        <v>638</v>
      </c>
      <c r="B639" s="2" t="s">
        <v>680</v>
      </c>
      <c r="C639" s="2" t="s">
        <v>59</v>
      </c>
      <c r="D639" s="2" t="s">
        <v>51</v>
      </c>
      <c r="E639" s="2" t="s">
        <v>54</v>
      </c>
      <c r="F639" s="2">
        <v>1999</v>
      </c>
      <c r="G639" s="2">
        <v>97</v>
      </c>
      <c r="H639" s="3">
        <v>1.34</v>
      </c>
      <c r="I639" s="3">
        <v>0.5</v>
      </c>
      <c r="J639" s="3">
        <v>0.38</v>
      </c>
      <c r="K639" s="3">
        <v>0.17</v>
      </c>
      <c r="L639" s="3">
        <v>0.28999999999999998</v>
      </c>
      <c r="M639" s="2" t="s">
        <v>17</v>
      </c>
      <c r="N639" s="3" t="str" cm="1">
        <f t="array" ref="N639">_xlfn.IFS(G639&gt;=90,"Excellent",G639&gt;=80,"Good",G639&gt;=70,"Average",G639&lt;70,"Poor")</f>
        <v>Excellent</v>
      </c>
    </row>
    <row r="640" spans="1:14" x14ac:dyDescent="0.35">
      <c r="A640" s="2">
        <v>639</v>
      </c>
      <c r="B640" s="2" t="s">
        <v>681</v>
      </c>
      <c r="C640" s="2" t="s">
        <v>31</v>
      </c>
      <c r="D640" s="2" t="s">
        <v>33</v>
      </c>
      <c r="E640" s="2" t="s">
        <v>52</v>
      </c>
      <c r="F640" s="2">
        <v>2005</v>
      </c>
      <c r="G640" s="2">
        <v>73</v>
      </c>
      <c r="H640" s="3">
        <v>2.56</v>
      </c>
      <c r="I640" s="3">
        <v>1.1499999999999999</v>
      </c>
      <c r="J640" s="3">
        <v>0.85</v>
      </c>
      <c r="K640" s="3">
        <v>0.19</v>
      </c>
      <c r="L640" s="3">
        <v>0.37</v>
      </c>
      <c r="M640" s="2" t="s">
        <v>27</v>
      </c>
      <c r="N640" s="3" t="str" cm="1">
        <f t="array" ref="N640">_xlfn.IFS(G640&gt;=90,"Excellent",G640&gt;=80,"Good",G640&gt;=70,"Average",G640&lt;70,"Poor")</f>
        <v>Average</v>
      </c>
    </row>
    <row r="641" spans="1:14" x14ac:dyDescent="0.35">
      <c r="A641" s="2">
        <v>640</v>
      </c>
      <c r="B641" s="2" t="s">
        <v>682</v>
      </c>
      <c r="C641" s="2" t="s">
        <v>14</v>
      </c>
      <c r="D641" s="2" t="s">
        <v>37</v>
      </c>
      <c r="E641" s="2" t="s">
        <v>49</v>
      </c>
      <c r="F641" s="2">
        <v>2011</v>
      </c>
      <c r="G641" s="2">
        <v>81</v>
      </c>
      <c r="H641" s="3">
        <v>1.57</v>
      </c>
      <c r="I641" s="3">
        <v>0.64</v>
      </c>
      <c r="J641" s="3">
        <v>0.35</v>
      </c>
      <c r="K641" s="3">
        <v>0.14000000000000001</v>
      </c>
      <c r="L641" s="3">
        <v>0.44</v>
      </c>
      <c r="M641" s="2" t="s">
        <v>17</v>
      </c>
      <c r="N641" s="3" t="str" cm="1">
        <f t="array" ref="N641">_xlfn.IFS(G641&gt;=90,"Excellent",G641&gt;=80,"Good",G641&gt;=70,"Average",G641&lt;70,"Poor")</f>
        <v>Good</v>
      </c>
    </row>
    <row r="642" spans="1:14" x14ac:dyDescent="0.35">
      <c r="A642" s="2">
        <v>641</v>
      </c>
      <c r="B642" s="2" t="s">
        <v>683</v>
      </c>
      <c r="C642" s="2" t="s">
        <v>57</v>
      </c>
      <c r="D642" s="2" t="s">
        <v>29</v>
      </c>
      <c r="E642" s="2" t="s">
        <v>52</v>
      </c>
      <c r="F642" s="2">
        <v>2010</v>
      </c>
      <c r="G642" s="2">
        <v>81</v>
      </c>
      <c r="H642" s="3">
        <v>0.8</v>
      </c>
      <c r="I642" s="3">
        <v>0.35</v>
      </c>
      <c r="J642" s="3">
        <v>0.27</v>
      </c>
      <c r="K642" s="3">
        <v>0.15</v>
      </c>
      <c r="L642" s="3">
        <v>0.03</v>
      </c>
      <c r="M642" s="2" t="s">
        <v>17</v>
      </c>
      <c r="N642" s="3" t="str" cm="1">
        <f t="array" ref="N642">_xlfn.IFS(G642&gt;=90,"Excellent",G642&gt;=80,"Good",G642&gt;=70,"Average",G642&lt;70,"Poor")</f>
        <v>Good</v>
      </c>
    </row>
    <row r="643" spans="1:14" x14ac:dyDescent="0.35">
      <c r="A643" s="2">
        <v>642</v>
      </c>
      <c r="B643" s="2" t="s">
        <v>684</v>
      </c>
      <c r="C643" s="2" t="s">
        <v>64</v>
      </c>
      <c r="D643" s="2" t="s">
        <v>29</v>
      </c>
      <c r="E643" s="2" t="s">
        <v>20</v>
      </c>
      <c r="F643" s="2">
        <v>2019</v>
      </c>
      <c r="G643" s="2">
        <v>55</v>
      </c>
      <c r="H643" s="3">
        <v>0.59</v>
      </c>
      <c r="I643" s="3">
        <v>0.21</v>
      </c>
      <c r="J643" s="3">
        <v>0.15</v>
      </c>
      <c r="K643" s="3">
        <v>7.0000000000000007E-2</v>
      </c>
      <c r="L643" s="3">
        <v>0.16</v>
      </c>
      <c r="M643" s="2" t="s">
        <v>17</v>
      </c>
      <c r="N643" s="3" t="str" cm="1">
        <f t="array" ref="N643">_xlfn.IFS(G643&gt;=90,"Excellent",G643&gt;=80,"Good",G643&gt;=70,"Average",G643&lt;70,"Poor")</f>
        <v>Poor</v>
      </c>
    </row>
    <row r="644" spans="1:14" x14ac:dyDescent="0.35">
      <c r="A644" s="2">
        <v>643</v>
      </c>
      <c r="B644" s="2" t="s">
        <v>685</v>
      </c>
      <c r="C644" s="2" t="s">
        <v>64</v>
      </c>
      <c r="D644" s="2" t="s">
        <v>45</v>
      </c>
      <c r="E644" s="2" t="s">
        <v>20</v>
      </c>
      <c r="F644" s="2">
        <v>2013</v>
      </c>
      <c r="G644" s="2">
        <v>97</v>
      </c>
      <c r="H644" s="3">
        <v>0.1</v>
      </c>
      <c r="I644" s="3">
        <v>0.05</v>
      </c>
      <c r="J644" s="3">
        <v>0.03</v>
      </c>
      <c r="K644" s="3">
        <v>0.02</v>
      </c>
      <c r="L644" s="3">
        <v>0</v>
      </c>
      <c r="M644" s="2" t="s">
        <v>24</v>
      </c>
      <c r="N644" s="3" t="str" cm="1">
        <f t="array" ref="N644">_xlfn.IFS(G644&gt;=90,"Excellent",G644&gt;=80,"Good",G644&gt;=70,"Average",G644&lt;70,"Poor")</f>
        <v>Excellent</v>
      </c>
    </row>
    <row r="645" spans="1:14" x14ac:dyDescent="0.35">
      <c r="A645" s="2">
        <v>644</v>
      </c>
      <c r="B645" s="2" t="s">
        <v>686</v>
      </c>
      <c r="C645" s="2" t="s">
        <v>14</v>
      </c>
      <c r="D645" s="2" t="s">
        <v>15</v>
      </c>
      <c r="E645" s="2" t="s">
        <v>46</v>
      </c>
      <c r="F645" s="2">
        <v>2011</v>
      </c>
      <c r="G645" s="2">
        <v>64</v>
      </c>
      <c r="H645" s="3">
        <v>1.03</v>
      </c>
      <c r="I645" s="3">
        <v>0.4</v>
      </c>
      <c r="J645" s="3">
        <v>0.28999999999999998</v>
      </c>
      <c r="K645" s="3">
        <v>0.17</v>
      </c>
      <c r="L645" s="3">
        <v>0.17</v>
      </c>
      <c r="M645" s="2" t="s">
        <v>17</v>
      </c>
      <c r="N645" s="3" t="str" cm="1">
        <f t="array" ref="N645">_xlfn.IFS(G645&gt;=90,"Excellent",G645&gt;=80,"Good",G645&gt;=70,"Average",G645&lt;70,"Poor")</f>
        <v>Poor</v>
      </c>
    </row>
    <row r="646" spans="1:14" x14ac:dyDescent="0.35">
      <c r="A646" s="2">
        <v>645</v>
      </c>
      <c r="B646" s="2" t="s">
        <v>687</v>
      </c>
      <c r="C646" s="2" t="s">
        <v>57</v>
      </c>
      <c r="D646" s="2" t="s">
        <v>29</v>
      </c>
      <c r="E646" s="2" t="s">
        <v>41</v>
      </c>
      <c r="F646" s="2">
        <v>2011</v>
      </c>
      <c r="G646" s="2">
        <v>60</v>
      </c>
      <c r="H646" s="3">
        <v>0.16</v>
      </c>
      <c r="I646" s="3">
        <v>0.08</v>
      </c>
      <c r="J646" s="3">
        <v>0.05</v>
      </c>
      <c r="K646" s="3">
        <v>0.01</v>
      </c>
      <c r="L646" s="3">
        <v>0.02</v>
      </c>
      <c r="M646" s="2" t="s">
        <v>24</v>
      </c>
      <c r="N646" s="3" t="str" cm="1">
        <f t="array" ref="N646">_xlfn.IFS(G646&gt;=90,"Excellent",G646&gt;=80,"Good",G646&gt;=70,"Average",G646&lt;70,"Poor")</f>
        <v>Poor</v>
      </c>
    </row>
    <row r="647" spans="1:14" x14ac:dyDescent="0.35">
      <c r="A647" s="2">
        <v>646</v>
      </c>
      <c r="B647" s="2" t="s">
        <v>688</v>
      </c>
      <c r="C647" s="2" t="s">
        <v>23</v>
      </c>
      <c r="D647" s="2" t="s">
        <v>48</v>
      </c>
      <c r="E647" s="2" t="s">
        <v>49</v>
      </c>
      <c r="F647" s="2">
        <v>2022</v>
      </c>
      <c r="G647" s="2">
        <v>74</v>
      </c>
      <c r="H647" s="3">
        <v>0.84</v>
      </c>
      <c r="I647" s="3">
        <v>0.32</v>
      </c>
      <c r="J647" s="3">
        <v>0.17</v>
      </c>
      <c r="K647" s="3">
        <v>0.14000000000000001</v>
      </c>
      <c r="L647" s="3">
        <v>0.21</v>
      </c>
      <c r="M647" s="2" t="s">
        <v>17</v>
      </c>
      <c r="N647" s="3" t="str" cm="1">
        <f t="array" ref="N647">_xlfn.IFS(G647&gt;=90,"Excellent",G647&gt;=80,"Good",G647&gt;=70,"Average",G647&lt;70,"Poor")</f>
        <v>Average</v>
      </c>
    </row>
    <row r="648" spans="1:14" x14ac:dyDescent="0.35">
      <c r="A648" s="2">
        <v>647</v>
      </c>
      <c r="B648" s="2" t="s">
        <v>689</v>
      </c>
      <c r="C648" s="2" t="s">
        <v>23</v>
      </c>
      <c r="D648" s="2" t="s">
        <v>48</v>
      </c>
      <c r="E648" s="2" t="s">
        <v>46</v>
      </c>
      <c r="F648" s="2">
        <v>2022</v>
      </c>
      <c r="G648" s="2">
        <v>62</v>
      </c>
      <c r="H648" s="3">
        <v>7.07</v>
      </c>
      <c r="I648" s="3">
        <v>2.84</v>
      </c>
      <c r="J648" s="3">
        <v>1.95</v>
      </c>
      <c r="K648" s="3">
        <v>0.48</v>
      </c>
      <c r="L648" s="3">
        <v>1.8</v>
      </c>
      <c r="M648" s="2" t="s">
        <v>21</v>
      </c>
      <c r="N648" s="3" t="str" cm="1">
        <f t="array" ref="N648">_xlfn.IFS(G648&gt;=90,"Excellent",G648&gt;=80,"Good",G648&gt;=70,"Average",G648&lt;70,"Poor")</f>
        <v>Poor</v>
      </c>
    </row>
    <row r="649" spans="1:14" x14ac:dyDescent="0.35">
      <c r="A649" s="2">
        <v>648</v>
      </c>
      <c r="B649" s="2" t="s">
        <v>690</v>
      </c>
      <c r="C649" s="2" t="s">
        <v>64</v>
      </c>
      <c r="D649" s="2" t="s">
        <v>62</v>
      </c>
      <c r="E649" s="2" t="s">
        <v>46</v>
      </c>
      <c r="F649" s="2">
        <v>2012</v>
      </c>
      <c r="G649" s="2">
        <v>84</v>
      </c>
      <c r="H649" s="3">
        <v>0.21</v>
      </c>
      <c r="I649" s="3">
        <v>0.1</v>
      </c>
      <c r="J649" s="3">
        <v>0.06</v>
      </c>
      <c r="K649" s="3">
        <v>0.03</v>
      </c>
      <c r="L649" s="3">
        <v>0.02</v>
      </c>
      <c r="M649" s="2" t="s">
        <v>24</v>
      </c>
      <c r="N649" s="3" t="str" cm="1">
        <f t="array" ref="N649">_xlfn.IFS(G649&gt;=90,"Excellent",G649&gt;=80,"Good",G649&gt;=70,"Average",G649&lt;70,"Poor")</f>
        <v>Good</v>
      </c>
    </row>
    <row r="650" spans="1:14" x14ac:dyDescent="0.35">
      <c r="A650" s="2">
        <v>649</v>
      </c>
      <c r="B650" s="2" t="s">
        <v>691</v>
      </c>
      <c r="C650" s="2" t="s">
        <v>57</v>
      </c>
      <c r="D650" s="2" t="s">
        <v>65</v>
      </c>
      <c r="E650" s="2" t="s">
        <v>74</v>
      </c>
      <c r="F650" s="2">
        <v>2014</v>
      </c>
      <c r="G650" s="2">
        <v>74</v>
      </c>
      <c r="H650" s="3">
        <v>0.1</v>
      </c>
      <c r="I650" s="3">
        <v>0.05</v>
      </c>
      <c r="J650" s="3">
        <v>0.03</v>
      </c>
      <c r="K650" s="3">
        <v>0.02</v>
      </c>
      <c r="L650" s="3">
        <v>0</v>
      </c>
      <c r="M650" s="2" t="s">
        <v>24</v>
      </c>
      <c r="N650" s="3" t="str" cm="1">
        <f t="array" ref="N650">_xlfn.IFS(G650&gt;=90,"Excellent",G650&gt;=80,"Good",G650&gt;=70,"Average",G650&lt;70,"Poor")</f>
        <v>Average</v>
      </c>
    </row>
    <row r="651" spans="1:14" x14ac:dyDescent="0.35">
      <c r="A651" s="2">
        <v>650</v>
      </c>
      <c r="B651" s="2" t="s">
        <v>692</v>
      </c>
      <c r="C651" s="2" t="s">
        <v>23</v>
      </c>
      <c r="D651" s="2" t="s">
        <v>48</v>
      </c>
      <c r="E651" s="2" t="s">
        <v>49</v>
      </c>
      <c r="F651" s="2">
        <v>2025</v>
      </c>
      <c r="G651" s="2">
        <v>92</v>
      </c>
      <c r="H651" s="3">
        <v>0.09</v>
      </c>
      <c r="I651" s="3">
        <v>0.04</v>
      </c>
      <c r="J651" s="3">
        <v>0.02</v>
      </c>
      <c r="K651" s="3">
        <v>0.01</v>
      </c>
      <c r="L651" s="3">
        <v>0.02</v>
      </c>
      <c r="M651" s="2" t="s">
        <v>24</v>
      </c>
      <c r="N651" s="3" t="str" cm="1">
        <f t="array" ref="N651">_xlfn.IFS(G651&gt;=90,"Excellent",G651&gt;=80,"Good",G651&gt;=70,"Average",G651&lt;70,"Poor")</f>
        <v>Excellent</v>
      </c>
    </row>
    <row r="652" spans="1:14" x14ac:dyDescent="0.35">
      <c r="A652" s="2">
        <v>651</v>
      </c>
      <c r="B652" s="2" t="s">
        <v>693</v>
      </c>
      <c r="C652" s="2" t="s">
        <v>19</v>
      </c>
      <c r="D652" s="2" t="s">
        <v>33</v>
      </c>
      <c r="E652" s="2" t="s">
        <v>20</v>
      </c>
      <c r="F652" s="2">
        <v>2014</v>
      </c>
      <c r="G652" s="2">
        <v>85</v>
      </c>
      <c r="H652" s="3">
        <v>0.5</v>
      </c>
      <c r="I652" s="3">
        <v>0.24</v>
      </c>
      <c r="J652" s="3">
        <v>0.13</v>
      </c>
      <c r="K652" s="3">
        <v>7.0000000000000007E-2</v>
      </c>
      <c r="L652" s="3">
        <v>0.06</v>
      </c>
      <c r="M652" s="2" t="s">
        <v>24</v>
      </c>
      <c r="N652" s="3" t="str" cm="1">
        <f t="array" ref="N652">_xlfn.IFS(G652&gt;=90,"Excellent",G652&gt;=80,"Good",G652&gt;=70,"Average",G652&lt;70,"Poor")</f>
        <v>Good</v>
      </c>
    </row>
    <row r="653" spans="1:14" x14ac:dyDescent="0.35">
      <c r="A653" s="2">
        <v>652</v>
      </c>
      <c r="B653" s="2" t="s">
        <v>694</v>
      </c>
      <c r="C653" s="2" t="s">
        <v>64</v>
      </c>
      <c r="D653" s="2" t="s">
        <v>51</v>
      </c>
      <c r="E653" s="2" t="s">
        <v>74</v>
      </c>
      <c r="F653" s="2">
        <v>2017</v>
      </c>
      <c r="G653" s="2">
        <v>83</v>
      </c>
      <c r="H653" s="3">
        <v>0.54</v>
      </c>
      <c r="I653" s="3">
        <v>0.21</v>
      </c>
      <c r="J653" s="3">
        <v>0.15</v>
      </c>
      <c r="K653" s="3">
        <v>7.0000000000000007E-2</v>
      </c>
      <c r="L653" s="3">
        <v>0.11</v>
      </c>
      <c r="M653" s="2" t="s">
        <v>17</v>
      </c>
      <c r="N653" s="3" t="str" cm="1">
        <f t="array" ref="N653">_xlfn.IFS(G653&gt;=90,"Excellent",G653&gt;=80,"Good",G653&gt;=70,"Average",G653&lt;70,"Poor")</f>
        <v>Good</v>
      </c>
    </row>
    <row r="654" spans="1:14" x14ac:dyDescent="0.35">
      <c r="A654" s="2">
        <v>653</v>
      </c>
      <c r="B654" s="2" t="s">
        <v>695</v>
      </c>
      <c r="C654" s="2" t="s">
        <v>19</v>
      </c>
      <c r="D654" s="2" t="s">
        <v>65</v>
      </c>
      <c r="E654" s="2" t="s">
        <v>60</v>
      </c>
      <c r="F654" s="2">
        <v>2015</v>
      </c>
      <c r="G654" s="2">
        <v>84</v>
      </c>
      <c r="H654" s="3">
        <v>0.69</v>
      </c>
      <c r="I654" s="3">
        <v>0.37</v>
      </c>
      <c r="J654" s="3">
        <v>0.18</v>
      </c>
      <c r="K654" s="3">
        <v>0.13</v>
      </c>
      <c r="L654" s="3">
        <v>0.01</v>
      </c>
      <c r="M654" s="2" t="s">
        <v>17</v>
      </c>
      <c r="N654" s="3" t="str" cm="1">
        <f t="array" ref="N654">_xlfn.IFS(G654&gt;=90,"Excellent",G654&gt;=80,"Good",G654&gt;=70,"Average",G654&lt;70,"Poor")</f>
        <v>Good</v>
      </c>
    </row>
    <row r="655" spans="1:14" x14ac:dyDescent="0.35">
      <c r="A655" s="2">
        <v>654</v>
      </c>
      <c r="B655" s="2" t="s">
        <v>696</v>
      </c>
      <c r="C655" s="2" t="s">
        <v>23</v>
      </c>
      <c r="D655" s="2" t="s">
        <v>45</v>
      </c>
      <c r="E655" s="2" t="s">
        <v>49</v>
      </c>
      <c r="F655" s="2">
        <v>2026</v>
      </c>
      <c r="G655" s="2">
        <v>91</v>
      </c>
      <c r="H655" s="3">
        <v>0.37</v>
      </c>
      <c r="I655" s="3">
        <v>0.14000000000000001</v>
      </c>
      <c r="J655" s="3">
        <v>0.09</v>
      </c>
      <c r="K655" s="3">
        <v>0.04</v>
      </c>
      <c r="L655" s="3">
        <v>0.1</v>
      </c>
      <c r="M655" s="2" t="s">
        <v>24</v>
      </c>
      <c r="N655" s="3" t="str" cm="1">
        <f t="array" ref="N655">_xlfn.IFS(G655&gt;=90,"Excellent",G655&gt;=80,"Good",G655&gt;=70,"Average",G655&lt;70,"Poor")</f>
        <v>Excellent</v>
      </c>
    </row>
    <row r="656" spans="1:14" x14ac:dyDescent="0.35">
      <c r="A656" s="2">
        <v>655</v>
      </c>
      <c r="B656" s="2" t="s">
        <v>697</v>
      </c>
      <c r="C656" s="2" t="s">
        <v>14</v>
      </c>
      <c r="D656" s="2" t="s">
        <v>15</v>
      </c>
      <c r="E656" s="2" t="s">
        <v>54</v>
      </c>
      <c r="F656" s="2">
        <v>2013</v>
      </c>
      <c r="G656" s="2">
        <v>81</v>
      </c>
      <c r="H656" s="3">
        <v>1.27</v>
      </c>
      <c r="I656" s="3">
        <v>0.65</v>
      </c>
      <c r="J656" s="3">
        <v>0.35</v>
      </c>
      <c r="K656" s="3">
        <v>0.09</v>
      </c>
      <c r="L656" s="3">
        <v>0.18</v>
      </c>
      <c r="M656" s="2" t="s">
        <v>17</v>
      </c>
      <c r="N656" s="3" t="str" cm="1">
        <f t="array" ref="N656">_xlfn.IFS(G656&gt;=90,"Excellent",G656&gt;=80,"Good",G656&gt;=70,"Average",G656&lt;70,"Poor")</f>
        <v>Good</v>
      </c>
    </row>
    <row r="657" spans="1:14" x14ac:dyDescent="0.35">
      <c r="A657" s="2">
        <v>656</v>
      </c>
      <c r="B657" s="2" t="s">
        <v>698</v>
      </c>
      <c r="C657" s="2" t="s">
        <v>14</v>
      </c>
      <c r="D657" s="2" t="s">
        <v>15</v>
      </c>
      <c r="E657" s="2" t="s">
        <v>41</v>
      </c>
      <c r="F657" s="2">
        <v>2007</v>
      </c>
      <c r="G657" s="2">
        <v>74</v>
      </c>
      <c r="H657" s="3">
        <v>1.63</v>
      </c>
      <c r="I657" s="3">
        <v>0.83</v>
      </c>
      <c r="J657" s="3">
        <v>0.44</v>
      </c>
      <c r="K657" s="3">
        <v>0.26</v>
      </c>
      <c r="L657" s="3">
        <v>0.1</v>
      </c>
      <c r="M657" s="2" t="s">
        <v>17</v>
      </c>
      <c r="N657" s="3" t="str" cm="1">
        <f t="array" ref="N657">_xlfn.IFS(G657&gt;=90,"Excellent",G657&gt;=80,"Good",G657&gt;=70,"Average",G657&lt;70,"Poor")</f>
        <v>Average</v>
      </c>
    </row>
    <row r="658" spans="1:14" x14ac:dyDescent="0.35">
      <c r="A658" s="2">
        <v>657</v>
      </c>
      <c r="B658" s="2" t="s">
        <v>699</v>
      </c>
      <c r="C658" s="2" t="s">
        <v>23</v>
      </c>
      <c r="D658" s="2" t="s">
        <v>37</v>
      </c>
      <c r="E658" s="2" t="s">
        <v>60</v>
      </c>
      <c r="F658" s="2">
        <v>2021</v>
      </c>
      <c r="G658" s="2">
        <v>97</v>
      </c>
      <c r="H658" s="3">
        <v>0.41</v>
      </c>
      <c r="I658" s="3">
        <v>0.17</v>
      </c>
      <c r="J658" s="3">
        <v>0.13</v>
      </c>
      <c r="K658" s="3">
        <v>0.06</v>
      </c>
      <c r="L658" s="3">
        <v>0.05</v>
      </c>
      <c r="M658" s="2" t="s">
        <v>24</v>
      </c>
      <c r="N658" s="3" t="str" cm="1">
        <f t="array" ref="N658">_xlfn.IFS(G658&gt;=90,"Excellent",G658&gt;=80,"Good",G658&gt;=70,"Average",G658&lt;70,"Poor")</f>
        <v>Excellent</v>
      </c>
    </row>
    <row r="659" spans="1:14" x14ac:dyDescent="0.35">
      <c r="A659" s="2">
        <v>658</v>
      </c>
      <c r="B659" s="2" t="s">
        <v>700</v>
      </c>
      <c r="C659" s="2" t="s">
        <v>19</v>
      </c>
      <c r="D659" s="2" t="s">
        <v>48</v>
      </c>
      <c r="E659" s="2" t="s">
        <v>41</v>
      </c>
      <c r="F659" s="2">
        <v>2019</v>
      </c>
      <c r="G659" s="2">
        <v>57</v>
      </c>
      <c r="H659" s="3">
        <v>2.27</v>
      </c>
      <c r="I659" s="3">
        <v>1.19</v>
      </c>
      <c r="J659" s="3">
        <v>0.69</v>
      </c>
      <c r="K659" s="3">
        <v>0.31</v>
      </c>
      <c r="L659" s="3">
        <v>0.08</v>
      </c>
      <c r="M659" s="2" t="s">
        <v>27</v>
      </c>
      <c r="N659" s="3" t="str" cm="1">
        <f t="array" ref="N659">_xlfn.IFS(G659&gt;=90,"Excellent",G659&gt;=80,"Good",G659&gt;=70,"Average",G659&lt;70,"Poor")</f>
        <v>Poor</v>
      </c>
    </row>
    <row r="660" spans="1:14" x14ac:dyDescent="0.35">
      <c r="A660" s="2">
        <v>659</v>
      </c>
      <c r="B660" s="2" t="s">
        <v>701</v>
      </c>
      <c r="C660" s="2" t="s">
        <v>64</v>
      </c>
      <c r="D660" s="2" t="s">
        <v>65</v>
      </c>
      <c r="E660" s="2" t="s">
        <v>49</v>
      </c>
      <c r="F660" s="2">
        <v>2015</v>
      </c>
      <c r="G660" s="2">
        <v>67</v>
      </c>
      <c r="H660" s="3">
        <v>1.37</v>
      </c>
      <c r="I660" s="3">
        <v>0.69</v>
      </c>
      <c r="J660" s="3">
        <v>0.47</v>
      </c>
      <c r="K660" s="3">
        <v>0.18</v>
      </c>
      <c r="L660" s="3">
        <v>0.03</v>
      </c>
      <c r="M660" s="2" t="s">
        <v>17</v>
      </c>
      <c r="N660" s="3" t="str" cm="1">
        <f t="array" ref="N660">_xlfn.IFS(G660&gt;=90,"Excellent",G660&gt;=80,"Good",G660&gt;=70,"Average",G660&lt;70,"Poor")</f>
        <v>Poor</v>
      </c>
    </row>
    <row r="661" spans="1:14" x14ac:dyDescent="0.35">
      <c r="A661" s="2">
        <v>660</v>
      </c>
      <c r="B661" s="2" t="s">
        <v>702</v>
      </c>
      <c r="C661" s="2" t="s">
        <v>64</v>
      </c>
      <c r="D661" s="2" t="s">
        <v>65</v>
      </c>
      <c r="E661" s="2" t="s">
        <v>20</v>
      </c>
      <c r="F661" s="2">
        <v>2018</v>
      </c>
      <c r="G661" s="2">
        <v>66</v>
      </c>
      <c r="H661" s="3">
        <v>0.79</v>
      </c>
      <c r="I661" s="3">
        <v>0.31</v>
      </c>
      <c r="J661" s="3">
        <v>0.26</v>
      </c>
      <c r="K661" s="3">
        <v>0.14000000000000001</v>
      </c>
      <c r="L661" s="3">
        <v>0.08</v>
      </c>
      <c r="M661" s="2" t="s">
        <v>17</v>
      </c>
      <c r="N661" s="3" t="str" cm="1">
        <f t="array" ref="N661">_xlfn.IFS(G661&gt;=90,"Excellent",G661&gt;=80,"Good",G661&gt;=70,"Average",G661&lt;70,"Poor")</f>
        <v>Poor</v>
      </c>
    </row>
    <row r="662" spans="1:14" x14ac:dyDescent="0.35">
      <c r="A662" s="2">
        <v>661</v>
      </c>
      <c r="B662" s="2" t="s">
        <v>703</v>
      </c>
      <c r="C662" s="2" t="s">
        <v>23</v>
      </c>
      <c r="D662" s="2" t="s">
        <v>33</v>
      </c>
      <c r="E662" s="2" t="s">
        <v>60</v>
      </c>
      <c r="F662" s="2">
        <v>2023</v>
      </c>
      <c r="G662" s="2">
        <v>80</v>
      </c>
      <c r="H662" s="3">
        <v>0.97</v>
      </c>
      <c r="I662" s="3">
        <v>0.52</v>
      </c>
      <c r="J662" s="3">
        <v>0.24</v>
      </c>
      <c r="K662" s="3">
        <v>7.0000000000000007E-2</v>
      </c>
      <c r="L662" s="3">
        <v>0.14000000000000001</v>
      </c>
      <c r="M662" s="2" t="s">
        <v>17</v>
      </c>
      <c r="N662" s="3" t="str" cm="1">
        <f t="array" ref="N662">_xlfn.IFS(G662&gt;=90,"Excellent",G662&gt;=80,"Good",G662&gt;=70,"Average",G662&lt;70,"Poor")</f>
        <v>Good</v>
      </c>
    </row>
    <row r="663" spans="1:14" x14ac:dyDescent="0.35">
      <c r="A663" s="2">
        <v>662</v>
      </c>
      <c r="B663" s="2" t="s">
        <v>704</v>
      </c>
      <c r="C663" s="2" t="s">
        <v>59</v>
      </c>
      <c r="D663" s="2" t="s">
        <v>29</v>
      </c>
      <c r="E663" s="2" t="s">
        <v>41</v>
      </c>
      <c r="F663" s="2">
        <v>1999</v>
      </c>
      <c r="G663" s="2">
        <v>62</v>
      </c>
      <c r="H663" s="3">
        <v>0.27</v>
      </c>
      <c r="I663" s="3">
        <v>0.14000000000000001</v>
      </c>
      <c r="J663" s="3">
        <v>0.06</v>
      </c>
      <c r="K663" s="3">
        <v>0.05</v>
      </c>
      <c r="L663" s="3">
        <v>0.02</v>
      </c>
      <c r="M663" s="2" t="s">
        <v>24</v>
      </c>
      <c r="N663" s="3" t="str" cm="1">
        <f t="array" ref="N663">_xlfn.IFS(G663&gt;=90,"Excellent",G663&gt;=80,"Good",G663&gt;=70,"Average",G663&lt;70,"Poor")</f>
        <v>Poor</v>
      </c>
    </row>
    <row r="664" spans="1:14" x14ac:dyDescent="0.35">
      <c r="A664" s="2">
        <v>663</v>
      </c>
      <c r="B664" s="2" t="s">
        <v>705</v>
      </c>
      <c r="C664" s="2" t="s">
        <v>57</v>
      </c>
      <c r="D664" s="2" t="s">
        <v>15</v>
      </c>
      <c r="E664" s="2" t="s">
        <v>74</v>
      </c>
      <c r="F664" s="2">
        <v>2006</v>
      </c>
      <c r="G664" s="2">
        <v>56</v>
      </c>
      <c r="H664" s="3">
        <v>0.77</v>
      </c>
      <c r="I664" s="3">
        <v>0.28000000000000003</v>
      </c>
      <c r="J664" s="3">
        <v>0.17</v>
      </c>
      <c r="K664" s="3">
        <v>0.14000000000000001</v>
      </c>
      <c r="L664" s="3">
        <v>0.18</v>
      </c>
      <c r="M664" s="2" t="s">
        <v>17</v>
      </c>
      <c r="N664" s="3" t="str" cm="1">
        <f t="array" ref="N664">_xlfn.IFS(G664&gt;=90,"Excellent",G664&gt;=80,"Good",G664&gt;=70,"Average",G664&lt;70,"Poor")</f>
        <v>Poor</v>
      </c>
    </row>
    <row r="665" spans="1:14" x14ac:dyDescent="0.35">
      <c r="A665" s="2">
        <v>664</v>
      </c>
      <c r="B665" s="2" t="s">
        <v>706</v>
      </c>
      <c r="C665" s="2" t="s">
        <v>14</v>
      </c>
      <c r="D665" s="2" t="s">
        <v>33</v>
      </c>
      <c r="E665" s="2" t="s">
        <v>20</v>
      </c>
      <c r="F665" s="2">
        <v>2012</v>
      </c>
      <c r="G665" s="2">
        <v>93</v>
      </c>
      <c r="H665" s="3">
        <v>0.77</v>
      </c>
      <c r="I665" s="3">
        <v>0.39</v>
      </c>
      <c r="J665" s="3">
        <v>0.2</v>
      </c>
      <c r="K665" s="3">
        <v>0.05</v>
      </c>
      <c r="L665" s="3">
        <v>0.13</v>
      </c>
      <c r="M665" s="2" t="s">
        <v>17</v>
      </c>
      <c r="N665" s="3" t="str" cm="1">
        <f t="array" ref="N665">_xlfn.IFS(G665&gt;=90,"Excellent",G665&gt;=80,"Good",G665&gt;=70,"Average",G665&lt;70,"Poor")</f>
        <v>Excellent</v>
      </c>
    </row>
    <row r="666" spans="1:14" x14ac:dyDescent="0.35">
      <c r="A666" s="2">
        <v>665</v>
      </c>
      <c r="B666" s="2" t="s">
        <v>707</v>
      </c>
      <c r="C666" s="2" t="s">
        <v>59</v>
      </c>
      <c r="D666" s="2" t="s">
        <v>62</v>
      </c>
      <c r="E666" s="2" t="s">
        <v>60</v>
      </c>
      <c r="F666" s="2">
        <v>1997</v>
      </c>
      <c r="G666" s="2">
        <v>85</v>
      </c>
      <c r="H666" s="3">
        <v>0.5</v>
      </c>
      <c r="I666" s="3">
        <v>0.19</v>
      </c>
      <c r="J666" s="3">
        <v>0.16</v>
      </c>
      <c r="K666" s="3">
        <v>7.0000000000000007E-2</v>
      </c>
      <c r="L666" s="3">
        <v>0.08</v>
      </c>
      <c r="M666" s="2" t="s">
        <v>24</v>
      </c>
      <c r="N666" s="3" t="str" cm="1">
        <f t="array" ref="N666">_xlfn.IFS(G666&gt;=90,"Excellent",G666&gt;=80,"Good",G666&gt;=70,"Average",G666&lt;70,"Poor")</f>
        <v>Good</v>
      </c>
    </row>
    <row r="667" spans="1:14" x14ac:dyDescent="0.35">
      <c r="A667" s="2">
        <v>666</v>
      </c>
      <c r="B667" s="2" t="s">
        <v>708</v>
      </c>
      <c r="C667" s="2" t="s">
        <v>31</v>
      </c>
      <c r="D667" s="2" t="s">
        <v>2</v>
      </c>
      <c r="E667" s="2" t="s">
        <v>41</v>
      </c>
      <c r="F667" s="2">
        <v>2002</v>
      </c>
      <c r="G667" s="2">
        <v>95</v>
      </c>
      <c r="H667" s="3">
        <v>0.67</v>
      </c>
      <c r="I667" s="3">
        <v>0.25</v>
      </c>
      <c r="J667" s="3">
        <v>0.19</v>
      </c>
      <c r="K667" s="3">
        <v>0.05</v>
      </c>
      <c r="L667" s="3">
        <v>0.18</v>
      </c>
      <c r="M667" s="2" t="s">
        <v>17</v>
      </c>
      <c r="N667" s="3" t="str" cm="1">
        <f t="array" ref="N667">_xlfn.IFS(G667&gt;=90,"Excellent",G667&gt;=80,"Good",G667&gt;=70,"Average",G667&lt;70,"Poor")</f>
        <v>Excellent</v>
      </c>
    </row>
    <row r="668" spans="1:14" x14ac:dyDescent="0.35">
      <c r="A668" s="2">
        <v>667</v>
      </c>
      <c r="B668" s="2" t="s">
        <v>709</v>
      </c>
      <c r="C668" s="2" t="s">
        <v>31</v>
      </c>
      <c r="D668" s="2" t="s">
        <v>45</v>
      </c>
      <c r="E668" s="2" t="s">
        <v>60</v>
      </c>
      <c r="F668" s="2">
        <v>2004</v>
      </c>
      <c r="G668" s="2">
        <v>55</v>
      </c>
      <c r="H668" s="3">
        <v>1.1299999999999999</v>
      </c>
      <c r="I668" s="3">
        <v>0.43</v>
      </c>
      <c r="J668" s="3">
        <v>0.24</v>
      </c>
      <c r="K668" s="3">
        <v>0.21</v>
      </c>
      <c r="L668" s="3">
        <v>0.25</v>
      </c>
      <c r="M668" s="2" t="s">
        <v>17</v>
      </c>
      <c r="N668" s="3" t="str" cm="1">
        <f t="array" ref="N668">_xlfn.IFS(G668&gt;=90,"Excellent",G668&gt;=80,"Good",G668&gt;=70,"Average",G668&lt;70,"Poor")</f>
        <v>Poor</v>
      </c>
    </row>
    <row r="669" spans="1:14" x14ac:dyDescent="0.35">
      <c r="A669" s="2">
        <v>668</v>
      </c>
      <c r="B669" s="2" t="s">
        <v>710</v>
      </c>
      <c r="C669" s="2" t="s">
        <v>14</v>
      </c>
      <c r="D669" s="2" t="s">
        <v>45</v>
      </c>
      <c r="E669" s="2" t="s">
        <v>43</v>
      </c>
      <c r="F669" s="2">
        <v>2010</v>
      </c>
      <c r="G669" s="2">
        <v>87</v>
      </c>
      <c r="H669" s="3">
        <v>0.39</v>
      </c>
      <c r="I669" s="3">
        <v>0.18</v>
      </c>
      <c r="J669" s="3">
        <v>0.08</v>
      </c>
      <c r="K669" s="3">
        <v>0.02</v>
      </c>
      <c r="L669" s="3">
        <v>0.11</v>
      </c>
      <c r="M669" s="2" t="s">
        <v>24</v>
      </c>
      <c r="N669" s="3" t="str" cm="1">
        <f t="array" ref="N669">_xlfn.IFS(G669&gt;=90,"Excellent",G669&gt;=80,"Good",G669&gt;=70,"Average",G669&lt;70,"Poor")</f>
        <v>Good</v>
      </c>
    </row>
    <row r="670" spans="1:14" x14ac:dyDescent="0.35">
      <c r="A670" s="2">
        <v>669</v>
      </c>
      <c r="B670" s="2" t="s">
        <v>711</v>
      </c>
      <c r="C670" s="2" t="s">
        <v>57</v>
      </c>
      <c r="D670" s="2" t="s">
        <v>37</v>
      </c>
      <c r="E670" s="2" t="s">
        <v>60</v>
      </c>
      <c r="F670" s="2">
        <v>2005</v>
      </c>
      <c r="G670" s="2">
        <v>68</v>
      </c>
      <c r="H670" s="3">
        <v>0.2</v>
      </c>
      <c r="I670" s="3">
        <v>0.08</v>
      </c>
      <c r="J670" s="3">
        <v>0.05</v>
      </c>
      <c r="K670" s="3">
        <v>0.03</v>
      </c>
      <c r="L670" s="3">
        <v>0.04</v>
      </c>
      <c r="M670" s="2" t="s">
        <v>24</v>
      </c>
      <c r="N670" s="3" t="str" cm="1">
        <f t="array" ref="N670">_xlfn.IFS(G670&gt;=90,"Excellent",G670&gt;=80,"Good",G670&gt;=70,"Average",G670&lt;70,"Poor")</f>
        <v>Poor</v>
      </c>
    </row>
    <row r="671" spans="1:14" x14ac:dyDescent="0.35">
      <c r="A671" s="2">
        <v>670</v>
      </c>
      <c r="B671" s="2" t="s">
        <v>712</v>
      </c>
      <c r="C671" s="2" t="s">
        <v>19</v>
      </c>
      <c r="D671" s="2" t="s">
        <v>48</v>
      </c>
      <c r="E671" s="2" t="s">
        <v>43</v>
      </c>
      <c r="F671" s="2">
        <v>2017</v>
      </c>
      <c r="G671" s="2">
        <v>84</v>
      </c>
      <c r="H671" s="3">
        <v>2.33</v>
      </c>
      <c r="I671" s="3">
        <v>1.24</v>
      </c>
      <c r="J671" s="3">
        <v>0.51</v>
      </c>
      <c r="K671" s="3">
        <v>0.44</v>
      </c>
      <c r="L671" s="3">
        <v>0.14000000000000001</v>
      </c>
      <c r="M671" s="2" t="s">
        <v>27</v>
      </c>
      <c r="N671" s="3" t="str" cm="1">
        <f t="array" ref="N671">_xlfn.IFS(G671&gt;=90,"Excellent",G671&gt;=80,"Good",G671&gt;=70,"Average",G671&lt;70,"Poor")</f>
        <v>Good</v>
      </c>
    </row>
    <row r="672" spans="1:14" x14ac:dyDescent="0.35">
      <c r="A672" s="2">
        <v>671</v>
      </c>
      <c r="B672" s="2" t="s">
        <v>713</v>
      </c>
      <c r="C672" s="2" t="s">
        <v>23</v>
      </c>
      <c r="D672" s="2" t="s">
        <v>15</v>
      </c>
      <c r="E672" s="2" t="s">
        <v>20</v>
      </c>
      <c r="F672" s="2">
        <v>2023</v>
      </c>
      <c r="G672" s="2">
        <v>90</v>
      </c>
      <c r="H672" s="3">
        <v>1.77</v>
      </c>
      <c r="I672" s="3">
        <v>0.9</v>
      </c>
      <c r="J672" s="3">
        <v>0.53</v>
      </c>
      <c r="K672" s="3">
        <v>0.11</v>
      </c>
      <c r="L672" s="3">
        <v>0.23</v>
      </c>
      <c r="M672" s="2" t="s">
        <v>17</v>
      </c>
      <c r="N672" s="3" t="str" cm="1">
        <f t="array" ref="N672">_xlfn.IFS(G672&gt;=90,"Excellent",G672&gt;=80,"Good",G672&gt;=70,"Average",G672&lt;70,"Poor")</f>
        <v>Excellent</v>
      </c>
    </row>
    <row r="673" spans="1:14" x14ac:dyDescent="0.35">
      <c r="A673" s="2">
        <v>672</v>
      </c>
      <c r="B673" s="2" t="s">
        <v>714</v>
      </c>
      <c r="C673" s="2" t="s">
        <v>59</v>
      </c>
      <c r="D673" s="2" t="s">
        <v>62</v>
      </c>
      <c r="E673" s="2" t="s">
        <v>49</v>
      </c>
      <c r="F673" s="2">
        <v>2000</v>
      </c>
      <c r="G673" s="2">
        <v>93</v>
      </c>
      <c r="H673" s="3">
        <v>0.31</v>
      </c>
      <c r="I673" s="3">
        <v>0.16</v>
      </c>
      <c r="J673" s="3">
        <v>0.09</v>
      </c>
      <c r="K673" s="3">
        <v>0.02</v>
      </c>
      <c r="L673" s="3">
        <v>0.04</v>
      </c>
      <c r="M673" s="2" t="s">
        <v>24</v>
      </c>
      <c r="N673" s="3" t="str" cm="1">
        <f t="array" ref="N673">_xlfn.IFS(G673&gt;=90,"Excellent",G673&gt;=80,"Good",G673&gt;=70,"Average",G673&lt;70,"Poor")</f>
        <v>Excellent</v>
      </c>
    </row>
    <row r="674" spans="1:14" x14ac:dyDescent="0.35">
      <c r="A674" s="2">
        <v>673</v>
      </c>
      <c r="B674" s="2" t="s">
        <v>715</v>
      </c>
      <c r="C674" s="2" t="s">
        <v>19</v>
      </c>
      <c r="D674" s="2" t="s">
        <v>48</v>
      </c>
      <c r="E674" s="2" t="s">
        <v>16</v>
      </c>
      <c r="F674" s="2">
        <v>2018</v>
      </c>
      <c r="G674" s="2">
        <v>56</v>
      </c>
      <c r="H674" s="3">
        <v>2.83</v>
      </c>
      <c r="I674" s="3">
        <v>1.39</v>
      </c>
      <c r="J674" s="3">
        <v>0.65</v>
      </c>
      <c r="K674" s="3">
        <v>0.49</v>
      </c>
      <c r="L674" s="3">
        <v>0.3</v>
      </c>
      <c r="M674" s="2" t="s">
        <v>27</v>
      </c>
      <c r="N674" s="3" t="str" cm="1">
        <f t="array" ref="N674">_xlfn.IFS(G674&gt;=90,"Excellent",G674&gt;=80,"Good",G674&gt;=70,"Average",G674&lt;70,"Poor")</f>
        <v>Poor</v>
      </c>
    </row>
    <row r="675" spans="1:14" x14ac:dyDescent="0.35">
      <c r="A675" s="2">
        <v>674</v>
      </c>
      <c r="B675" s="2" t="s">
        <v>716</v>
      </c>
      <c r="C675" s="2" t="s">
        <v>57</v>
      </c>
      <c r="D675" s="2" t="s">
        <v>48</v>
      </c>
      <c r="E675" s="2" t="s">
        <v>52</v>
      </c>
      <c r="F675" s="2">
        <v>2008</v>
      </c>
      <c r="G675" s="2">
        <v>57</v>
      </c>
      <c r="H675" s="3">
        <v>0.72</v>
      </c>
      <c r="I675" s="3">
        <v>0.28000000000000003</v>
      </c>
      <c r="J675" s="3">
        <v>0.23</v>
      </c>
      <c r="K675" s="3">
        <v>0.08</v>
      </c>
      <c r="L675" s="3">
        <v>0.13</v>
      </c>
      <c r="M675" s="2" t="s">
        <v>17</v>
      </c>
      <c r="N675" s="3" t="str" cm="1">
        <f t="array" ref="N675">_xlfn.IFS(G675&gt;=90,"Excellent",G675&gt;=80,"Good",G675&gt;=70,"Average",G675&lt;70,"Poor")</f>
        <v>Poor</v>
      </c>
    </row>
    <row r="676" spans="1:14" x14ac:dyDescent="0.35">
      <c r="A676" s="2">
        <v>675</v>
      </c>
      <c r="B676" s="2" t="s">
        <v>717</v>
      </c>
      <c r="C676" s="2" t="s">
        <v>64</v>
      </c>
      <c r="D676" s="2" t="s">
        <v>2</v>
      </c>
      <c r="E676" s="2" t="s">
        <v>60</v>
      </c>
      <c r="F676" s="2">
        <v>2015</v>
      </c>
      <c r="G676" s="2">
        <v>90</v>
      </c>
      <c r="H676" s="3">
        <v>0.05</v>
      </c>
      <c r="I676" s="3">
        <v>0.02</v>
      </c>
      <c r="J676" s="3">
        <v>0.01</v>
      </c>
      <c r="K676" s="3">
        <v>0</v>
      </c>
      <c r="L676" s="3">
        <v>0.02</v>
      </c>
      <c r="M676" s="2" t="s">
        <v>24</v>
      </c>
      <c r="N676" s="3" t="str" cm="1">
        <f t="array" ref="N676">_xlfn.IFS(G676&gt;=90,"Excellent",G676&gt;=80,"Good",G676&gt;=70,"Average",G676&lt;70,"Poor")</f>
        <v>Excellent</v>
      </c>
    </row>
    <row r="677" spans="1:14" x14ac:dyDescent="0.35">
      <c r="A677" s="2">
        <v>676</v>
      </c>
      <c r="B677" s="2" t="s">
        <v>718</v>
      </c>
      <c r="C677" s="2" t="s">
        <v>23</v>
      </c>
      <c r="D677" s="2" t="s">
        <v>33</v>
      </c>
      <c r="E677" s="2" t="s">
        <v>54</v>
      </c>
      <c r="F677" s="2">
        <v>2021</v>
      </c>
      <c r="G677" s="2">
        <v>69</v>
      </c>
      <c r="H677" s="3">
        <v>7.0000000000000007E-2</v>
      </c>
      <c r="I677" s="3">
        <v>0.02</v>
      </c>
      <c r="J677" s="3">
        <v>0.02</v>
      </c>
      <c r="K677" s="3">
        <v>0.01</v>
      </c>
      <c r="L677" s="3">
        <v>0.02</v>
      </c>
      <c r="M677" s="2" t="s">
        <v>24</v>
      </c>
      <c r="N677" s="3" t="str" cm="1">
        <f t="array" ref="N677">_xlfn.IFS(G677&gt;=90,"Excellent",G677&gt;=80,"Good",G677&gt;=70,"Average",G677&lt;70,"Poor")</f>
        <v>Poor</v>
      </c>
    </row>
    <row r="678" spans="1:14" x14ac:dyDescent="0.35">
      <c r="A678" s="2">
        <v>677</v>
      </c>
      <c r="B678" s="2" t="s">
        <v>719</v>
      </c>
      <c r="C678" s="2" t="s">
        <v>23</v>
      </c>
      <c r="D678" s="2" t="s">
        <v>65</v>
      </c>
      <c r="E678" s="2" t="s">
        <v>16</v>
      </c>
      <c r="F678" s="2">
        <v>2022</v>
      </c>
      <c r="G678" s="2">
        <v>96</v>
      </c>
      <c r="H678" s="3">
        <v>1.58</v>
      </c>
      <c r="I678" s="3">
        <v>0.82</v>
      </c>
      <c r="J678" s="3">
        <v>0.39</v>
      </c>
      <c r="K678" s="3">
        <v>0.28000000000000003</v>
      </c>
      <c r="L678" s="3">
        <v>0.09</v>
      </c>
      <c r="M678" s="2" t="s">
        <v>17</v>
      </c>
      <c r="N678" s="3" t="str" cm="1">
        <f t="array" ref="N678">_xlfn.IFS(G678&gt;=90,"Excellent",G678&gt;=80,"Good",G678&gt;=70,"Average",G678&lt;70,"Poor")</f>
        <v>Excellent</v>
      </c>
    </row>
    <row r="679" spans="1:14" x14ac:dyDescent="0.35">
      <c r="A679" s="2">
        <v>678</v>
      </c>
      <c r="B679" s="2" t="s">
        <v>720</v>
      </c>
      <c r="C679" s="2" t="s">
        <v>19</v>
      </c>
      <c r="D679" s="2" t="s">
        <v>33</v>
      </c>
      <c r="E679" s="2" t="s">
        <v>60</v>
      </c>
      <c r="F679" s="2">
        <v>2017</v>
      </c>
      <c r="G679" s="2">
        <v>78</v>
      </c>
      <c r="H679" s="3">
        <v>0.83</v>
      </c>
      <c r="I679" s="3">
        <v>0.41</v>
      </c>
      <c r="J679" s="3">
        <v>0.17</v>
      </c>
      <c r="K679" s="3">
        <v>0.16</v>
      </c>
      <c r="L679" s="3">
        <v>0.09</v>
      </c>
      <c r="M679" s="2" t="s">
        <v>17</v>
      </c>
      <c r="N679" s="3" t="str" cm="1">
        <f t="array" ref="N679">_xlfn.IFS(G679&gt;=90,"Excellent",G679&gt;=80,"Good",G679&gt;=70,"Average",G679&lt;70,"Poor")</f>
        <v>Average</v>
      </c>
    </row>
    <row r="680" spans="1:14" x14ac:dyDescent="0.35">
      <c r="A680" s="2">
        <v>679</v>
      </c>
      <c r="B680" s="2" t="s">
        <v>721</v>
      </c>
      <c r="C680" s="2" t="s">
        <v>23</v>
      </c>
      <c r="D680" s="2" t="s">
        <v>29</v>
      </c>
      <c r="E680" s="2" t="s">
        <v>20</v>
      </c>
      <c r="F680" s="2">
        <v>2023</v>
      </c>
      <c r="G680" s="2">
        <v>76</v>
      </c>
      <c r="H680" s="3">
        <v>0.16</v>
      </c>
      <c r="I680" s="3">
        <v>0.06</v>
      </c>
      <c r="J680" s="3">
        <v>0.05</v>
      </c>
      <c r="K680" s="3">
        <v>0.03</v>
      </c>
      <c r="L680" s="3">
        <v>0.02</v>
      </c>
      <c r="M680" s="2" t="s">
        <v>24</v>
      </c>
      <c r="N680" s="3" t="str" cm="1">
        <f t="array" ref="N680">_xlfn.IFS(G680&gt;=90,"Excellent",G680&gt;=80,"Good",G680&gt;=70,"Average",G680&lt;70,"Poor")</f>
        <v>Average</v>
      </c>
    </row>
    <row r="681" spans="1:14" x14ac:dyDescent="0.35">
      <c r="A681" s="2">
        <v>680</v>
      </c>
      <c r="B681" s="2" t="s">
        <v>722</v>
      </c>
      <c r="C681" s="2" t="s">
        <v>19</v>
      </c>
      <c r="D681" s="2" t="s">
        <v>48</v>
      </c>
      <c r="E681" s="2" t="s">
        <v>52</v>
      </c>
      <c r="F681" s="2">
        <v>2014</v>
      </c>
      <c r="G681" s="2">
        <v>74</v>
      </c>
      <c r="H681" s="3">
        <v>0.22</v>
      </c>
      <c r="I681" s="3">
        <v>0.08</v>
      </c>
      <c r="J681" s="3">
        <v>7.0000000000000007E-2</v>
      </c>
      <c r="K681" s="3">
        <v>0.04</v>
      </c>
      <c r="L681" s="3">
        <v>0.03</v>
      </c>
      <c r="M681" s="2" t="s">
        <v>24</v>
      </c>
      <c r="N681" s="3" t="str" cm="1">
        <f t="array" ref="N681">_xlfn.IFS(G681&gt;=90,"Excellent",G681&gt;=80,"Good",G681&gt;=70,"Average",G681&lt;70,"Poor")</f>
        <v>Average</v>
      </c>
    </row>
    <row r="682" spans="1:14" x14ac:dyDescent="0.35">
      <c r="A682" s="2">
        <v>681</v>
      </c>
      <c r="B682" s="2" t="s">
        <v>723</v>
      </c>
      <c r="C682" s="2" t="s">
        <v>64</v>
      </c>
      <c r="D682" s="2" t="s">
        <v>48</v>
      </c>
      <c r="E682" s="2" t="s">
        <v>49</v>
      </c>
      <c r="F682" s="2">
        <v>2015</v>
      </c>
      <c r="G682" s="2">
        <v>76</v>
      </c>
      <c r="H682" s="3">
        <v>0.31</v>
      </c>
      <c r="I682" s="3">
        <v>0.11</v>
      </c>
      <c r="J682" s="3">
        <v>0.09</v>
      </c>
      <c r="K682" s="3">
        <v>0.04</v>
      </c>
      <c r="L682" s="3">
        <v>7.0000000000000007E-2</v>
      </c>
      <c r="M682" s="2" t="s">
        <v>24</v>
      </c>
      <c r="N682" s="3" t="str" cm="1">
        <f t="array" ref="N682">_xlfn.IFS(G682&gt;=90,"Excellent",G682&gt;=80,"Good",G682&gt;=70,"Average",G682&lt;70,"Poor")</f>
        <v>Average</v>
      </c>
    </row>
    <row r="683" spans="1:14" x14ac:dyDescent="0.35">
      <c r="A683" s="2">
        <v>682</v>
      </c>
      <c r="B683" s="2" t="s">
        <v>724</v>
      </c>
      <c r="C683" s="2" t="s">
        <v>59</v>
      </c>
      <c r="D683" s="2" t="s">
        <v>62</v>
      </c>
      <c r="E683" s="2" t="s">
        <v>74</v>
      </c>
      <c r="F683" s="2">
        <v>2000</v>
      </c>
      <c r="G683" s="2">
        <v>58</v>
      </c>
      <c r="H683" s="3">
        <v>1.1399999999999999</v>
      </c>
      <c r="I683" s="3">
        <v>0.6</v>
      </c>
      <c r="J683" s="3">
        <v>0.35</v>
      </c>
      <c r="K683" s="3">
        <v>0.19</v>
      </c>
      <c r="L683" s="3">
        <v>0</v>
      </c>
      <c r="M683" s="2" t="s">
        <v>17</v>
      </c>
      <c r="N683" s="3" t="str" cm="1">
        <f t="array" ref="N683">_xlfn.IFS(G683&gt;=90,"Excellent",G683&gt;=80,"Good",G683&gt;=70,"Average",G683&lt;70,"Poor")</f>
        <v>Poor</v>
      </c>
    </row>
    <row r="684" spans="1:14" x14ac:dyDescent="0.35">
      <c r="A684" s="2">
        <v>683</v>
      </c>
      <c r="B684" s="2" t="s">
        <v>725</v>
      </c>
      <c r="C684" s="2" t="s">
        <v>59</v>
      </c>
      <c r="D684" s="2" t="s">
        <v>15</v>
      </c>
      <c r="E684" s="2" t="s">
        <v>46</v>
      </c>
      <c r="F684" s="2">
        <v>1998</v>
      </c>
      <c r="G684" s="2">
        <v>59</v>
      </c>
      <c r="H684" s="3">
        <v>0.27</v>
      </c>
      <c r="I684" s="3">
        <v>0.12</v>
      </c>
      <c r="J684" s="3">
        <v>0.09</v>
      </c>
      <c r="K684" s="3">
        <v>0.05</v>
      </c>
      <c r="L684" s="3">
        <v>0.01</v>
      </c>
      <c r="M684" s="2" t="s">
        <v>24</v>
      </c>
      <c r="N684" s="3" t="str" cm="1">
        <f t="array" ref="N684">_xlfn.IFS(G684&gt;=90,"Excellent",G684&gt;=80,"Good",G684&gt;=70,"Average",G684&lt;70,"Poor")</f>
        <v>Poor</v>
      </c>
    </row>
    <row r="685" spans="1:14" x14ac:dyDescent="0.35">
      <c r="A685" s="2">
        <v>684</v>
      </c>
      <c r="B685" s="2" t="s">
        <v>726</v>
      </c>
      <c r="C685" s="2" t="s">
        <v>23</v>
      </c>
      <c r="D685" s="2" t="s">
        <v>62</v>
      </c>
      <c r="E685" s="2" t="s">
        <v>41</v>
      </c>
      <c r="F685" s="2">
        <v>2020</v>
      </c>
      <c r="G685" s="2">
        <v>94</v>
      </c>
      <c r="H685" s="3">
        <v>0.97</v>
      </c>
      <c r="I685" s="3">
        <v>0.52</v>
      </c>
      <c r="J685" s="3">
        <v>0.31</v>
      </c>
      <c r="K685" s="3">
        <v>0.11</v>
      </c>
      <c r="L685" s="3">
        <v>0.03</v>
      </c>
      <c r="M685" s="2" t="s">
        <v>17</v>
      </c>
      <c r="N685" s="3" t="str" cm="1">
        <f t="array" ref="N685">_xlfn.IFS(G685&gt;=90,"Excellent",G685&gt;=80,"Good",G685&gt;=70,"Average",G685&lt;70,"Poor")</f>
        <v>Excellent</v>
      </c>
    </row>
    <row r="686" spans="1:14" x14ac:dyDescent="0.35">
      <c r="A686" s="2">
        <v>685</v>
      </c>
      <c r="B686" s="2" t="s">
        <v>727</v>
      </c>
      <c r="C686" s="2" t="s">
        <v>14</v>
      </c>
      <c r="D686" s="2" t="s">
        <v>33</v>
      </c>
      <c r="E686" s="2" t="s">
        <v>49</v>
      </c>
      <c r="F686" s="2">
        <v>2009</v>
      </c>
      <c r="G686" s="2">
        <v>59</v>
      </c>
      <c r="H686" s="3">
        <v>1.45</v>
      </c>
      <c r="I686" s="3">
        <v>0.77</v>
      </c>
      <c r="J686" s="3">
        <v>0.32</v>
      </c>
      <c r="K686" s="3">
        <v>0.18</v>
      </c>
      <c r="L686" s="3">
        <v>0.18</v>
      </c>
      <c r="M686" s="2" t="s">
        <v>17</v>
      </c>
      <c r="N686" s="3" t="str" cm="1">
        <f t="array" ref="N686">_xlfn.IFS(G686&gt;=90,"Excellent",G686&gt;=80,"Good",G686&gt;=70,"Average",G686&lt;70,"Poor")</f>
        <v>Poor</v>
      </c>
    </row>
    <row r="687" spans="1:14" x14ac:dyDescent="0.35">
      <c r="A687" s="2">
        <v>686</v>
      </c>
      <c r="B687" s="2" t="s">
        <v>728</v>
      </c>
      <c r="C687" s="2" t="s">
        <v>14</v>
      </c>
      <c r="D687" s="2" t="s">
        <v>62</v>
      </c>
      <c r="E687" s="2" t="s">
        <v>74</v>
      </c>
      <c r="F687" s="2">
        <v>2012</v>
      </c>
      <c r="G687" s="2">
        <v>70</v>
      </c>
      <c r="H687" s="3">
        <v>0.15</v>
      </c>
      <c r="I687" s="3">
        <v>7.0000000000000007E-2</v>
      </c>
      <c r="J687" s="3">
        <v>0.04</v>
      </c>
      <c r="K687" s="3">
        <v>0.02</v>
      </c>
      <c r="L687" s="3">
        <v>0.02</v>
      </c>
      <c r="M687" s="2" t="s">
        <v>24</v>
      </c>
      <c r="N687" s="3" t="str" cm="1">
        <f t="array" ref="N687">_xlfn.IFS(G687&gt;=90,"Excellent",G687&gt;=80,"Good",G687&gt;=70,"Average",G687&lt;70,"Poor")</f>
        <v>Average</v>
      </c>
    </row>
    <row r="688" spans="1:14" x14ac:dyDescent="0.35">
      <c r="A688" s="2">
        <v>687</v>
      </c>
      <c r="B688" s="2" t="s">
        <v>729</v>
      </c>
      <c r="C688" s="2" t="s">
        <v>23</v>
      </c>
      <c r="D688" s="2" t="s">
        <v>37</v>
      </c>
      <c r="E688" s="2" t="s">
        <v>54</v>
      </c>
      <c r="F688" s="2">
        <v>2024</v>
      </c>
      <c r="G688" s="2">
        <v>93</v>
      </c>
      <c r="H688" s="3">
        <v>0.5</v>
      </c>
      <c r="I688" s="3">
        <v>0.18</v>
      </c>
      <c r="J688" s="3">
        <v>0.14000000000000001</v>
      </c>
      <c r="K688" s="3">
        <v>0.08</v>
      </c>
      <c r="L688" s="3">
        <v>0.1</v>
      </c>
      <c r="M688" s="2" t="s">
        <v>24</v>
      </c>
      <c r="N688" s="3" t="str" cm="1">
        <f t="array" ref="N688">_xlfn.IFS(G688&gt;=90,"Excellent",G688&gt;=80,"Good",G688&gt;=70,"Average",G688&lt;70,"Poor")</f>
        <v>Excellent</v>
      </c>
    </row>
    <row r="689" spans="1:14" x14ac:dyDescent="0.35">
      <c r="A689" s="2">
        <v>688</v>
      </c>
      <c r="B689" s="2" t="s">
        <v>730</v>
      </c>
      <c r="C689" s="2" t="s">
        <v>59</v>
      </c>
      <c r="D689" s="2" t="s">
        <v>65</v>
      </c>
      <c r="E689" s="2" t="s">
        <v>60</v>
      </c>
      <c r="F689" s="2">
        <v>1996</v>
      </c>
      <c r="G689" s="2">
        <v>77</v>
      </c>
      <c r="H689" s="3">
        <v>0.23</v>
      </c>
      <c r="I689" s="3">
        <v>0.12</v>
      </c>
      <c r="J689" s="3">
        <v>7.0000000000000007E-2</v>
      </c>
      <c r="K689" s="3">
        <v>0.02</v>
      </c>
      <c r="L689" s="3">
        <v>0.02</v>
      </c>
      <c r="M689" s="2" t="s">
        <v>24</v>
      </c>
      <c r="N689" s="3" t="str" cm="1">
        <f t="array" ref="N689">_xlfn.IFS(G689&gt;=90,"Excellent",G689&gt;=80,"Good",G689&gt;=70,"Average",G689&lt;70,"Poor")</f>
        <v>Average</v>
      </c>
    </row>
    <row r="690" spans="1:14" x14ac:dyDescent="0.35">
      <c r="A690" s="2">
        <v>689</v>
      </c>
      <c r="B690" s="2" t="s">
        <v>731</v>
      </c>
      <c r="C690" s="2" t="s">
        <v>57</v>
      </c>
      <c r="D690" s="2" t="s">
        <v>62</v>
      </c>
      <c r="E690" s="2" t="s">
        <v>74</v>
      </c>
      <c r="F690" s="2">
        <v>2011</v>
      </c>
      <c r="G690" s="2">
        <v>91</v>
      </c>
      <c r="H690" s="3">
        <v>0.41</v>
      </c>
      <c r="I690" s="3">
        <v>0.18</v>
      </c>
      <c r="J690" s="3">
        <v>0.13</v>
      </c>
      <c r="K690" s="3">
        <v>0.02</v>
      </c>
      <c r="L690" s="3">
        <v>0.08</v>
      </c>
      <c r="M690" s="2" t="s">
        <v>24</v>
      </c>
      <c r="N690" s="3" t="str" cm="1">
        <f t="array" ref="N690">_xlfn.IFS(G690&gt;=90,"Excellent",G690&gt;=80,"Good",G690&gt;=70,"Average",G690&lt;70,"Poor")</f>
        <v>Excellent</v>
      </c>
    </row>
    <row r="691" spans="1:14" x14ac:dyDescent="0.35">
      <c r="A691" s="2">
        <v>690</v>
      </c>
      <c r="B691" s="2" t="s">
        <v>732</v>
      </c>
      <c r="C691" s="2" t="s">
        <v>31</v>
      </c>
      <c r="D691" s="2" t="s">
        <v>48</v>
      </c>
      <c r="E691" s="2" t="s">
        <v>52</v>
      </c>
      <c r="F691" s="2">
        <v>2000</v>
      </c>
      <c r="G691" s="2">
        <v>68</v>
      </c>
      <c r="H691" s="3">
        <v>0.15</v>
      </c>
      <c r="I691" s="3">
        <v>0.08</v>
      </c>
      <c r="J691" s="3">
        <v>0.04</v>
      </c>
      <c r="K691" s="3">
        <v>0.02</v>
      </c>
      <c r="L691" s="3">
        <v>0.01</v>
      </c>
      <c r="M691" s="2" t="s">
        <v>24</v>
      </c>
      <c r="N691" s="3" t="str" cm="1">
        <f t="array" ref="N691">_xlfn.IFS(G691&gt;=90,"Excellent",G691&gt;=80,"Good",G691&gt;=70,"Average",G691&lt;70,"Poor")</f>
        <v>Poor</v>
      </c>
    </row>
    <row r="692" spans="1:14" x14ac:dyDescent="0.35">
      <c r="A692" s="2">
        <v>691</v>
      </c>
      <c r="B692" s="2" t="s">
        <v>733</v>
      </c>
      <c r="C692" s="2" t="s">
        <v>31</v>
      </c>
      <c r="D692" s="2" t="s">
        <v>37</v>
      </c>
      <c r="E692" s="2" t="s">
        <v>20</v>
      </c>
      <c r="F692" s="2">
        <v>2003</v>
      </c>
      <c r="G692" s="2">
        <v>59</v>
      </c>
      <c r="H692" s="3">
        <v>0.41</v>
      </c>
      <c r="I692" s="3">
        <v>0.16</v>
      </c>
      <c r="J692" s="3">
        <v>0.11</v>
      </c>
      <c r="K692" s="3">
        <v>0.06</v>
      </c>
      <c r="L692" s="3">
        <v>0.08</v>
      </c>
      <c r="M692" s="2" t="s">
        <v>24</v>
      </c>
      <c r="N692" s="3" t="str" cm="1">
        <f t="array" ref="N692">_xlfn.IFS(G692&gt;=90,"Excellent",G692&gt;=80,"Good",G692&gt;=70,"Average",G692&lt;70,"Poor")</f>
        <v>Poor</v>
      </c>
    </row>
    <row r="693" spans="1:14" x14ac:dyDescent="0.35">
      <c r="A693" s="2">
        <v>692</v>
      </c>
      <c r="B693" s="2" t="s">
        <v>734</v>
      </c>
      <c r="C693" s="2" t="s">
        <v>64</v>
      </c>
      <c r="D693" s="2" t="s">
        <v>15</v>
      </c>
      <c r="E693" s="2" t="s">
        <v>20</v>
      </c>
      <c r="F693" s="2">
        <v>2016</v>
      </c>
      <c r="G693" s="2">
        <v>73</v>
      </c>
      <c r="H693" s="3">
        <v>0.49</v>
      </c>
      <c r="I693" s="3">
        <v>0.23</v>
      </c>
      <c r="J693" s="3">
        <v>0.11</v>
      </c>
      <c r="K693" s="3">
        <v>0.03</v>
      </c>
      <c r="L693" s="3">
        <v>0.12</v>
      </c>
      <c r="M693" s="2" t="s">
        <v>24</v>
      </c>
      <c r="N693" s="3" t="str" cm="1">
        <f t="array" ref="N693">_xlfn.IFS(G693&gt;=90,"Excellent",G693&gt;=80,"Good",G693&gt;=70,"Average",G693&lt;70,"Poor")</f>
        <v>Average</v>
      </c>
    </row>
    <row r="694" spans="1:14" x14ac:dyDescent="0.35">
      <c r="A694" s="2">
        <v>693</v>
      </c>
      <c r="B694" s="2" t="s">
        <v>735</v>
      </c>
      <c r="C694" s="2" t="s">
        <v>64</v>
      </c>
      <c r="D694" s="2" t="s">
        <v>33</v>
      </c>
      <c r="E694" s="2" t="s">
        <v>20</v>
      </c>
      <c r="F694" s="2">
        <v>2015</v>
      </c>
      <c r="G694" s="2">
        <v>96</v>
      </c>
      <c r="H694" s="3">
        <v>0.49</v>
      </c>
      <c r="I694" s="3">
        <v>0.26</v>
      </c>
      <c r="J694" s="3">
        <v>0.12</v>
      </c>
      <c r="K694" s="3">
        <v>0.04</v>
      </c>
      <c r="L694" s="3">
        <v>7.0000000000000007E-2</v>
      </c>
      <c r="M694" s="2" t="s">
        <v>24</v>
      </c>
      <c r="N694" s="3" t="str" cm="1">
        <f t="array" ref="N694">_xlfn.IFS(G694&gt;=90,"Excellent",G694&gt;=80,"Good",G694&gt;=70,"Average",G694&lt;70,"Poor")</f>
        <v>Excellent</v>
      </c>
    </row>
    <row r="695" spans="1:14" x14ac:dyDescent="0.35">
      <c r="A695" s="2">
        <v>694</v>
      </c>
      <c r="B695" s="2" t="s">
        <v>736</v>
      </c>
      <c r="C695" s="2" t="s">
        <v>64</v>
      </c>
      <c r="D695" s="2" t="s">
        <v>37</v>
      </c>
      <c r="E695" s="2" t="s">
        <v>60</v>
      </c>
      <c r="F695" s="2">
        <v>2016</v>
      </c>
      <c r="G695" s="2">
        <v>59</v>
      </c>
      <c r="H695" s="3">
        <v>0.15</v>
      </c>
      <c r="I695" s="3">
        <v>7.0000000000000007E-2</v>
      </c>
      <c r="J695" s="3">
        <v>0.05</v>
      </c>
      <c r="K695" s="3">
        <v>0.01</v>
      </c>
      <c r="L695" s="3">
        <v>0.02</v>
      </c>
      <c r="M695" s="2" t="s">
        <v>24</v>
      </c>
      <c r="N695" s="3" t="str" cm="1">
        <f t="array" ref="N695">_xlfn.IFS(G695&gt;=90,"Excellent",G695&gt;=80,"Good",G695&gt;=70,"Average",G695&lt;70,"Poor")</f>
        <v>Poor</v>
      </c>
    </row>
    <row r="696" spans="1:14" x14ac:dyDescent="0.35">
      <c r="A696" s="2">
        <v>695</v>
      </c>
      <c r="B696" s="2" t="s">
        <v>737</v>
      </c>
      <c r="C696" s="2" t="s">
        <v>19</v>
      </c>
      <c r="D696" s="2" t="s">
        <v>15</v>
      </c>
      <c r="E696" s="2" t="s">
        <v>74</v>
      </c>
      <c r="F696" s="2">
        <v>2016</v>
      </c>
      <c r="G696" s="2">
        <v>89</v>
      </c>
      <c r="H696" s="3">
        <v>0.56000000000000005</v>
      </c>
      <c r="I696" s="3">
        <v>0.22</v>
      </c>
      <c r="J696" s="3">
        <v>0.16</v>
      </c>
      <c r="K696" s="3">
        <v>0.05</v>
      </c>
      <c r="L696" s="3">
        <v>0.13</v>
      </c>
      <c r="M696" s="2" t="s">
        <v>17</v>
      </c>
      <c r="N696" s="3" t="str" cm="1">
        <f t="array" ref="N696">_xlfn.IFS(G696&gt;=90,"Excellent",G696&gt;=80,"Good",G696&gt;=70,"Average",G696&lt;70,"Poor")</f>
        <v>Good</v>
      </c>
    </row>
    <row r="697" spans="1:14" x14ac:dyDescent="0.35">
      <c r="A697" s="2">
        <v>696</v>
      </c>
      <c r="B697" s="2" t="s">
        <v>738</v>
      </c>
      <c r="C697" s="2" t="s">
        <v>31</v>
      </c>
      <c r="D697" s="2" t="s">
        <v>65</v>
      </c>
      <c r="E697" s="2" t="s">
        <v>74</v>
      </c>
      <c r="F697" s="2">
        <v>2006</v>
      </c>
      <c r="G697" s="2">
        <v>60</v>
      </c>
      <c r="H697" s="3">
        <v>5.43</v>
      </c>
      <c r="I697" s="3">
        <v>2.57</v>
      </c>
      <c r="J697" s="3">
        <v>1.22</v>
      </c>
      <c r="K697" s="3">
        <v>0.59</v>
      </c>
      <c r="L697" s="3">
        <v>1.05</v>
      </c>
      <c r="M697" s="2" t="s">
        <v>21</v>
      </c>
      <c r="N697" s="3" t="str" cm="1">
        <f t="array" ref="N697">_xlfn.IFS(G697&gt;=90,"Excellent",G697&gt;=80,"Good",G697&gt;=70,"Average",G697&lt;70,"Poor")</f>
        <v>Poor</v>
      </c>
    </row>
    <row r="698" spans="1:14" x14ac:dyDescent="0.35">
      <c r="A698" s="2">
        <v>697</v>
      </c>
      <c r="B698" s="2" t="s">
        <v>739</v>
      </c>
      <c r="C698" s="2" t="s">
        <v>57</v>
      </c>
      <c r="D698" s="2" t="s">
        <v>29</v>
      </c>
      <c r="E698" s="2" t="s">
        <v>16</v>
      </c>
      <c r="F698" s="2">
        <v>2012</v>
      </c>
      <c r="G698" s="2">
        <v>66</v>
      </c>
      <c r="H698" s="3">
        <v>0.31</v>
      </c>
      <c r="I698" s="3">
        <v>0.15</v>
      </c>
      <c r="J698" s="3">
        <v>0.1</v>
      </c>
      <c r="K698" s="3">
        <v>0.04</v>
      </c>
      <c r="L698" s="3">
        <v>0.02</v>
      </c>
      <c r="M698" s="2" t="s">
        <v>24</v>
      </c>
      <c r="N698" s="3" t="str" cm="1">
        <f t="array" ref="N698">_xlfn.IFS(G698&gt;=90,"Excellent",G698&gt;=80,"Good",G698&gt;=70,"Average",G698&lt;70,"Poor")</f>
        <v>Poor</v>
      </c>
    </row>
    <row r="699" spans="1:14" x14ac:dyDescent="0.35">
      <c r="A699" s="2">
        <v>698</v>
      </c>
      <c r="B699" s="2" t="s">
        <v>740</v>
      </c>
      <c r="C699" s="2" t="s">
        <v>14</v>
      </c>
      <c r="D699" s="2" t="s">
        <v>2</v>
      </c>
      <c r="E699" s="2" t="s">
        <v>20</v>
      </c>
      <c r="F699" s="2">
        <v>2012</v>
      </c>
      <c r="G699" s="2">
        <v>67</v>
      </c>
      <c r="H699" s="3">
        <v>0.54</v>
      </c>
      <c r="I699" s="3">
        <v>0.21</v>
      </c>
      <c r="J699" s="3">
        <v>0.14000000000000001</v>
      </c>
      <c r="K699" s="3">
        <v>0.06</v>
      </c>
      <c r="L699" s="3">
        <v>0.13</v>
      </c>
      <c r="M699" s="2" t="s">
        <v>17</v>
      </c>
      <c r="N699" s="3" t="str" cm="1">
        <f t="array" ref="N699">_xlfn.IFS(G699&gt;=90,"Excellent",G699&gt;=80,"Good",G699&gt;=70,"Average",G699&lt;70,"Poor")</f>
        <v>Poor</v>
      </c>
    </row>
    <row r="700" spans="1:14" x14ac:dyDescent="0.35">
      <c r="A700" s="2">
        <v>699</v>
      </c>
      <c r="B700" s="2" t="s">
        <v>741</v>
      </c>
      <c r="C700" s="2" t="s">
        <v>31</v>
      </c>
      <c r="D700" s="2" t="s">
        <v>29</v>
      </c>
      <c r="E700" s="2" t="s">
        <v>46</v>
      </c>
      <c r="F700" s="2">
        <v>2006</v>
      </c>
      <c r="G700" s="2">
        <v>63</v>
      </c>
      <c r="H700" s="3">
        <v>1.1499999999999999</v>
      </c>
      <c r="I700" s="3">
        <v>0.52</v>
      </c>
      <c r="J700" s="3">
        <v>0.27</v>
      </c>
      <c r="K700" s="3">
        <v>0.06</v>
      </c>
      <c r="L700" s="3">
        <v>0.3</v>
      </c>
      <c r="M700" s="2" t="s">
        <v>17</v>
      </c>
      <c r="N700" s="3" t="str" cm="1">
        <f t="array" ref="N700">_xlfn.IFS(G700&gt;=90,"Excellent",G700&gt;=80,"Good",G700&gt;=70,"Average",G700&lt;70,"Poor")</f>
        <v>Poor</v>
      </c>
    </row>
    <row r="701" spans="1:14" x14ac:dyDescent="0.35">
      <c r="A701" s="2">
        <v>700</v>
      </c>
      <c r="B701" s="2" t="s">
        <v>742</v>
      </c>
      <c r="C701" s="2" t="s">
        <v>23</v>
      </c>
      <c r="D701" s="2" t="s">
        <v>29</v>
      </c>
      <c r="E701" s="2" t="s">
        <v>41</v>
      </c>
      <c r="F701" s="2">
        <v>2024</v>
      </c>
      <c r="G701" s="2">
        <v>82</v>
      </c>
      <c r="H701" s="3">
        <v>0.36</v>
      </c>
      <c r="I701" s="3">
        <v>0.15</v>
      </c>
      <c r="J701" s="3">
        <v>0.09</v>
      </c>
      <c r="K701" s="3">
        <v>0.03</v>
      </c>
      <c r="L701" s="3">
        <v>0.09</v>
      </c>
      <c r="M701" s="2" t="s">
        <v>24</v>
      </c>
      <c r="N701" s="3" t="str" cm="1">
        <f t="array" ref="N701">_xlfn.IFS(G701&gt;=90,"Excellent",G701&gt;=80,"Good",G701&gt;=70,"Average",G701&lt;70,"Poor")</f>
        <v>Good</v>
      </c>
    </row>
    <row r="702" spans="1:14" x14ac:dyDescent="0.35">
      <c r="A702" s="2">
        <v>701</v>
      </c>
      <c r="B702" s="2" t="s">
        <v>743</v>
      </c>
      <c r="C702" s="2" t="s">
        <v>31</v>
      </c>
      <c r="D702" s="2" t="s">
        <v>33</v>
      </c>
      <c r="E702" s="2" t="s">
        <v>43</v>
      </c>
      <c r="F702" s="2">
        <v>2002</v>
      </c>
      <c r="G702" s="2">
        <v>87</v>
      </c>
      <c r="H702" s="3">
        <v>0.7</v>
      </c>
      <c r="I702" s="3">
        <v>0.36</v>
      </c>
      <c r="J702" s="3">
        <v>0.24</v>
      </c>
      <c r="K702" s="3">
        <v>0.05</v>
      </c>
      <c r="L702" s="3">
        <v>0.05</v>
      </c>
      <c r="M702" s="2" t="s">
        <v>17</v>
      </c>
      <c r="N702" s="3" t="str" cm="1">
        <f t="array" ref="N702">_xlfn.IFS(G702&gt;=90,"Excellent",G702&gt;=80,"Good",G702&gt;=70,"Average",G702&lt;70,"Poor")</f>
        <v>Good</v>
      </c>
    </row>
    <row r="703" spans="1:14" x14ac:dyDescent="0.35">
      <c r="A703" s="2">
        <v>702</v>
      </c>
      <c r="B703" s="2" t="s">
        <v>744</v>
      </c>
      <c r="C703" s="2" t="s">
        <v>59</v>
      </c>
      <c r="D703" s="2" t="s">
        <v>15</v>
      </c>
      <c r="E703" s="2" t="s">
        <v>60</v>
      </c>
      <c r="F703" s="2">
        <v>1997</v>
      </c>
      <c r="G703" s="2">
        <v>67</v>
      </c>
      <c r="H703" s="3">
        <v>0.57999999999999996</v>
      </c>
      <c r="I703" s="3">
        <v>0.28999999999999998</v>
      </c>
      <c r="J703" s="3">
        <v>0.18</v>
      </c>
      <c r="K703" s="3">
        <v>0.1</v>
      </c>
      <c r="L703" s="3">
        <v>0.01</v>
      </c>
      <c r="M703" s="2" t="s">
        <v>17</v>
      </c>
      <c r="N703" s="3" t="str" cm="1">
        <f t="array" ref="N703">_xlfn.IFS(G703&gt;=90,"Excellent",G703&gt;=80,"Good",G703&gt;=70,"Average",G703&lt;70,"Poor")</f>
        <v>Poor</v>
      </c>
    </row>
    <row r="704" spans="1:14" x14ac:dyDescent="0.35">
      <c r="A704" s="2">
        <v>703</v>
      </c>
      <c r="B704" s="2" t="s">
        <v>745</v>
      </c>
      <c r="C704" s="2" t="s">
        <v>31</v>
      </c>
      <c r="D704" s="2" t="s">
        <v>2</v>
      </c>
      <c r="E704" s="2" t="s">
        <v>54</v>
      </c>
      <c r="F704" s="2">
        <v>2005</v>
      </c>
      <c r="G704" s="2">
        <v>55</v>
      </c>
      <c r="H704" s="3">
        <v>1.19</v>
      </c>
      <c r="I704" s="3">
        <v>0.5</v>
      </c>
      <c r="J704" s="3">
        <v>0.42</v>
      </c>
      <c r="K704" s="3">
        <v>0.23</v>
      </c>
      <c r="L704" s="3">
        <v>0.04</v>
      </c>
      <c r="M704" s="2" t="s">
        <v>17</v>
      </c>
      <c r="N704" s="3" t="str" cm="1">
        <f t="array" ref="N704">_xlfn.IFS(G704&gt;=90,"Excellent",G704&gt;=80,"Good",G704&gt;=70,"Average",G704&lt;70,"Poor")</f>
        <v>Poor</v>
      </c>
    </row>
    <row r="705" spans="1:14" x14ac:dyDescent="0.35">
      <c r="A705" s="2">
        <v>704</v>
      </c>
      <c r="B705" s="2" t="s">
        <v>746</v>
      </c>
      <c r="C705" s="2" t="s">
        <v>64</v>
      </c>
      <c r="D705" s="2" t="s">
        <v>62</v>
      </c>
      <c r="E705" s="2" t="s">
        <v>60</v>
      </c>
      <c r="F705" s="2">
        <v>2011</v>
      </c>
      <c r="G705" s="2">
        <v>69</v>
      </c>
      <c r="H705" s="3">
        <v>0.05</v>
      </c>
      <c r="I705" s="3">
        <v>0.02</v>
      </c>
      <c r="J705" s="3">
        <v>0.01</v>
      </c>
      <c r="K705" s="3">
        <v>0.01</v>
      </c>
      <c r="L705" s="3">
        <v>0.01</v>
      </c>
      <c r="M705" s="2" t="s">
        <v>24</v>
      </c>
      <c r="N705" s="3" t="str" cm="1">
        <f t="array" ref="N705">_xlfn.IFS(G705&gt;=90,"Excellent",G705&gt;=80,"Good",G705&gt;=70,"Average",G705&lt;70,"Poor")</f>
        <v>Poor</v>
      </c>
    </row>
    <row r="706" spans="1:14" x14ac:dyDescent="0.35">
      <c r="A706" s="2">
        <v>705</v>
      </c>
      <c r="B706" s="2" t="s">
        <v>747</v>
      </c>
      <c r="C706" s="2" t="s">
        <v>64</v>
      </c>
      <c r="D706" s="2" t="s">
        <v>62</v>
      </c>
      <c r="E706" s="2" t="s">
        <v>43</v>
      </c>
      <c r="F706" s="2">
        <v>2018</v>
      </c>
      <c r="G706" s="2">
        <v>67</v>
      </c>
      <c r="H706" s="3">
        <v>0.05</v>
      </c>
      <c r="I706" s="3">
        <v>0.02</v>
      </c>
      <c r="J706" s="3">
        <v>0.01</v>
      </c>
      <c r="K706" s="3">
        <v>0.01</v>
      </c>
      <c r="L706" s="3">
        <v>0.01</v>
      </c>
      <c r="M706" s="2" t="s">
        <v>24</v>
      </c>
      <c r="N706" s="3" t="str" cm="1">
        <f t="array" ref="N706">_xlfn.IFS(G706&gt;=90,"Excellent",G706&gt;=80,"Good",G706&gt;=70,"Average",G706&lt;70,"Poor")</f>
        <v>Poor</v>
      </c>
    </row>
    <row r="707" spans="1:14" x14ac:dyDescent="0.35">
      <c r="A707" s="2">
        <v>706</v>
      </c>
      <c r="B707" s="2" t="s">
        <v>748</v>
      </c>
      <c r="C707" s="2" t="s">
        <v>59</v>
      </c>
      <c r="D707" s="2" t="s">
        <v>37</v>
      </c>
      <c r="E707" s="2" t="s">
        <v>74</v>
      </c>
      <c r="F707" s="2">
        <v>1997</v>
      </c>
      <c r="G707" s="2">
        <v>55</v>
      </c>
      <c r="H707" s="3">
        <v>0.4</v>
      </c>
      <c r="I707" s="3">
        <v>0.17</v>
      </c>
      <c r="J707" s="3">
        <v>0.09</v>
      </c>
      <c r="K707" s="3">
        <v>0.05</v>
      </c>
      <c r="L707" s="3">
        <v>0.09</v>
      </c>
      <c r="M707" s="2" t="s">
        <v>24</v>
      </c>
      <c r="N707" s="3" t="str" cm="1">
        <f t="array" ref="N707">_xlfn.IFS(G707&gt;=90,"Excellent",G707&gt;=80,"Good",G707&gt;=70,"Average",G707&lt;70,"Poor")</f>
        <v>Poor</v>
      </c>
    </row>
    <row r="708" spans="1:14" x14ac:dyDescent="0.35">
      <c r="A708" s="2">
        <v>707</v>
      </c>
      <c r="B708" s="2" t="s">
        <v>749</v>
      </c>
      <c r="C708" s="2" t="s">
        <v>64</v>
      </c>
      <c r="D708" s="2" t="s">
        <v>65</v>
      </c>
      <c r="E708" s="2" t="s">
        <v>46</v>
      </c>
      <c r="F708" s="2">
        <v>2017</v>
      </c>
      <c r="G708" s="2">
        <v>56</v>
      </c>
      <c r="H708" s="3">
        <v>0.33</v>
      </c>
      <c r="I708" s="3">
        <v>0.12</v>
      </c>
      <c r="J708" s="3">
        <v>0.11</v>
      </c>
      <c r="K708" s="3">
        <v>7.0000000000000007E-2</v>
      </c>
      <c r="L708" s="3">
        <v>0.03</v>
      </c>
      <c r="M708" s="2" t="s">
        <v>24</v>
      </c>
      <c r="N708" s="3" t="str" cm="1">
        <f t="array" ref="N708">_xlfn.IFS(G708&gt;=90,"Excellent",G708&gt;=80,"Good",G708&gt;=70,"Average",G708&lt;70,"Poor")</f>
        <v>Poor</v>
      </c>
    </row>
    <row r="709" spans="1:14" x14ac:dyDescent="0.35">
      <c r="A709" s="2">
        <v>708</v>
      </c>
      <c r="B709" s="2" t="s">
        <v>750</v>
      </c>
      <c r="C709" s="2" t="s">
        <v>23</v>
      </c>
      <c r="D709" s="2" t="s">
        <v>2</v>
      </c>
      <c r="E709" s="2" t="s">
        <v>74</v>
      </c>
      <c r="F709" s="2">
        <v>2025</v>
      </c>
      <c r="G709" s="2">
        <v>79</v>
      </c>
      <c r="H709" s="3">
        <v>0.35</v>
      </c>
      <c r="I709" s="3">
        <v>0.16</v>
      </c>
      <c r="J709" s="3">
        <v>0.08</v>
      </c>
      <c r="K709" s="3">
        <v>0.02</v>
      </c>
      <c r="L709" s="3">
        <v>0.09</v>
      </c>
      <c r="M709" s="2" t="s">
        <v>24</v>
      </c>
      <c r="N709" s="3" t="str" cm="1">
        <f t="array" ref="N709">_xlfn.IFS(G709&gt;=90,"Excellent",G709&gt;=80,"Good",G709&gt;=70,"Average",G709&lt;70,"Poor")</f>
        <v>Average</v>
      </c>
    </row>
    <row r="710" spans="1:14" x14ac:dyDescent="0.35">
      <c r="A710" s="2">
        <v>709</v>
      </c>
      <c r="B710" s="2" t="s">
        <v>751</v>
      </c>
      <c r="C710" s="2" t="s">
        <v>23</v>
      </c>
      <c r="D710" s="2" t="s">
        <v>51</v>
      </c>
      <c r="E710" s="2" t="s">
        <v>49</v>
      </c>
      <c r="F710" s="2">
        <v>2023</v>
      </c>
      <c r="G710" s="2">
        <v>98</v>
      </c>
      <c r="H710" s="3">
        <v>0.8</v>
      </c>
      <c r="I710" s="3">
        <v>0.39</v>
      </c>
      <c r="J710" s="3">
        <v>0.22</v>
      </c>
      <c r="K710" s="3">
        <v>0.06</v>
      </c>
      <c r="L710" s="3">
        <v>0.13</v>
      </c>
      <c r="M710" s="2" t="s">
        <v>17</v>
      </c>
      <c r="N710" s="3" t="str" cm="1">
        <f t="array" ref="N710">_xlfn.IFS(G710&gt;=90,"Excellent",G710&gt;=80,"Good",G710&gt;=70,"Average",G710&lt;70,"Poor")</f>
        <v>Excellent</v>
      </c>
    </row>
    <row r="711" spans="1:14" x14ac:dyDescent="0.35">
      <c r="A711" s="2">
        <v>710</v>
      </c>
      <c r="B711" s="2" t="s">
        <v>752</v>
      </c>
      <c r="C711" s="2" t="s">
        <v>59</v>
      </c>
      <c r="D711" s="2" t="s">
        <v>51</v>
      </c>
      <c r="E711" s="2" t="s">
        <v>52</v>
      </c>
      <c r="F711" s="2">
        <v>1998</v>
      </c>
      <c r="G711" s="2">
        <v>97</v>
      </c>
      <c r="H711" s="3">
        <v>0.43</v>
      </c>
      <c r="I711" s="3">
        <v>0.18</v>
      </c>
      <c r="J711" s="3">
        <v>0.09</v>
      </c>
      <c r="K711" s="3">
        <v>0.04</v>
      </c>
      <c r="L711" s="3">
        <v>0.12</v>
      </c>
      <c r="M711" s="2" t="s">
        <v>24</v>
      </c>
      <c r="N711" s="3" t="str" cm="1">
        <f t="array" ref="N711">_xlfn.IFS(G711&gt;=90,"Excellent",G711&gt;=80,"Good",G711&gt;=70,"Average",G711&lt;70,"Poor")</f>
        <v>Excellent</v>
      </c>
    </row>
    <row r="712" spans="1:14" x14ac:dyDescent="0.35">
      <c r="A712" s="2">
        <v>711</v>
      </c>
      <c r="B712" s="2" t="s">
        <v>753</v>
      </c>
      <c r="C712" s="2" t="s">
        <v>19</v>
      </c>
      <c r="D712" s="2" t="s">
        <v>37</v>
      </c>
      <c r="E712" s="2" t="s">
        <v>49</v>
      </c>
      <c r="F712" s="2">
        <v>2019</v>
      </c>
      <c r="G712" s="2">
        <v>81</v>
      </c>
      <c r="H712" s="3">
        <v>0.78</v>
      </c>
      <c r="I712" s="3">
        <v>0.42</v>
      </c>
      <c r="J712" s="3">
        <v>0.26</v>
      </c>
      <c r="K712" s="3">
        <v>0.05</v>
      </c>
      <c r="L712" s="3">
        <v>0.05</v>
      </c>
      <c r="M712" s="2" t="s">
        <v>17</v>
      </c>
      <c r="N712" s="3" t="str" cm="1">
        <f t="array" ref="N712">_xlfn.IFS(G712&gt;=90,"Excellent",G712&gt;=80,"Good",G712&gt;=70,"Average",G712&lt;70,"Poor")</f>
        <v>Good</v>
      </c>
    </row>
    <row r="713" spans="1:14" x14ac:dyDescent="0.35">
      <c r="A713" s="2">
        <v>712</v>
      </c>
      <c r="B713" s="2" t="s">
        <v>754</v>
      </c>
      <c r="C713" s="2" t="s">
        <v>31</v>
      </c>
      <c r="D713" s="2" t="s">
        <v>45</v>
      </c>
      <c r="E713" s="2" t="s">
        <v>16</v>
      </c>
      <c r="F713" s="2">
        <v>2002</v>
      </c>
      <c r="G713" s="2">
        <v>91</v>
      </c>
      <c r="H713" s="3">
        <v>3.43</v>
      </c>
      <c r="I713" s="3">
        <v>1.55</v>
      </c>
      <c r="J713" s="3">
        <v>1.04</v>
      </c>
      <c r="K713" s="3">
        <v>0.31</v>
      </c>
      <c r="L713" s="3">
        <v>0.53</v>
      </c>
      <c r="M713" s="2" t="s">
        <v>27</v>
      </c>
      <c r="N713" s="3" t="str" cm="1">
        <f t="array" ref="N713">_xlfn.IFS(G713&gt;=90,"Excellent",G713&gt;=80,"Good",G713&gt;=70,"Average",G713&lt;70,"Poor")</f>
        <v>Excellent</v>
      </c>
    </row>
    <row r="714" spans="1:14" x14ac:dyDescent="0.35">
      <c r="A714" s="2">
        <v>713</v>
      </c>
      <c r="B714" s="2" t="s">
        <v>755</v>
      </c>
      <c r="C714" s="2" t="s">
        <v>59</v>
      </c>
      <c r="D714" s="2" t="s">
        <v>62</v>
      </c>
      <c r="E714" s="2" t="s">
        <v>49</v>
      </c>
      <c r="F714" s="2">
        <v>1996</v>
      </c>
      <c r="G714" s="2">
        <v>70</v>
      </c>
      <c r="H714" s="3">
        <v>0.63</v>
      </c>
      <c r="I714" s="3">
        <v>0.33</v>
      </c>
      <c r="J714" s="3">
        <v>0.17</v>
      </c>
      <c r="K714" s="3">
        <v>0.09</v>
      </c>
      <c r="L714" s="3">
        <v>0.04</v>
      </c>
      <c r="M714" s="2" t="s">
        <v>17</v>
      </c>
      <c r="N714" s="3" t="str" cm="1">
        <f t="array" ref="N714">_xlfn.IFS(G714&gt;=90,"Excellent",G714&gt;=80,"Good",G714&gt;=70,"Average",G714&lt;70,"Poor")</f>
        <v>Average</v>
      </c>
    </row>
    <row r="715" spans="1:14" x14ac:dyDescent="0.35">
      <c r="A715" s="2">
        <v>714</v>
      </c>
      <c r="B715" s="2" t="s">
        <v>756</v>
      </c>
      <c r="C715" s="2" t="s">
        <v>57</v>
      </c>
      <c r="D715" s="2" t="s">
        <v>51</v>
      </c>
      <c r="E715" s="2" t="s">
        <v>16</v>
      </c>
      <c r="F715" s="2">
        <v>2005</v>
      </c>
      <c r="G715" s="2">
        <v>80</v>
      </c>
      <c r="H715" s="3">
        <v>1.2</v>
      </c>
      <c r="I715" s="3">
        <v>0.46</v>
      </c>
      <c r="J715" s="3">
        <v>0.28000000000000003</v>
      </c>
      <c r="K715" s="3">
        <v>0.22</v>
      </c>
      <c r="L715" s="3">
        <v>0.24</v>
      </c>
      <c r="M715" s="2" t="s">
        <v>17</v>
      </c>
      <c r="N715" s="3" t="str" cm="1">
        <f t="array" ref="N715">_xlfn.IFS(G715&gt;=90,"Excellent",G715&gt;=80,"Good",G715&gt;=70,"Average",G715&lt;70,"Poor")</f>
        <v>Good</v>
      </c>
    </row>
    <row r="716" spans="1:14" x14ac:dyDescent="0.35">
      <c r="A716" s="2">
        <v>715</v>
      </c>
      <c r="B716" s="2" t="s">
        <v>757</v>
      </c>
      <c r="C716" s="2" t="s">
        <v>57</v>
      </c>
      <c r="D716" s="2" t="s">
        <v>62</v>
      </c>
      <c r="E716" s="2" t="s">
        <v>41</v>
      </c>
      <c r="F716" s="2">
        <v>2010</v>
      </c>
      <c r="G716" s="2">
        <v>61</v>
      </c>
      <c r="H716" s="3">
        <v>0.05</v>
      </c>
      <c r="I716" s="3">
        <v>0.02</v>
      </c>
      <c r="J716" s="3">
        <v>0.02</v>
      </c>
      <c r="K716" s="3">
        <v>0</v>
      </c>
      <c r="L716" s="3">
        <v>0.01</v>
      </c>
      <c r="M716" s="2" t="s">
        <v>24</v>
      </c>
      <c r="N716" s="3" t="str" cm="1">
        <f t="array" ref="N716">_xlfn.IFS(G716&gt;=90,"Excellent",G716&gt;=80,"Good",G716&gt;=70,"Average",G716&lt;70,"Poor")</f>
        <v>Poor</v>
      </c>
    </row>
    <row r="717" spans="1:14" x14ac:dyDescent="0.35">
      <c r="A717" s="2">
        <v>716</v>
      </c>
      <c r="B717" s="2" t="s">
        <v>758</v>
      </c>
      <c r="C717" s="2" t="s">
        <v>57</v>
      </c>
      <c r="D717" s="2" t="s">
        <v>51</v>
      </c>
      <c r="E717" s="2" t="s">
        <v>49</v>
      </c>
      <c r="F717" s="2">
        <v>2012</v>
      </c>
      <c r="G717" s="2">
        <v>81</v>
      </c>
      <c r="H717" s="3">
        <v>0.28999999999999998</v>
      </c>
      <c r="I717" s="3">
        <v>0.12</v>
      </c>
      <c r="J717" s="3">
        <v>0.08</v>
      </c>
      <c r="K717" s="3">
        <v>0.03</v>
      </c>
      <c r="L717" s="3">
        <v>0.06</v>
      </c>
      <c r="M717" s="2" t="s">
        <v>24</v>
      </c>
      <c r="N717" s="3" t="str" cm="1">
        <f t="array" ref="N717">_xlfn.IFS(G717&gt;=90,"Excellent",G717&gt;=80,"Good",G717&gt;=70,"Average",G717&lt;70,"Poor")</f>
        <v>Good</v>
      </c>
    </row>
    <row r="718" spans="1:14" x14ac:dyDescent="0.35">
      <c r="A718" s="2">
        <v>717</v>
      </c>
      <c r="B718" s="2" t="s">
        <v>759</v>
      </c>
      <c r="C718" s="2" t="s">
        <v>59</v>
      </c>
      <c r="D718" s="2" t="s">
        <v>62</v>
      </c>
      <c r="E718" s="2" t="s">
        <v>41</v>
      </c>
      <c r="F718" s="2">
        <v>2000</v>
      </c>
      <c r="G718" s="2">
        <v>67</v>
      </c>
      <c r="H718" s="3">
        <v>0.34</v>
      </c>
      <c r="I718" s="3">
        <v>0.13</v>
      </c>
      <c r="J718" s="3">
        <v>0.11</v>
      </c>
      <c r="K718" s="3">
        <v>0.03</v>
      </c>
      <c r="L718" s="3">
        <v>7.0000000000000007E-2</v>
      </c>
      <c r="M718" s="2" t="s">
        <v>24</v>
      </c>
      <c r="N718" s="3" t="str" cm="1">
        <f t="array" ref="N718">_xlfn.IFS(G718&gt;=90,"Excellent",G718&gt;=80,"Good",G718&gt;=70,"Average",G718&lt;70,"Poor")</f>
        <v>Poor</v>
      </c>
    </row>
    <row r="719" spans="1:14" x14ac:dyDescent="0.35">
      <c r="A719" s="2">
        <v>718</v>
      </c>
      <c r="B719" s="2" t="s">
        <v>760</v>
      </c>
      <c r="C719" s="2" t="s">
        <v>57</v>
      </c>
      <c r="D719" s="2" t="s">
        <v>62</v>
      </c>
      <c r="E719" s="2" t="s">
        <v>16</v>
      </c>
      <c r="F719" s="2">
        <v>2011</v>
      </c>
      <c r="G719" s="2">
        <v>90</v>
      </c>
      <c r="H719" s="3">
        <v>1.1200000000000001</v>
      </c>
      <c r="I719" s="3">
        <v>0.49</v>
      </c>
      <c r="J719" s="3">
        <v>0.3</v>
      </c>
      <c r="K719" s="3">
        <v>0.1</v>
      </c>
      <c r="L719" s="3">
        <v>0.23</v>
      </c>
      <c r="M719" s="2" t="s">
        <v>17</v>
      </c>
      <c r="N719" s="3" t="str" cm="1">
        <f t="array" ref="N719">_xlfn.IFS(G719&gt;=90,"Excellent",G719&gt;=80,"Good",G719&gt;=70,"Average",G719&lt;70,"Poor")</f>
        <v>Excellent</v>
      </c>
    </row>
    <row r="720" spans="1:14" x14ac:dyDescent="0.35">
      <c r="A720" s="2">
        <v>719</v>
      </c>
      <c r="B720" s="2" t="s">
        <v>761</v>
      </c>
      <c r="C720" s="2" t="s">
        <v>31</v>
      </c>
      <c r="D720" s="2" t="s">
        <v>15</v>
      </c>
      <c r="E720" s="2" t="s">
        <v>74</v>
      </c>
      <c r="F720" s="2">
        <v>2001</v>
      </c>
      <c r="G720" s="2">
        <v>73</v>
      </c>
      <c r="H720" s="3">
        <v>0.14000000000000001</v>
      </c>
      <c r="I720" s="3">
        <v>0.05</v>
      </c>
      <c r="J720" s="3">
        <v>0.03</v>
      </c>
      <c r="K720" s="3">
        <v>0.02</v>
      </c>
      <c r="L720" s="3">
        <v>0.04</v>
      </c>
      <c r="M720" s="2" t="s">
        <v>24</v>
      </c>
      <c r="N720" s="3" t="str" cm="1">
        <f t="array" ref="N720">_xlfn.IFS(G720&gt;=90,"Excellent",G720&gt;=80,"Good",G720&gt;=70,"Average",G720&lt;70,"Poor")</f>
        <v>Average</v>
      </c>
    </row>
    <row r="721" spans="1:14" x14ac:dyDescent="0.35">
      <c r="A721" s="2">
        <v>720</v>
      </c>
      <c r="B721" s="2" t="s">
        <v>762</v>
      </c>
      <c r="C721" s="2" t="s">
        <v>31</v>
      </c>
      <c r="D721" s="2" t="s">
        <v>15</v>
      </c>
      <c r="E721" s="2" t="s">
        <v>60</v>
      </c>
      <c r="F721" s="2">
        <v>2001</v>
      </c>
      <c r="G721" s="2">
        <v>58</v>
      </c>
      <c r="H721" s="3">
        <v>1.43</v>
      </c>
      <c r="I721" s="3">
        <v>0.76</v>
      </c>
      <c r="J721" s="3">
        <v>0.37</v>
      </c>
      <c r="K721" s="3">
        <v>0.14000000000000001</v>
      </c>
      <c r="L721" s="3">
        <v>0.16</v>
      </c>
      <c r="M721" s="2" t="s">
        <v>17</v>
      </c>
      <c r="N721" s="3" t="str" cm="1">
        <f t="array" ref="N721">_xlfn.IFS(G721&gt;=90,"Excellent",G721&gt;=80,"Good",G721&gt;=70,"Average",G721&lt;70,"Poor")</f>
        <v>Poor</v>
      </c>
    </row>
    <row r="722" spans="1:14" x14ac:dyDescent="0.35">
      <c r="A722" s="2">
        <v>721</v>
      </c>
      <c r="B722" s="2" t="s">
        <v>763</v>
      </c>
      <c r="C722" s="2" t="s">
        <v>59</v>
      </c>
      <c r="D722" s="2" t="s">
        <v>15</v>
      </c>
      <c r="E722" s="2" t="s">
        <v>20</v>
      </c>
      <c r="F722" s="2">
        <v>1999</v>
      </c>
      <c r="G722" s="2">
        <v>70</v>
      </c>
      <c r="H722" s="3">
        <v>0.31</v>
      </c>
      <c r="I722" s="3">
        <v>0.11</v>
      </c>
      <c r="J722" s="3">
        <v>0.08</v>
      </c>
      <c r="K722" s="3">
        <v>0.06</v>
      </c>
      <c r="L722" s="3">
        <v>0.06</v>
      </c>
      <c r="M722" s="2" t="s">
        <v>24</v>
      </c>
      <c r="N722" s="3" t="str" cm="1">
        <f t="array" ref="N722">_xlfn.IFS(G722&gt;=90,"Excellent",G722&gt;=80,"Good",G722&gt;=70,"Average",G722&lt;70,"Poor")</f>
        <v>Average</v>
      </c>
    </row>
    <row r="723" spans="1:14" x14ac:dyDescent="0.35">
      <c r="A723" s="2">
        <v>722</v>
      </c>
      <c r="B723" s="2" t="s">
        <v>764</v>
      </c>
      <c r="C723" s="2" t="s">
        <v>14</v>
      </c>
      <c r="D723" s="2" t="s">
        <v>33</v>
      </c>
      <c r="E723" s="2" t="s">
        <v>52</v>
      </c>
      <c r="F723" s="2">
        <v>2009</v>
      </c>
      <c r="G723" s="2">
        <v>65</v>
      </c>
      <c r="H723" s="3">
        <v>0.14000000000000001</v>
      </c>
      <c r="I723" s="3">
        <v>7.0000000000000007E-2</v>
      </c>
      <c r="J723" s="3">
        <v>0.03</v>
      </c>
      <c r="K723" s="3">
        <v>0.02</v>
      </c>
      <c r="L723" s="3">
        <v>0.02</v>
      </c>
      <c r="M723" s="2" t="s">
        <v>24</v>
      </c>
      <c r="N723" s="3" t="str" cm="1">
        <f t="array" ref="N723">_xlfn.IFS(G723&gt;=90,"Excellent",G723&gt;=80,"Good",G723&gt;=70,"Average",G723&lt;70,"Poor")</f>
        <v>Poor</v>
      </c>
    </row>
    <row r="724" spans="1:14" x14ac:dyDescent="0.35">
      <c r="A724" s="2">
        <v>723</v>
      </c>
      <c r="B724" s="2" t="s">
        <v>765</v>
      </c>
      <c r="C724" s="2" t="s">
        <v>23</v>
      </c>
      <c r="D724" s="2" t="s">
        <v>65</v>
      </c>
      <c r="E724" s="2" t="s">
        <v>41</v>
      </c>
      <c r="F724" s="2">
        <v>2021</v>
      </c>
      <c r="G724" s="2">
        <v>69</v>
      </c>
      <c r="H724" s="3">
        <v>0.37</v>
      </c>
      <c r="I724" s="3">
        <v>0.14000000000000001</v>
      </c>
      <c r="J724" s="3">
        <v>0.1</v>
      </c>
      <c r="K724" s="3">
        <v>0.04</v>
      </c>
      <c r="L724" s="3">
        <v>0.09</v>
      </c>
      <c r="M724" s="2" t="s">
        <v>24</v>
      </c>
      <c r="N724" s="3" t="str" cm="1">
        <f t="array" ref="N724">_xlfn.IFS(G724&gt;=90,"Excellent",G724&gt;=80,"Good",G724&gt;=70,"Average",G724&lt;70,"Poor")</f>
        <v>Poor</v>
      </c>
    </row>
    <row r="725" spans="1:14" x14ac:dyDescent="0.35">
      <c r="A725" s="2">
        <v>724</v>
      </c>
      <c r="B725" s="2" t="s">
        <v>766</v>
      </c>
      <c r="C725" s="2" t="s">
        <v>19</v>
      </c>
      <c r="D725" s="2" t="s">
        <v>62</v>
      </c>
      <c r="E725" s="2" t="s">
        <v>52</v>
      </c>
      <c r="F725" s="2">
        <v>2016</v>
      </c>
      <c r="G725" s="2">
        <v>96</v>
      </c>
      <c r="H725" s="3">
        <v>0.99</v>
      </c>
      <c r="I725" s="3">
        <v>0.52</v>
      </c>
      <c r="J725" s="3">
        <v>0.26</v>
      </c>
      <c r="K725" s="3">
        <v>0.16</v>
      </c>
      <c r="L725" s="3">
        <v>0.05</v>
      </c>
      <c r="M725" s="2" t="s">
        <v>17</v>
      </c>
      <c r="N725" s="3" t="str" cm="1">
        <f t="array" ref="N725">_xlfn.IFS(G725&gt;=90,"Excellent",G725&gt;=80,"Good",G725&gt;=70,"Average",G725&lt;70,"Poor")</f>
        <v>Excellent</v>
      </c>
    </row>
    <row r="726" spans="1:14" x14ac:dyDescent="0.35">
      <c r="A726" s="2">
        <v>725</v>
      </c>
      <c r="B726" s="2" t="s">
        <v>767</v>
      </c>
      <c r="C726" s="2" t="s">
        <v>19</v>
      </c>
      <c r="D726" s="2" t="s">
        <v>65</v>
      </c>
      <c r="E726" s="2" t="s">
        <v>74</v>
      </c>
      <c r="F726" s="2">
        <v>2014</v>
      </c>
      <c r="G726" s="2">
        <v>61</v>
      </c>
      <c r="H726" s="3">
        <v>2.08</v>
      </c>
      <c r="I726" s="3">
        <v>1.1299999999999999</v>
      </c>
      <c r="J726" s="3">
        <v>0.63</v>
      </c>
      <c r="K726" s="3">
        <v>0.21</v>
      </c>
      <c r="L726" s="3">
        <v>0.11</v>
      </c>
      <c r="M726" s="2" t="s">
        <v>27</v>
      </c>
      <c r="N726" s="3" t="str" cm="1">
        <f t="array" ref="N726">_xlfn.IFS(G726&gt;=90,"Excellent",G726&gt;=80,"Good",G726&gt;=70,"Average",G726&lt;70,"Poor")</f>
        <v>Poor</v>
      </c>
    </row>
    <row r="727" spans="1:14" x14ac:dyDescent="0.35">
      <c r="A727" s="2">
        <v>726</v>
      </c>
      <c r="B727" s="2" t="s">
        <v>768</v>
      </c>
      <c r="C727" s="2" t="s">
        <v>57</v>
      </c>
      <c r="D727" s="2" t="s">
        <v>62</v>
      </c>
      <c r="E727" s="2" t="s">
        <v>49</v>
      </c>
      <c r="F727" s="2">
        <v>2009</v>
      </c>
      <c r="G727" s="2">
        <v>93</v>
      </c>
      <c r="H727" s="3">
        <v>1.52</v>
      </c>
      <c r="I727" s="3">
        <v>0.69</v>
      </c>
      <c r="J727" s="3">
        <v>0.47</v>
      </c>
      <c r="K727" s="3">
        <v>0.19</v>
      </c>
      <c r="L727" s="3">
        <v>0.17</v>
      </c>
      <c r="M727" s="2" t="s">
        <v>17</v>
      </c>
      <c r="N727" s="3" t="str" cm="1">
        <f t="array" ref="N727">_xlfn.IFS(G727&gt;=90,"Excellent",G727&gt;=80,"Good",G727&gt;=70,"Average",G727&lt;70,"Poor")</f>
        <v>Excellent</v>
      </c>
    </row>
    <row r="728" spans="1:14" x14ac:dyDescent="0.35">
      <c r="A728" s="2">
        <v>727</v>
      </c>
      <c r="B728" s="2" t="s">
        <v>769</v>
      </c>
      <c r="C728" s="2" t="s">
        <v>57</v>
      </c>
      <c r="D728" s="2" t="s">
        <v>48</v>
      </c>
      <c r="E728" s="2" t="s">
        <v>20</v>
      </c>
      <c r="F728" s="2">
        <v>2004</v>
      </c>
      <c r="G728" s="2">
        <v>74</v>
      </c>
      <c r="H728" s="3">
        <v>0.23</v>
      </c>
      <c r="I728" s="3">
        <v>0.09</v>
      </c>
      <c r="J728" s="3">
        <v>0.05</v>
      </c>
      <c r="K728" s="3">
        <v>0.02</v>
      </c>
      <c r="L728" s="3">
        <v>7.0000000000000007E-2</v>
      </c>
      <c r="M728" s="2" t="s">
        <v>24</v>
      </c>
      <c r="N728" s="3" t="str" cm="1">
        <f t="array" ref="N728">_xlfn.IFS(G728&gt;=90,"Excellent",G728&gt;=80,"Good",G728&gt;=70,"Average",G728&lt;70,"Poor")</f>
        <v>Average</v>
      </c>
    </row>
    <row r="729" spans="1:14" x14ac:dyDescent="0.35">
      <c r="A729" s="2">
        <v>728</v>
      </c>
      <c r="B729" s="2" t="s">
        <v>770</v>
      </c>
      <c r="C729" s="2" t="s">
        <v>19</v>
      </c>
      <c r="D729" s="2" t="s">
        <v>48</v>
      </c>
      <c r="E729" s="2" t="s">
        <v>54</v>
      </c>
      <c r="F729" s="2">
        <v>2017</v>
      </c>
      <c r="G729" s="2">
        <v>96</v>
      </c>
      <c r="H729" s="3">
        <v>13.3</v>
      </c>
      <c r="I729" s="3">
        <v>6.62</v>
      </c>
      <c r="J729" s="3">
        <v>3.32</v>
      </c>
      <c r="K729" s="3">
        <v>1.22</v>
      </c>
      <c r="L729" s="3">
        <v>2.14</v>
      </c>
      <c r="M729" s="2" t="s">
        <v>21</v>
      </c>
      <c r="N729" s="3" t="str" cm="1">
        <f t="array" ref="N729">_xlfn.IFS(G729&gt;=90,"Excellent",G729&gt;=80,"Good",G729&gt;=70,"Average",G729&lt;70,"Poor")</f>
        <v>Excellent</v>
      </c>
    </row>
    <row r="730" spans="1:14" x14ac:dyDescent="0.35">
      <c r="A730" s="2">
        <v>729</v>
      </c>
      <c r="B730" s="2" t="s">
        <v>771</v>
      </c>
      <c r="C730" s="2" t="s">
        <v>57</v>
      </c>
      <c r="D730" s="2" t="s">
        <v>65</v>
      </c>
      <c r="E730" s="2" t="s">
        <v>41</v>
      </c>
      <c r="F730" s="2">
        <v>2004</v>
      </c>
      <c r="G730" s="2">
        <v>69</v>
      </c>
      <c r="H730" s="3">
        <v>1.07</v>
      </c>
      <c r="I730" s="3">
        <v>0.43</v>
      </c>
      <c r="J730" s="3">
        <v>0.3</v>
      </c>
      <c r="K730" s="3">
        <v>0.2</v>
      </c>
      <c r="L730" s="3">
        <v>0.14000000000000001</v>
      </c>
      <c r="M730" s="2" t="s">
        <v>17</v>
      </c>
      <c r="N730" s="3" t="str" cm="1">
        <f t="array" ref="N730">_xlfn.IFS(G730&gt;=90,"Excellent",G730&gt;=80,"Good",G730&gt;=70,"Average",G730&lt;70,"Poor")</f>
        <v>Poor</v>
      </c>
    </row>
    <row r="731" spans="1:14" x14ac:dyDescent="0.35">
      <c r="A731" s="2">
        <v>730</v>
      </c>
      <c r="B731" s="2" t="s">
        <v>772</v>
      </c>
      <c r="C731" s="2" t="s">
        <v>57</v>
      </c>
      <c r="D731" s="2" t="s">
        <v>48</v>
      </c>
      <c r="E731" s="2" t="s">
        <v>74</v>
      </c>
      <c r="F731" s="2">
        <v>2007</v>
      </c>
      <c r="G731" s="2">
        <v>75</v>
      </c>
      <c r="H731" s="3">
        <v>0.13</v>
      </c>
      <c r="I731" s="3">
        <v>0.05</v>
      </c>
      <c r="J731" s="3">
        <v>0.04</v>
      </c>
      <c r="K731" s="3">
        <v>0.03</v>
      </c>
      <c r="L731" s="3">
        <v>0.01</v>
      </c>
      <c r="M731" s="2" t="s">
        <v>24</v>
      </c>
      <c r="N731" s="3" t="str" cm="1">
        <f t="array" ref="N731">_xlfn.IFS(G731&gt;=90,"Excellent",G731&gt;=80,"Good",G731&gt;=70,"Average",G731&lt;70,"Poor")</f>
        <v>Average</v>
      </c>
    </row>
    <row r="732" spans="1:14" x14ac:dyDescent="0.35">
      <c r="A732" s="2">
        <v>731</v>
      </c>
      <c r="B732" s="2" t="s">
        <v>773</v>
      </c>
      <c r="C732" s="2" t="s">
        <v>59</v>
      </c>
      <c r="D732" s="2" t="s">
        <v>37</v>
      </c>
      <c r="E732" s="2" t="s">
        <v>52</v>
      </c>
      <c r="F732" s="2">
        <v>2000</v>
      </c>
      <c r="G732" s="2">
        <v>66</v>
      </c>
      <c r="H732" s="3">
        <v>0.95</v>
      </c>
      <c r="I732" s="3">
        <v>0.51</v>
      </c>
      <c r="J732" s="3">
        <v>0.22</v>
      </c>
      <c r="K732" s="3">
        <v>0.06</v>
      </c>
      <c r="L732" s="3">
        <v>0.16</v>
      </c>
      <c r="M732" s="2" t="s">
        <v>17</v>
      </c>
      <c r="N732" s="3" t="str" cm="1">
        <f t="array" ref="N732">_xlfn.IFS(G732&gt;=90,"Excellent",G732&gt;=80,"Good",G732&gt;=70,"Average",G732&lt;70,"Poor")</f>
        <v>Poor</v>
      </c>
    </row>
    <row r="733" spans="1:14" x14ac:dyDescent="0.35">
      <c r="A733" s="2">
        <v>732</v>
      </c>
      <c r="B733" s="2" t="s">
        <v>774</v>
      </c>
      <c r="C733" s="2" t="s">
        <v>57</v>
      </c>
      <c r="D733" s="2" t="s">
        <v>51</v>
      </c>
      <c r="E733" s="2" t="s">
        <v>54</v>
      </c>
      <c r="F733" s="2">
        <v>2011</v>
      </c>
      <c r="G733" s="2">
        <v>82</v>
      </c>
      <c r="H733" s="3">
        <v>0.25</v>
      </c>
      <c r="I733" s="3">
        <v>0.1</v>
      </c>
      <c r="J733" s="3">
        <v>7.0000000000000007E-2</v>
      </c>
      <c r="K733" s="3">
        <v>0.04</v>
      </c>
      <c r="L733" s="3">
        <v>0.04</v>
      </c>
      <c r="M733" s="2" t="s">
        <v>24</v>
      </c>
      <c r="N733" s="3" t="str" cm="1">
        <f t="array" ref="N733">_xlfn.IFS(G733&gt;=90,"Excellent",G733&gt;=80,"Good",G733&gt;=70,"Average",G733&lt;70,"Poor")</f>
        <v>Good</v>
      </c>
    </row>
    <row r="734" spans="1:14" x14ac:dyDescent="0.35">
      <c r="A734" s="2">
        <v>733</v>
      </c>
      <c r="B734" s="2" t="s">
        <v>775</v>
      </c>
      <c r="C734" s="2" t="s">
        <v>14</v>
      </c>
      <c r="D734" s="2" t="s">
        <v>33</v>
      </c>
      <c r="E734" s="2" t="s">
        <v>43</v>
      </c>
      <c r="F734" s="2">
        <v>2013</v>
      </c>
      <c r="G734" s="2">
        <v>65</v>
      </c>
      <c r="H734" s="3">
        <v>0.55000000000000004</v>
      </c>
      <c r="I734" s="3">
        <v>0.26</v>
      </c>
      <c r="J734" s="3">
        <v>0.15</v>
      </c>
      <c r="K734" s="3">
        <v>0.04</v>
      </c>
      <c r="L734" s="3">
        <v>0.1</v>
      </c>
      <c r="M734" s="2" t="s">
        <v>17</v>
      </c>
      <c r="N734" s="3" t="str" cm="1">
        <f t="array" ref="N734">_xlfn.IFS(G734&gt;=90,"Excellent",G734&gt;=80,"Good",G734&gt;=70,"Average",G734&lt;70,"Poor")</f>
        <v>Poor</v>
      </c>
    </row>
    <row r="735" spans="1:14" x14ac:dyDescent="0.35">
      <c r="A735" s="2">
        <v>734</v>
      </c>
      <c r="B735" s="2" t="s">
        <v>776</v>
      </c>
      <c r="C735" s="2" t="s">
        <v>64</v>
      </c>
      <c r="D735" s="2" t="s">
        <v>15</v>
      </c>
      <c r="E735" s="2" t="s">
        <v>41</v>
      </c>
      <c r="F735" s="2">
        <v>2018</v>
      </c>
      <c r="G735" s="2">
        <v>74</v>
      </c>
      <c r="H735" s="3">
        <v>0.35</v>
      </c>
      <c r="I735" s="3">
        <v>0.17</v>
      </c>
      <c r="J735" s="3">
        <v>0.08</v>
      </c>
      <c r="K735" s="3">
        <v>0.04</v>
      </c>
      <c r="L735" s="3">
        <v>0.06</v>
      </c>
      <c r="M735" s="2" t="s">
        <v>24</v>
      </c>
      <c r="N735" s="3" t="str" cm="1">
        <f t="array" ref="N735">_xlfn.IFS(G735&gt;=90,"Excellent",G735&gt;=80,"Good",G735&gt;=70,"Average",G735&lt;70,"Poor")</f>
        <v>Average</v>
      </c>
    </row>
    <row r="736" spans="1:14" x14ac:dyDescent="0.35">
      <c r="A736" s="2">
        <v>735</v>
      </c>
      <c r="B736" s="2" t="s">
        <v>777</v>
      </c>
      <c r="C736" s="2" t="s">
        <v>19</v>
      </c>
      <c r="D736" s="2" t="s">
        <v>45</v>
      </c>
      <c r="E736" s="2" t="s">
        <v>60</v>
      </c>
      <c r="F736" s="2">
        <v>2017</v>
      </c>
      <c r="G736" s="2">
        <v>59</v>
      </c>
      <c r="H736" s="3">
        <v>0.33</v>
      </c>
      <c r="I736" s="3">
        <v>0.13</v>
      </c>
      <c r="J736" s="3">
        <v>0.11</v>
      </c>
      <c r="K736" s="3">
        <v>0.02</v>
      </c>
      <c r="L736" s="3">
        <v>7.0000000000000007E-2</v>
      </c>
      <c r="M736" s="2" t="s">
        <v>24</v>
      </c>
      <c r="N736" s="3" t="str" cm="1">
        <f t="array" ref="N736">_xlfn.IFS(G736&gt;=90,"Excellent",G736&gt;=80,"Good",G736&gt;=70,"Average",G736&lt;70,"Poor")</f>
        <v>Poor</v>
      </c>
    </row>
    <row r="737" spans="1:14" x14ac:dyDescent="0.35">
      <c r="A737" s="2">
        <v>736</v>
      </c>
      <c r="B737" s="2" t="s">
        <v>778</v>
      </c>
      <c r="C737" s="2" t="s">
        <v>64</v>
      </c>
      <c r="D737" s="2" t="s">
        <v>29</v>
      </c>
      <c r="E737" s="2" t="s">
        <v>16</v>
      </c>
      <c r="F737" s="2">
        <v>2019</v>
      </c>
      <c r="G737" s="2">
        <v>80</v>
      </c>
      <c r="H737" s="3">
        <v>0.94</v>
      </c>
      <c r="I737" s="3">
        <v>0.42</v>
      </c>
      <c r="J737" s="3">
        <v>0.28000000000000003</v>
      </c>
      <c r="K737" s="3">
        <v>0.13</v>
      </c>
      <c r="L737" s="3">
        <v>0.11</v>
      </c>
      <c r="M737" s="2" t="s">
        <v>17</v>
      </c>
      <c r="N737" s="3" t="str" cm="1">
        <f t="array" ref="N737">_xlfn.IFS(G737&gt;=90,"Excellent",G737&gt;=80,"Good",G737&gt;=70,"Average",G737&lt;70,"Poor")</f>
        <v>Good</v>
      </c>
    </row>
    <row r="738" spans="1:14" x14ac:dyDescent="0.35">
      <c r="A738" s="2">
        <v>737</v>
      </c>
      <c r="B738" s="2" t="s">
        <v>779</v>
      </c>
      <c r="C738" s="2" t="s">
        <v>19</v>
      </c>
      <c r="D738" s="2" t="s">
        <v>33</v>
      </c>
      <c r="E738" s="2" t="s">
        <v>41</v>
      </c>
      <c r="F738" s="2">
        <v>2013</v>
      </c>
      <c r="G738" s="2">
        <v>67</v>
      </c>
      <c r="H738" s="3">
        <v>4.37</v>
      </c>
      <c r="I738" s="3">
        <v>1.83</v>
      </c>
      <c r="J738" s="3">
        <v>1.34</v>
      </c>
      <c r="K738" s="3">
        <v>0.63</v>
      </c>
      <c r="L738" s="3">
        <v>0.56999999999999995</v>
      </c>
      <c r="M738" s="2" t="s">
        <v>27</v>
      </c>
      <c r="N738" s="3" t="str" cm="1">
        <f t="array" ref="N738">_xlfn.IFS(G738&gt;=90,"Excellent",G738&gt;=80,"Good",G738&gt;=70,"Average",G738&lt;70,"Poor")</f>
        <v>Poor</v>
      </c>
    </row>
    <row r="739" spans="1:14" x14ac:dyDescent="0.35">
      <c r="A739" s="2">
        <v>738</v>
      </c>
      <c r="B739" s="2" t="s">
        <v>780</v>
      </c>
      <c r="C739" s="2" t="s">
        <v>14</v>
      </c>
      <c r="D739" s="2" t="s">
        <v>45</v>
      </c>
      <c r="E739" s="2" t="s">
        <v>41</v>
      </c>
      <c r="F739" s="2">
        <v>2006</v>
      </c>
      <c r="G739" s="2">
        <v>85</v>
      </c>
      <c r="H739" s="3">
        <v>1.1000000000000001</v>
      </c>
      <c r="I739" s="3">
        <v>0.54</v>
      </c>
      <c r="J739" s="3">
        <v>0.33</v>
      </c>
      <c r="K739" s="3">
        <v>0.1</v>
      </c>
      <c r="L739" s="3">
        <v>0.13</v>
      </c>
      <c r="M739" s="2" t="s">
        <v>17</v>
      </c>
      <c r="N739" s="3" t="str" cm="1">
        <f t="array" ref="N739">_xlfn.IFS(G739&gt;=90,"Excellent",G739&gt;=80,"Good",G739&gt;=70,"Average",G739&lt;70,"Poor")</f>
        <v>Good</v>
      </c>
    </row>
    <row r="740" spans="1:14" x14ac:dyDescent="0.35">
      <c r="A740" s="2">
        <v>739</v>
      </c>
      <c r="B740" s="2" t="s">
        <v>781</v>
      </c>
      <c r="C740" s="2" t="s">
        <v>19</v>
      </c>
      <c r="D740" s="2" t="s">
        <v>51</v>
      </c>
      <c r="E740" s="2" t="s">
        <v>52</v>
      </c>
      <c r="F740" s="2">
        <v>2015</v>
      </c>
      <c r="G740" s="2">
        <v>97</v>
      </c>
      <c r="H740" s="3">
        <v>2.63</v>
      </c>
      <c r="I740" s="3">
        <v>1.4</v>
      </c>
      <c r="J740" s="3">
        <v>0.68</v>
      </c>
      <c r="K740" s="3">
        <v>0.36</v>
      </c>
      <c r="L740" s="3">
        <v>0.19</v>
      </c>
      <c r="M740" s="2" t="s">
        <v>27</v>
      </c>
      <c r="N740" s="3" t="str" cm="1">
        <f t="array" ref="N740">_xlfn.IFS(G740&gt;=90,"Excellent",G740&gt;=80,"Good",G740&gt;=70,"Average",G740&lt;70,"Poor")</f>
        <v>Excellent</v>
      </c>
    </row>
    <row r="741" spans="1:14" x14ac:dyDescent="0.35">
      <c r="A741" s="2">
        <v>740</v>
      </c>
      <c r="B741" s="2" t="s">
        <v>782</v>
      </c>
      <c r="C741" s="2" t="s">
        <v>59</v>
      </c>
      <c r="D741" s="2" t="s">
        <v>48</v>
      </c>
      <c r="E741" s="2" t="s">
        <v>41</v>
      </c>
      <c r="F741" s="2">
        <v>1999</v>
      </c>
      <c r="G741" s="2">
        <v>71</v>
      </c>
      <c r="H741" s="3">
        <v>0.73</v>
      </c>
      <c r="I741" s="3">
        <v>0.33</v>
      </c>
      <c r="J741" s="3">
        <v>0.24</v>
      </c>
      <c r="K741" s="3">
        <v>0.1</v>
      </c>
      <c r="L741" s="3">
        <v>0.06</v>
      </c>
      <c r="M741" s="2" t="s">
        <v>17</v>
      </c>
      <c r="N741" s="3" t="str" cm="1">
        <f t="array" ref="N741">_xlfn.IFS(G741&gt;=90,"Excellent",G741&gt;=80,"Good",G741&gt;=70,"Average",G741&lt;70,"Poor")</f>
        <v>Average</v>
      </c>
    </row>
    <row r="742" spans="1:14" x14ac:dyDescent="0.35">
      <c r="A742" s="2">
        <v>741</v>
      </c>
      <c r="B742" s="2" t="s">
        <v>783</v>
      </c>
      <c r="C742" s="2" t="s">
        <v>57</v>
      </c>
      <c r="D742" s="2" t="s">
        <v>33</v>
      </c>
      <c r="E742" s="2" t="s">
        <v>49</v>
      </c>
      <c r="F742" s="2">
        <v>2010</v>
      </c>
      <c r="G742" s="2">
        <v>64</v>
      </c>
      <c r="H742" s="3">
        <v>0.31</v>
      </c>
      <c r="I742" s="3">
        <v>0.15</v>
      </c>
      <c r="J742" s="3">
        <v>0.09</v>
      </c>
      <c r="K742" s="3">
        <v>0.02</v>
      </c>
      <c r="L742" s="3">
        <v>0.05</v>
      </c>
      <c r="M742" s="2" t="s">
        <v>24</v>
      </c>
      <c r="N742" s="3" t="str" cm="1">
        <f t="array" ref="N742">_xlfn.IFS(G742&gt;=90,"Excellent",G742&gt;=80,"Good",G742&gt;=70,"Average",G742&lt;70,"Poor")</f>
        <v>Poor</v>
      </c>
    </row>
    <row r="743" spans="1:14" x14ac:dyDescent="0.35">
      <c r="A743" s="2">
        <v>742</v>
      </c>
      <c r="B743" s="2" t="s">
        <v>784</v>
      </c>
      <c r="C743" s="2" t="s">
        <v>31</v>
      </c>
      <c r="D743" s="2" t="s">
        <v>62</v>
      </c>
      <c r="E743" s="2" t="s">
        <v>20</v>
      </c>
      <c r="F743" s="2">
        <v>2006</v>
      </c>
      <c r="G743" s="2">
        <v>81</v>
      </c>
      <c r="H743" s="3">
        <v>0.74</v>
      </c>
      <c r="I743" s="3">
        <v>0.37</v>
      </c>
      <c r="J743" s="3">
        <v>0.17</v>
      </c>
      <c r="K743" s="3">
        <v>0.08</v>
      </c>
      <c r="L743" s="3">
        <v>0.12</v>
      </c>
      <c r="M743" s="2" t="s">
        <v>17</v>
      </c>
      <c r="N743" s="3" t="str" cm="1">
        <f t="array" ref="N743">_xlfn.IFS(G743&gt;=90,"Excellent",G743&gt;=80,"Good",G743&gt;=70,"Average",G743&lt;70,"Poor")</f>
        <v>Good</v>
      </c>
    </row>
    <row r="744" spans="1:14" x14ac:dyDescent="0.35">
      <c r="A744" s="2">
        <v>743</v>
      </c>
      <c r="B744" s="2" t="s">
        <v>785</v>
      </c>
      <c r="C744" s="2" t="s">
        <v>57</v>
      </c>
      <c r="D744" s="2" t="s">
        <v>48</v>
      </c>
      <c r="E744" s="2" t="s">
        <v>16</v>
      </c>
      <c r="F744" s="2">
        <v>2006</v>
      </c>
      <c r="G744" s="2">
        <v>62</v>
      </c>
      <c r="H744" s="3">
        <v>0.32</v>
      </c>
      <c r="I744" s="3">
        <v>0.12</v>
      </c>
      <c r="J744" s="3">
        <v>7.0000000000000007E-2</v>
      </c>
      <c r="K744" s="3">
        <v>0.02</v>
      </c>
      <c r="L744" s="3">
        <v>0.11</v>
      </c>
      <c r="M744" s="2" t="s">
        <v>24</v>
      </c>
      <c r="N744" s="3" t="str" cm="1">
        <f t="array" ref="N744">_xlfn.IFS(G744&gt;=90,"Excellent",G744&gt;=80,"Good",G744&gt;=70,"Average",G744&lt;70,"Poor")</f>
        <v>Poor</v>
      </c>
    </row>
    <row r="745" spans="1:14" x14ac:dyDescent="0.35">
      <c r="A745" s="2">
        <v>744</v>
      </c>
      <c r="B745" s="2" t="s">
        <v>786</v>
      </c>
      <c r="C745" s="2" t="s">
        <v>64</v>
      </c>
      <c r="D745" s="2" t="s">
        <v>51</v>
      </c>
      <c r="E745" s="2" t="s">
        <v>41</v>
      </c>
      <c r="F745" s="2">
        <v>2014</v>
      </c>
      <c r="G745" s="2">
        <v>61</v>
      </c>
      <c r="H745" s="3">
        <v>0.57999999999999996</v>
      </c>
      <c r="I745" s="3">
        <v>0.24</v>
      </c>
      <c r="J745" s="3">
        <v>0.15</v>
      </c>
      <c r="K745" s="3">
        <v>0.05</v>
      </c>
      <c r="L745" s="3">
        <v>0.14000000000000001</v>
      </c>
      <c r="M745" s="2" t="s">
        <v>17</v>
      </c>
      <c r="N745" s="3" t="str" cm="1">
        <f t="array" ref="N745">_xlfn.IFS(G745&gt;=90,"Excellent",G745&gt;=80,"Good",G745&gt;=70,"Average",G745&lt;70,"Poor")</f>
        <v>Poor</v>
      </c>
    </row>
    <row r="746" spans="1:14" x14ac:dyDescent="0.35">
      <c r="A746" s="2">
        <v>745</v>
      </c>
      <c r="B746" s="2" t="s">
        <v>787</v>
      </c>
      <c r="C746" s="2" t="s">
        <v>14</v>
      </c>
      <c r="D746" s="2" t="s">
        <v>2</v>
      </c>
      <c r="E746" s="2" t="s">
        <v>52</v>
      </c>
      <c r="F746" s="2">
        <v>2006</v>
      </c>
      <c r="G746" s="2">
        <v>98</v>
      </c>
      <c r="H746" s="3">
        <v>1.98</v>
      </c>
      <c r="I746" s="3">
        <v>0.71</v>
      </c>
      <c r="J746" s="3">
        <v>0.46</v>
      </c>
      <c r="K746" s="3">
        <v>0.33</v>
      </c>
      <c r="L746" s="3">
        <v>0.48</v>
      </c>
      <c r="M746" s="2" t="s">
        <v>17</v>
      </c>
      <c r="N746" s="3" t="str" cm="1">
        <f t="array" ref="N746">_xlfn.IFS(G746&gt;=90,"Excellent",G746&gt;=80,"Good",G746&gt;=70,"Average",G746&lt;70,"Poor")</f>
        <v>Excellent</v>
      </c>
    </row>
    <row r="747" spans="1:14" x14ac:dyDescent="0.35">
      <c r="A747" s="2">
        <v>746</v>
      </c>
      <c r="B747" s="2" t="s">
        <v>788</v>
      </c>
      <c r="C747" s="2" t="s">
        <v>19</v>
      </c>
      <c r="D747" s="2" t="s">
        <v>51</v>
      </c>
      <c r="E747" s="2" t="s">
        <v>16</v>
      </c>
      <c r="F747" s="2">
        <v>2021</v>
      </c>
      <c r="G747" s="2">
        <v>93</v>
      </c>
      <c r="H747" s="3">
        <v>0.72</v>
      </c>
      <c r="I747" s="3">
        <v>0.36</v>
      </c>
      <c r="J747" s="3">
        <v>0.24</v>
      </c>
      <c r="K747" s="3">
        <v>0.12</v>
      </c>
      <c r="L747" s="3">
        <v>0</v>
      </c>
      <c r="M747" s="2" t="s">
        <v>17</v>
      </c>
      <c r="N747" s="3" t="str" cm="1">
        <f t="array" ref="N747">_xlfn.IFS(G747&gt;=90,"Excellent",G747&gt;=80,"Good",G747&gt;=70,"Average",G747&lt;70,"Poor")</f>
        <v>Excellent</v>
      </c>
    </row>
    <row r="748" spans="1:14" x14ac:dyDescent="0.35">
      <c r="A748" s="2">
        <v>747</v>
      </c>
      <c r="B748" s="2" t="s">
        <v>789</v>
      </c>
      <c r="C748" s="2" t="s">
        <v>14</v>
      </c>
      <c r="D748" s="2" t="s">
        <v>45</v>
      </c>
      <c r="E748" s="2" t="s">
        <v>74</v>
      </c>
      <c r="F748" s="2">
        <v>2012</v>
      </c>
      <c r="G748" s="2">
        <v>76</v>
      </c>
      <c r="H748" s="3">
        <v>1.53</v>
      </c>
      <c r="I748" s="3">
        <v>0.79</v>
      </c>
      <c r="J748" s="3">
        <v>0.52</v>
      </c>
      <c r="K748" s="3">
        <v>0.08</v>
      </c>
      <c r="L748" s="3">
        <v>0.14000000000000001</v>
      </c>
      <c r="M748" s="2" t="s">
        <v>17</v>
      </c>
      <c r="N748" s="3" t="str" cm="1">
        <f t="array" ref="N748">_xlfn.IFS(G748&gt;=90,"Excellent",G748&gt;=80,"Good",G748&gt;=70,"Average",G748&lt;70,"Poor")</f>
        <v>Average</v>
      </c>
    </row>
    <row r="749" spans="1:14" x14ac:dyDescent="0.35">
      <c r="A749" s="2">
        <v>748</v>
      </c>
      <c r="B749" s="2" t="s">
        <v>790</v>
      </c>
      <c r="C749" s="2" t="s">
        <v>59</v>
      </c>
      <c r="D749" s="2" t="s">
        <v>51</v>
      </c>
      <c r="E749" s="2" t="s">
        <v>52</v>
      </c>
      <c r="F749" s="2">
        <v>1999</v>
      </c>
      <c r="G749" s="2">
        <v>94</v>
      </c>
      <c r="H749" s="3">
        <v>3.69</v>
      </c>
      <c r="I749" s="3">
        <v>1.67</v>
      </c>
      <c r="J749" s="3">
        <v>1.1000000000000001</v>
      </c>
      <c r="K749" s="3">
        <v>0.19</v>
      </c>
      <c r="L749" s="3">
        <v>0.73</v>
      </c>
      <c r="M749" s="2" t="s">
        <v>27</v>
      </c>
      <c r="N749" s="3" t="str" cm="1">
        <f t="array" ref="N749">_xlfn.IFS(G749&gt;=90,"Excellent",G749&gt;=80,"Good",G749&gt;=70,"Average",G749&lt;70,"Poor")</f>
        <v>Excellent</v>
      </c>
    </row>
    <row r="750" spans="1:14" x14ac:dyDescent="0.35">
      <c r="A750" s="2">
        <v>749</v>
      </c>
      <c r="B750" s="2" t="s">
        <v>791</v>
      </c>
      <c r="C750" s="2" t="s">
        <v>57</v>
      </c>
      <c r="D750" s="2" t="s">
        <v>15</v>
      </c>
      <c r="E750" s="2" t="s">
        <v>43</v>
      </c>
      <c r="F750" s="2">
        <v>2009</v>
      </c>
      <c r="G750" s="2">
        <v>98</v>
      </c>
      <c r="H750" s="3">
        <v>0.38</v>
      </c>
      <c r="I750" s="3">
        <v>0.16</v>
      </c>
      <c r="J750" s="3">
        <v>0.11</v>
      </c>
      <c r="K750" s="3">
        <v>0.02</v>
      </c>
      <c r="L750" s="3">
        <v>0.09</v>
      </c>
      <c r="M750" s="2" t="s">
        <v>24</v>
      </c>
      <c r="N750" s="3" t="str" cm="1">
        <f t="array" ref="N750">_xlfn.IFS(G750&gt;=90,"Excellent",G750&gt;=80,"Good",G750&gt;=70,"Average",G750&lt;70,"Poor")</f>
        <v>Excellent</v>
      </c>
    </row>
    <row r="751" spans="1:14" x14ac:dyDescent="0.35">
      <c r="A751" s="2">
        <v>750</v>
      </c>
      <c r="B751" s="2" t="s">
        <v>792</v>
      </c>
      <c r="C751" s="2" t="s">
        <v>19</v>
      </c>
      <c r="D751" s="2" t="s">
        <v>33</v>
      </c>
      <c r="E751" s="2" t="s">
        <v>41</v>
      </c>
      <c r="F751" s="2">
        <v>2020</v>
      </c>
      <c r="G751" s="2">
        <v>67</v>
      </c>
      <c r="H751" s="3">
        <v>10.02</v>
      </c>
      <c r="I751" s="3">
        <v>5.26</v>
      </c>
      <c r="J751" s="3">
        <v>3.18</v>
      </c>
      <c r="K751" s="3">
        <v>1.58</v>
      </c>
      <c r="L751" s="3">
        <v>0</v>
      </c>
      <c r="M751" s="2" t="s">
        <v>21</v>
      </c>
      <c r="N751" s="3" t="str" cm="1">
        <f t="array" ref="N751">_xlfn.IFS(G751&gt;=90,"Excellent",G751&gt;=80,"Good",G751&gt;=70,"Average",G751&lt;70,"Poor")</f>
        <v>Poor</v>
      </c>
    </row>
    <row r="752" spans="1:14" x14ac:dyDescent="0.35">
      <c r="A752" s="2">
        <v>751</v>
      </c>
      <c r="B752" s="2" t="s">
        <v>793</v>
      </c>
      <c r="C752" s="2" t="s">
        <v>59</v>
      </c>
      <c r="D752" s="2" t="s">
        <v>62</v>
      </c>
      <c r="E752" s="2" t="s">
        <v>49</v>
      </c>
      <c r="F752" s="2">
        <v>1996</v>
      </c>
      <c r="G752" s="2">
        <v>84</v>
      </c>
      <c r="H752" s="3">
        <v>0.16</v>
      </c>
      <c r="I752" s="3">
        <v>0.06</v>
      </c>
      <c r="J752" s="3">
        <v>0.05</v>
      </c>
      <c r="K752" s="3">
        <v>0.01</v>
      </c>
      <c r="L752" s="3">
        <v>0.04</v>
      </c>
      <c r="M752" s="2" t="s">
        <v>24</v>
      </c>
      <c r="N752" s="3" t="str" cm="1">
        <f t="array" ref="N752">_xlfn.IFS(G752&gt;=90,"Excellent",G752&gt;=80,"Good",G752&gt;=70,"Average",G752&lt;70,"Poor")</f>
        <v>Good</v>
      </c>
    </row>
    <row r="753" spans="1:14" x14ac:dyDescent="0.35">
      <c r="A753" s="2">
        <v>752</v>
      </c>
      <c r="B753" s="2" t="s">
        <v>794</v>
      </c>
      <c r="C753" s="2" t="s">
        <v>31</v>
      </c>
      <c r="D753" s="2" t="s">
        <v>33</v>
      </c>
      <c r="E753" s="2" t="s">
        <v>49</v>
      </c>
      <c r="F753" s="2">
        <v>2001</v>
      </c>
      <c r="G753" s="2">
        <v>65</v>
      </c>
      <c r="H753" s="3">
        <v>1.77</v>
      </c>
      <c r="I753" s="3">
        <v>0.76</v>
      </c>
      <c r="J753" s="3">
        <v>0.43</v>
      </c>
      <c r="K753" s="3">
        <v>0.28000000000000003</v>
      </c>
      <c r="L753" s="3">
        <v>0.3</v>
      </c>
      <c r="M753" s="2" t="s">
        <v>17</v>
      </c>
      <c r="N753" s="3" t="str" cm="1">
        <f t="array" ref="N753">_xlfn.IFS(G753&gt;=90,"Excellent",G753&gt;=80,"Good",G753&gt;=70,"Average",G753&lt;70,"Poor")</f>
        <v>Poor</v>
      </c>
    </row>
    <row r="754" spans="1:14" x14ac:dyDescent="0.35">
      <c r="A754" s="2">
        <v>753</v>
      </c>
      <c r="B754" s="2" t="s">
        <v>795</v>
      </c>
      <c r="C754" s="2" t="s">
        <v>57</v>
      </c>
      <c r="D754" s="2" t="s">
        <v>33</v>
      </c>
      <c r="E754" s="2" t="s">
        <v>54</v>
      </c>
      <c r="F754" s="2">
        <v>2011</v>
      </c>
      <c r="G754" s="2">
        <v>60</v>
      </c>
      <c r="H754" s="3">
        <v>0.95</v>
      </c>
      <c r="I754" s="3">
        <v>0.38</v>
      </c>
      <c r="J754" s="3">
        <v>0.27</v>
      </c>
      <c r="K754" s="3">
        <v>0.18</v>
      </c>
      <c r="L754" s="3">
        <v>0.12</v>
      </c>
      <c r="M754" s="2" t="s">
        <v>17</v>
      </c>
      <c r="N754" s="3" t="str" cm="1">
        <f t="array" ref="N754">_xlfn.IFS(G754&gt;=90,"Excellent",G754&gt;=80,"Good",G754&gt;=70,"Average",G754&lt;70,"Poor")</f>
        <v>Poor</v>
      </c>
    </row>
    <row r="755" spans="1:14" x14ac:dyDescent="0.35">
      <c r="A755" s="2">
        <v>754</v>
      </c>
      <c r="B755" s="2" t="s">
        <v>796</v>
      </c>
      <c r="C755" s="2" t="s">
        <v>59</v>
      </c>
      <c r="D755" s="2" t="s">
        <v>29</v>
      </c>
      <c r="E755" s="2" t="s">
        <v>41</v>
      </c>
      <c r="F755" s="2">
        <v>2000</v>
      </c>
      <c r="G755" s="2">
        <v>82</v>
      </c>
      <c r="H755" s="3">
        <v>0.75</v>
      </c>
      <c r="I755" s="3">
        <v>0.28000000000000003</v>
      </c>
      <c r="J755" s="3">
        <v>0.16</v>
      </c>
      <c r="K755" s="3">
        <v>0.05</v>
      </c>
      <c r="L755" s="3">
        <v>0.26</v>
      </c>
      <c r="M755" s="2" t="s">
        <v>17</v>
      </c>
      <c r="N755" s="3" t="str" cm="1">
        <f t="array" ref="N755">_xlfn.IFS(G755&gt;=90,"Excellent",G755&gt;=80,"Good",G755&gt;=70,"Average",G755&lt;70,"Poor")</f>
        <v>Good</v>
      </c>
    </row>
    <row r="756" spans="1:14" x14ac:dyDescent="0.35">
      <c r="A756" s="2">
        <v>755</v>
      </c>
      <c r="B756" s="2" t="s">
        <v>797</v>
      </c>
      <c r="C756" s="2" t="s">
        <v>57</v>
      </c>
      <c r="D756" s="2" t="s">
        <v>48</v>
      </c>
      <c r="E756" s="2" t="s">
        <v>49</v>
      </c>
      <c r="F756" s="2">
        <v>2013</v>
      </c>
      <c r="G756" s="2">
        <v>63</v>
      </c>
      <c r="H756" s="3">
        <v>0.11</v>
      </c>
      <c r="I756" s="3">
        <v>0.06</v>
      </c>
      <c r="J756" s="3">
        <v>0.04</v>
      </c>
      <c r="K756" s="3">
        <v>0.01</v>
      </c>
      <c r="L756" s="3">
        <v>0</v>
      </c>
      <c r="M756" s="2" t="s">
        <v>24</v>
      </c>
      <c r="N756" s="3" t="str" cm="1">
        <f t="array" ref="N756">_xlfn.IFS(G756&gt;=90,"Excellent",G756&gt;=80,"Good",G756&gt;=70,"Average",G756&lt;70,"Poor")</f>
        <v>Poor</v>
      </c>
    </row>
    <row r="757" spans="1:14" x14ac:dyDescent="0.35">
      <c r="A757" s="2">
        <v>756</v>
      </c>
      <c r="B757" s="2" t="s">
        <v>798</v>
      </c>
      <c r="C757" s="2" t="s">
        <v>14</v>
      </c>
      <c r="D757" s="2" t="s">
        <v>65</v>
      </c>
      <c r="E757" s="2" t="s">
        <v>74</v>
      </c>
      <c r="F757" s="2">
        <v>2008</v>
      </c>
      <c r="G757" s="2">
        <v>61</v>
      </c>
      <c r="H757" s="3">
        <v>0.42</v>
      </c>
      <c r="I757" s="3">
        <v>0.19</v>
      </c>
      <c r="J757" s="3">
        <v>0.09</v>
      </c>
      <c r="K757" s="3">
        <v>0.08</v>
      </c>
      <c r="L757" s="3">
        <v>0.06</v>
      </c>
      <c r="M757" s="2" t="s">
        <v>24</v>
      </c>
      <c r="N757" s="3" t="str" cm="1">
        <f t="array" ref="N757">_xlfn.IFS(G757&gt;=90,"Excellent",G757&gt;=80,"Good",G757&gt;=70,"Average",G757&lt;70,"Poor")</f>
        <v>Poor</v>
      </c>
    </row>
    <row r="758" spans="1:14" x14ac:dyDescent="0.35">
      <c r="A758" s="2">
        <v>757</v>
      </c>
      <c r="B758" s="2" t="s">
        <v>799</v>
      </c>
      <c r="C758" s="2" t="s">
        <v>64</v>
      </c>
      <c r="D758" s="2" t="s">
        <v>62</v>
      </c>
      <c r="E758" s="2" t="s">
        <v>16</v>
      </c>
      <c r="F758" s="2">
        <v>2014</v>
      </c>
      <c r="G758" s="2">
        <v>73</v>
      </c>
      <c r="H758" s="3">
        <v>0.06</v>
      </c>
      <c r="I758" s="3">
        <v>0.03</v>
      </c>
      <c r="J758" s="3">
        <v>0.02</v>
      </c>
      <c r="K758" s="3">
        <v>0.01</v>
      </c>
      <c r="L758" s="3">
        <v>0</v>
      </c>
      <c r="M758" s="2" t="s">
        <v>24</v>
      </c>
      <c r="N758" s="3" t="str" cm="1">
        <f t="array" ref="N758">_xlfn.IFS(G758&gt;=90,"Excellent",G758&gt;=80,"Good",G758&gt;=70,"Average",G758&lt;70,"Poor")</f>
        <v>Average</v>
      </c>
    </row>
    <row r="759" spans="1:14" x14ac:dyDescent="0.35">
      <c r="A759" s="2">
        <v>758</v>
      </c>
      <c r="B759" s="2" t="s">
        <v>800</v>
      </c>
      <c r="C759" s="2" t="s">
        <v>14</v>
      </c>
      <c r="D759" s="2" t="s">
        <v>51</v>
      </c>
      <c r="E759" s="2" t="s">
        <v>74</v>
      </c>
      <c r="F759" s="2">
        <v>2007</v>
      </c>
      <c r="G759" s="2">
        <v>86</v>
      </c>
      <c r="H759" s="3">
        <v>0.09</v>
      </c>
      <c r="I759" s="3">
        <v>0.05</v>
      </c>
      <c r="J759" s="3">
        <v>0.03</v>
      </c>
      <c r="K759" s="3">
        <v>0.01</v>
      </c>
      <c r="L759" s="3">
        <v>0</v>
      </c>
      <c r="M759" s="2" t="s">
        <v>24</v>
      </c>
      <c r="N759" s="3" t="str" cm="1">
        <f t="array" ref="N759">_xlfn.IFS(G759&gt;=90,"Excellent",G759&gt;=80,"Good",G759&gt;=70,"Average",G759&lt;70,"Poor")</f>
        <v>Good</v>
      </c>
    </row>
    <row r="760" spans="1:14" x14ac:dyDescent="0.35">
      <c r="A760" s="2">
        <v>759</v>
      </c>
      <c r="B760" s="2" t="s">
        <v>801</v>
      </c>
      <c r="C760" s="2" t="s">
        <v>57</v>
      </c>
      <c r="D760" s="2" t="s">
        <v>37</v>
      </c>
      <c r="E760" s="2" t="s">
        <v>16</v>
      </c>
      <c r="F760" s="2">
        <v>2004</v>
      </c>
      <c r="G760" s="2">
        <v>97</v>
      </c>
      <c r="H760" s="3">
        <v>0.14000000000000001</v>
      </c>
      <c r="I760" s="3">
        <v>0.06</v>
      </c>
      <c r="J760" s="3">
        <v>0.04</v>
      </c>
      <c r="K760" s="3">
        <v>0.01</v>
      </c>
      <c r="L760" s="3">
        <v>0.03</v>
      </c>
      <c r="M760" s="2" t="s">
        <v>24</v>
      </c>
      <c r="N760" s="3" t="str" cm="1">
        <f t="array" ref="N760">_xlfn.IFS(G760&gt;=90,"Excellent",G760&gt;=80,"Good",G760&gt;=70,"Average",G760&lt;70,"Poor")</f>
        <v>Excellent</v>
      </c>
    </row>
    <row r="761" spans="1:14" x14ac:dyDescent="0.35">
      <c r="A761" s="2">
        <v>760</v>
      </c>
      <c r="B761" s="2" t="s">
        <v>802</v>
      </c>
      <c r="C761" s="2" t="s">
        <v>19</v>
      </c>
      <c r="D761" s="2" t="s">
        <v>33</v>
      </c>
      <c r="E761" s="2" t="s">
        <v>60</v>
      </c>
      <c r="F761" s="2">
        <v>2019</v>
      </c>
      <c r="G761" s="2">
        <v>67</v>
      </c>
      <c r="H761" s="3">
        <v>1.61</v>
      </c>
      <c r="I761" s="3">
        <v>0.59</v>
      </c>
      <c r="J761" s="3">
        <v>0.4</v>
      </c>
      <c r="K761" s="3">
        <v>0.27</v>
      </c>
      <c r="L761" s="3">
        <v>0.35</v>
      </c>
      <c r="M761" s="2" t="s">
        <v>17</v>
      </c>
      <c r="N761" s="3" t="str" cm="1">
        <f t="array" ref="N761">_xlfn.IFS(G761&gt;=90,"Excellent",G761&gt;=80,"Good",G761&gt;=70,"Average",G761&lt;70,"Poor")</f>
        <v>Poor</v>
      </c>
    </row>
    <row r="762" spans="1:14" x14ac:dyDescent="0.35">
      <c r="A762" s="2">
        <v>761</v>
      </c>
      <c r="B762" s="2" t="s">
        <v>803</v>
      </c>
      <c r="C762" s="2" t="s">
        <v>64</v>
      </c>
      <c r="D762" s="2" t="s">
        <v>51</v>
      </c>
      <c r="E762" s="2" t="s">
        <v>16</v>
      </c>
      <c r="F762" s="2">
        <v>2011</v>
      </c>
      <c r="G762" s="2">
        <v>63</v>
      </c>
      <c r="H762" s="3">
        <v>0.25</v>
      </c>
      <c r="I762" s="3">
        <v>0.13</v>
      </c>
      <c r="J762" s="3">
        <v>0.06</v>
      </c>
      <c r="K762" s="3">
        <v>0.04</v>
      </c>
      <c r="L762" s="3">
        <v>0.02</v>
      </c>
      <c r="M762" s="2" t="s">
        <v>24</v>
      </c>
      <c r="N762" s="3" t="str" cm="1">
        <f t="array" ref="N762">_xlfn.IFS(G762&gt;=90,"Excellent",G762&gt;=80,"Good",G762&gt;=70,"Average",G762&lt;70,"Poor")</f>
        <v>Poor</v>
      </c>
    </row>
    <row r="763" spans="1:14" x14ac:dyDescent="0.35">
      <c r="A763" s="2">
        <v>762</v>
      </c>
      <c r="B763" s="2" t="s">
        <v>804</v>
      </c>
      <c r="C763" s="2" t="s">
        <v>31</v>
      </c>
      <c r="D763" s="2" t="s">
        <v>15</v>
      </c>
      <c r="E763" s="2" t="s">
        <v>43</v>
      </c>
      <c r="F763" s="2">
        <v>2005</v>
      </c>
      <c r="G763" s="2">
        <v>98</v>
      </c>
      <c r="H763" s="3">
        <v>0.93</v>
      </c>
      <c r="I763" s="3">
        <v>0.34</v>
      </c>
      <c r="J763" s="3">
        <v>0.24</v>
      </c>
      <c r="K763" s="3">
        <v>0.11</v>
      </c>
      <c r="L763" s="3">
        <v>0.24</v>
      </c>
      <c r="M763" s="2" t="s">
        <v>17</v>
      </c>
      <c r="N763" s="3" t="str" cm="1">
        <f t="array" ref="N763">_xlfn.IFS(G763&gt;=90,"Excellent",G763&gt;=80,"Good",G763&gt;=70,"Average",G763&lt;70,"Poor")</f>
        <v>Excellent</v>
      </c>
    </row>
    <row r="764" spans="1:14" x14ac:dyDescent="0.35">
      <c r="A764" s="2">
        <v>763</v>
      </c>
      <c r="B764" s="2" t="s">
        <v>805</v>
      </c>
      <c r="C764" s="2" t="s">
        <v>59</v>
      </c>
      <c r="D764" s="2" t="s">
        <v>65</v>
      </c>
      <c r="E764" s="2" t="s">
        <v>43</v>
      </c>
      <c r="F764" s="2">
        <v>1995</v>
      </c>
      <c r="G764" s="2">
        <v>64</v>
      </c>
      <c r="H764" s="3">
        <v>0.56000000000000005</v>
      </c>
      <c r="I764" s="3">
        <v>0.2</v>
      </c>
      <c r="J764" s="3">
        <v>0.13</v>
      </c>
      <c r="K764" s="3">
        <v>7.0000000000000007E-2</v>
      </c>
      <c r="L764" s="3">
        <v>0.16</v>
      </c>
      <c r="M764" s="2" t="s">
        <v>17</v>
      </c>
      <c r="N764" s="3" t="str" cm="1">
        <f t="array" ref="N764">_xlfn.IFS(G764&gt;=90,"Excellent",G764&gt;=80,"Good",G764&gt;=70,"Average",G764&lt;70,"Poor")</f>
        <v>Poor</v>
      </c>
    </row>
    <row r="765" spans="1:14" x14ac:dyDescent="0.35">
      <c r="A765" s="2">
        <v>764</v>
      </c>
      <c r="B765" s="2" t="s">
        <v>806</v>
      </c>
      <c r="C765" s="2" t="s">
        <v>57</v>
      </c>
      <c r="D765" s="2" t="s">
        <v>37</v>
      </c>
      <c r="E765" s="2" t="s">
        <v>41</v>
      </c>
      <c r="F765" s="2">
        <v>2013</v>
      </c>
      <c r="G765" s="2">
        <v>96</v>
      </c>
      <c r="H765" s="3">
        <v>0.28999999999999998</v>
      </c>
      <c r="I765" s="3">
        <v>0.13</v>
      </c>
      <c r="J765" s="3">
        <v>0.06</v>
      </c>
      <c r="K765" s="3">
        <v>0.02</v>
      </c>
      <c r="L765" s="3">
        <v>0.08</v>
      </c>
      <c r="M765" s="2" t="s">
        <v>24</v>
      </c>
      <c r="N765" s="3" t="str" cm="1">
        <f t="array" ref="N765">_xlfn.IFS(G765&gt;=90,"Excellent",G765&gt;=80,"Good",G765&gt;=70,"Average",G765&lt;70,"Poor")</f>
        <v>Excellent</v>
      </c>
    </row>
    <row r="766" spans="1:14" x14ac:dyDescent="0.35">
      <c r="A766" s="2">
        <v>765</v>
      </c>
      <c r="B766" s="2" t="s">
        <v>807</v>
      </c>
      <c r="C766" s="2" t="s">
        <v>59</v>
      </c>
      <c r="D766" s="2" t="s">
        <v>65</v>
      </c>
      <c r="E766" s="2" t="s">
        <v>52</v>
      </c>
      <c r="F766" s="2">
        <v>1998</v>
      </c>
      <c r="G766" s="2">
        <v>91</v>
      </c>
      <c r="H766" s="3">
        <v>1.72</v>
      </c>
      <c r="I766" s="3">
        <v>0.84</v>
      </c>
      <c r="J766" s="3">
        <v>0.37</v>
      </c>
      <c r="K766" s="3">
        <v>0.24</v>
      </c>
      <c r="L766" s="3">
        <v>0.27</v>
      </c>
      <c r="M766" s="2" t="s">
        <v>17</v>
      </c>
      <c r="N766" s="3" t="str" cm="1">
        <f t="array" ref="N766">_xlfn.IFS(G766&gt;=90,"Excellent",G766&gt;=80,"Good",G766&gt;=70,"Average",G766&lt;70,"Poor")</f>
        <v>Excellent</v>
      </c>
    </row>
    <row r="767" spans="1:14" x14ac:dyDescent="0.35">
      <c r="A767" s="2">
        <v>766</v>
      </c>
      <c r="B767" s="2" t="s">
        <v>808</v>
      </c>
      <c r="C767" s="2" t="s">
        <v>19</v>
      </c>
      <c r="D767" s="2" t="s">
        <v>45</v>
      </c>
      <c r="E767" s="2" t="s">
        <v>46</v>
      </c>
      <c r="F767" s="2">
        <v>2020</v>
      </c>
      <c r="G767" s="2">
        <v>61</v>
      </c>
      <c r="H767" s="3">
        <v>0.32</v>
      </c>
      <c r="I767" s="3">
        <v>0.17</v>
      </c>
      <c r="J767" s="3">
        <v>0.09</v>
      </c>
      <c r="K767" s="3">
        <v>0.04</v>
      </c>
      <c r="L767" s="3">
        <v>0.02</v>
      </c>
      <c r="M767" s="2" t="s">
        <v>24</v>
      </c>
      <c r="N767" s="3" t="str" cm="1">
        <f t="array" ref="N767">_xlfn.IFS(G767&gt;=90,"Excellent",G767&gt;=80,"Good",G767&gt;=70,"Average",G767&lt;70,"Poor")</f>
        <v>Poor</v>
      </c>
    </row>
    <row r="768" spans="1:14" x14ac:dyDescent="0.35">
      <c r="A768" s="2">
        <v>767</v>
      </c>
      <c r="B768" s="2" t="s">
        <v>809</v>
      </c>
      <c r="C768" s="2" t="s">
        <v>57</v>
      </c>
      <c r="D768" s="2" t="s">
        <v>45</v>
      </c>
      <c r="E768" s="2" t="s">
        <v>60</v>
      </c>
      <c r="F768" s="2">
        <v>2004</v>
      </c>
      <c r="G768" s="2">
        <v>86</v>
      </c>
      <c r="H768" s="3">
        <v>0.67</v>
      </c>
      <c r="I768" s="3">
        <v>0.32</v>
      </c>
      <c r="J768" s="3">
        <v>0.21</v>
      </c>
      <c r="K768" s="3">
        <v>0.05</v>
      </c>
      <c r="L768" s="3">
        <v>0.09</v>
      </c>
      <c r="M768" s="2" t="s">
        <v>17</v>
      </c>
      <c r="N768" s="3" t="str" cm="1">
        <f t="array" ref="N768">_xlfn.IFS(G768&gt;=90,"Excellent",G768&gt;=80,"Good",G768&gt;=70,"Average",G768&lt;70,"Poor")</f>
        <v>Good</v>
      </c>
    </row>
    <row r="769" spans="1:14" x14ac:dyDescent="0.35">
      <c r="A769" s="2">
        <v>768</v>
      </c>
      <c r="B769" s="2" t="s">
        <v>810</v>
      </c>
      <c r="C769" s="2" t="s">
        <v>57</v>
      </c>
      <c r="D769" s="2" t="s">
        <v>37</v>
      </c>
      <c r="E769" s="2" t="s">
        <v>74</v>
      </c>
      <c r="F769" s="2">
        <v>2005</v>
      </c>
      <c r="G769" s="2">
        <v>90</v>
      </c>
      <c r="H769" s="3">
        <v>0.43</v>
      </c>
      <c r="I769" s="3">
        <v>0.15</v>
      </c>
      <c r="J769" s="3">
        <v>0.12</v>
      </c>
      <c r="K769" s="3">
        <v>0.06</v>
      </c>
      <c r="L769" s="3">
        <v>0.1</v>
      </c>
      <c r="M769" s="2" t="s">
        <v>24</v>
      </c>
      <c r="N769" s="3" t="str" cm="1">
        <f t="array" ref="N769">_xlfn.IFS(G769&gt;=90,"Excellent",G769&gt;=80,"Good",G769&gt;=70,"Average",G769&lt;70,"Poor")</f>
        <v>Excellent</v>
      </c>
    </row>
    <row r="770" spans="1:14" x14ac:dyDescent="0.35">
      <c r="A770" s="2">
        <v>769</v>
      </c>
      <c r="B770" s="2" t="s">
        <v>811</v>
      </c>
      <c r="C770" s="2" t="s">
        <v>59</v>
      </c>
      <c r="D770" s="2" t="s">
        <v>51</v>
      </c>
      <c r="E770" s="2" t="s">
        <v>20</v>
      </c>
      <c r="F770" s="2">
        <v>1999</v>
      </c>
      <c r="G770" s="2">
        <v>87</v>
      </c>
      <c r="H770" s="3">
        <v>0.56000000000000005</v>
      </c>
      <c r="I770" s="3">
        <v>0.2</v>
      </c>
      <c r="J770" s="3">
        <v>0.19</v>
      </c>
      <c r="K770" s="3">
        <v>0.1</v>
      </c>
      <c r="L770" s="3">
        <v>7.0000000000000007E-2</v>
      </c>
      <c r="M770" s="2" t="s">
        <v>17</v>
      </c>
      <c r="N770" s="3" t="str" cm="1">
        <f t="array" ref="N770">_xlfn.IFS(G770&gt;=90,"Excellent",G770&gt;=80,"Good",G770&gt;=70,"Average",G770&lt;70,"Poor")</f>
        <v>Good</v>
      </c>
    </row>
    <row r="771" spans="1:14" x14ac:dyDescent="0.35">
      <c r="A771" s="2">
        <v>770</v>
      </c>
      <c r="B771" s="2" t="s">
        <v>812</v>
      </c>
      <c r="C771" s="2" t="s">
        <v>14</v>
      </c>
      <c r="D771" s="2" t="s">
        <v>37</v>
      </c>
      <c r="E771" s="2" t="s">
        <v>74</v>
      </c>
      <c r="F771" s="2">
        <v>2013</v>
      </c>
      <c r="G771" s="2">
        <v>88</v>
      </c>
      <c r="H771" s="3">
        <v>0.82</v>
      </c>
      <c r="I771" s="3">
        <v>0.4</v>
      </c>
      <c r="J771" s="3">
        <v>0.25</v>
      </c>
      <c r="K771" s="3">
        <v>0.05</v>
      </c>
      <c r="L771" s="3">
        <v>0.12</v>
      </c>
      <c r="M771" s="2" t="s">
        <v>17</v>
      </c>
      <c r="N771" s="3" t="str" cm="1">
        <f t="array" ref="N771">_xlfn.IFS(G771&gt;=90,"Excellent",G771&gt;=80,"Good",G771&gt;=70,"Average",G771&lt;70,"Poor")</f>
        <v>Good</v>
      </c>
    </row>
    <row r="772" spans="1:14" x14ac:dyDescent="0.35">
      <c r="A772" s="2">
        <v>771</v>
      </c>
      <c r="B772" s="2" t="s">
        <v>813</v>
      </c>
      <c r="C772" s="2" t="s">
        <v>59</v>
      </c>
      <c r="D772" s="2" t="s">
        <v>37</v>
      </c>
      <c r="E772" s="2" t="s">
        <v>46</v>
      </c>
      <c r="F772" s="2">
        <v>1996</v>
      </c>
      <c r="G772" s="2">
        <v>93</v>
      </c>
      <c r="H772" s="3">
        <v>0.49</v>
      </c>
      <c r="I772" s="3">
        <v>0.2</v>
      </c>
      <c r="J772" s="3">
        <v>0.15</v>
      </c>
      <c r="K772" s="3">
        <v>0.06</v>
      </c>
      <c r="L772" s="3">
        <v>0.08</v>
      </c>
      <c r="M772" s="2" t="s">
        <v>24</v>
      </c>
      <c r="N772" s="3" t="str" cm="1">
        <f t="array" ref="N772">_xlfn.IFS(G772&gt;=90,"Excellent",G772&gt;=80,"Good",G772&gt;=70,"Average",G772&lt;70,"Poor")</f>
        <v>Excellent</v>
      </c>
    </row>
    <row r="773" spans="1:14" x14ac:dyDescent="0.35">
      <c r="A773" s="2">
        <v>772</v>
      </c>
      <c r="B773" s="2" t="s">
        <v>814</v>
      </c>
      <c r="C773" s="2" t="s">
        <v>23</v>
      </c>
      <c r="D773" s="2" t="s">
        <v>51</v>
      </c>
      <c r="E773" s="2" t="s">
        <v>41</v>
      </c>
      <c r="F773" s="2">
        <v>2022</v>
      </c>
      <c r="G773" s="2">
        <v>84</v>
      </c>
      <c r="H773" s="3">
        <v>0.31</v>
      </c>
      <c r="I773" s="3">
        <v>0.13</v>
      </c>
      <c r="J773" s="3">
        <v>0.09</v>
      </c>
      <c r="K773" s="3">
        <v>0.04</v>
      </c>
      <c r="L773" s="3">
        <v>0.05</v>
      </c>
      <c r="M773" s="2" t="s">
        <v>24</v>
      </c>
      <c r="N773" s="3" t="str" cm="1">
        <f t="array" ref="N773">_xlfn.IFS(G773&gt;=90,"Excellent",G773&gt;=80,"Good",G773&gt;=70,"Average",G773&lt;70,"Poor")</f>
        <v>Good</v>
      </c>
    </row>
    <row r="774" spans="1:14" x14ac:dyDescent="0.35">
      <c r="A774" s="2">
        <v>773</v>
      </c>
      <c r="B774" s="2" t="s">
        <v>815</v>
      </c>
      <c r="C774" s="2" t="s">
        <v>59</v>
      </c>
      <c r="D774" s="2" t="s">
        <v>51</v>
      </c>
      <c r="E774" s="2" t="s">
        <v>52</v>
      </c>
      <c r="F774" s="2">
        <v>2000</v>
      </c>
      <c r="G774" s="2">
        <v>97</v>
      </c>
      <c r="H774" s="3">
        <v>0.65</v>
      </c>
      <c r="I774" s="3">
        <v>0.25</v>
      </c>
      <c r="J774" s="3">
        <v>0.21</v>
      </c>
      <c r="K774" s="3">
        <v>0.06</v>
      </c>
      <c r="L774" s="3">
        <v>0.13</v>
      </c>
      <c r="M774" s="2" t="s">
        <v>17</v>
      </c>
      <c r="N774" s="3" t="str" cm="1">
        <f t="array" ref="N774">_xlfn.IFS(G774&gt;=90,"Excellent",G774&gt;=80,"Good",G774&gt;=70,"Average",G774&lt;70,"Poor")</f>
        <v>Excellent</v>
      </c>
    </row>
    <row r="775" spans="1:14" x14ac:dyDescent="0.35">
      <c r="A775" s="2">
        <v>774</v>
      </c>
      <c r="B775" s="2" t="s">
        <v>816</v>
      </c>
      <c r="C775" s="2" t="s">
        <v>64</v>
      </c>
      <c r="D775" s="2" t="s">
        <v>45</v>
      </c>
      <c r="E775" s="2" t="s">
        <v>20</v>
      </c>
      <c r="F775" s="2">
        <v>2017</v>
      </c>
      <c r="G775" s="2">
        <v>59</v>
      </c>
      <c r="H775" s="3">
        <v>0.14000000000000001</v>
      </c>
      <c r="I775" s="3">
        <v>7.0000000000000007E-2</v>
      </c>
      <c r="J775" s="3">
        <v>0.04</v>
      </c>
      <c r="K775" s="3">
        <v>0.01</v>
      </c>
      <c r="L775" s="3">
        <v>0.02</v>
      </c>
      <c r="M775" s="2" t="s">
        <v>24</v>
      </c>
      <c r="N775" s="3" t="str" cm="1">
        <f t="array" ref="N775">_xlfn.IFS(G775&gt;=90,"Excellent",G775&gt;=80,"Good",G775&gt;=70,"Average",G775&lt;70,"Poor")</f>
        <v>Poor</v>
      </c>
    </row>
    <row r="776" spans="1:14" x14ac:dyDescent="0.35">
      <c r="A776" s="2">
        <v>775</v>
      </c>
      <c r="B776" s="2" t="s">
        <v>817</v>
      </c>
      <c r="C776" s="2" t="s">
        <v>59</v>
      </c>
      <c r="D776" s="2" t="s">
        <v>29</v>
      </c>
      <c r="E776" s="2" t="s">
        <v>46</v>
      </c>
      <c r="F776" s="2">
        <v>1997</v>
      </c>
      <c r="G776" s="2">
        <v>72</v>
      </c>
      <c r="H776" s="3">
        <v>0.12</v>
      </c>
      <c r="I776" s="3">
        <v>7.0000000000000007E-2</v>
      </c>
      <c r="J776" s="3">
        <v>0.03</v>
      </c>
      <c r="K776" s="3">
        <v>0.01</v>
      </c>
      <c r="L776" s="3">
        <v>0.01</v>
      </c>
      <c r="M776" s="2" t="s">
        <v>24</v>
      </c>
      <c r="N776" s="3" t="str" cm="1">
        <f t="array" ref="N776">_xlfn.IFS(G776&gt;=90,"Excellent",G776&gt;=80,"Good",G776&gt;=70,"Average",G776&lt;70,"Poor")</f>
        <v>Average</v>
      </c>
    </row>
    <row r="777" spans="1:14" x14ac:dyDescent="0.35">
      <c r="A777" s="2">
        <v>776</v>
      </c>
      <c r="B777" s="2" t="s">
        <v>818</v>
      </c>
      <c r="C777" s="2" t="s">
        <v>59</v>
      </c>
      <c r="D777" s="2" t="s">
        <v>65</v>
      </c>
      <c r="E777" s="2" t="s">
        <v>46</v>
      </c>
      <c r="F777" s="2">
        <v>1996</v>
      </c>
      <c r="G777" s="2">
        <v>61</v>
      </c>
      <c r="H777" s="3">
        <v>0.47</v>
      </c>
      <c r="I777" s="3">
        <v>0.25</v>
      </c>
      <c r="J777" s="3">
        <v>0.13</v>
      </c>
      <c r="K777" s="3">
        <v>7.0000000000000007E-2</v>
      </c>
      <c r="L777" s="3">
        <v>0.02</v>
      </c>
      <c r="M777" s="2" t="s">
        <v>24</v>
      </c>
      <c r="N777" s="3" t="str" cm="1">
        <f t="array" ref="N777">_xlfn.IFS(G777&gt;=90,"Excellent",G777&gt;=80,"Good",G777&gt;=70,"Average",G777&lt;70,"Poor")</f>
        <v>Poor</v>
      </c>
    </row>
    <row r="778" spans="1:14" x14ac:dyDescent="0.35">
      <c r="A778" s="2">
        <v>777</v>
      </c>
      <c r="B778" s="2" t="s">
        <v>819</v>
      </c>
      <c r="C778" s="2" t="s">
        <v>59</v>
      </c>
      <c r="D778" s="2" t="s">
        <v>29</v>
      </c>
      <c r="E778" s="2" t="s">
        <v>41</v>
      </c>
      <c r="F778" s="2">
        <v>1996</v>
      </c>
      <c r="G778" s="2">
        <v>98</v>
      </c>
      <c r="H778" s="3">
        <v>1.9</v>
      </c>
      <c r="I778" s="3">
        <v>0.89</v>
      </c>
      <c r="J778" s="3">
        <v>0.62</v>
      </c>
      <c r="K778" s="3">
        <v>0.23</v>
      </c>
      <c r="L778" s="3">
        <v>0.16</v>
      </c>
      <c r="M778" s="2" t="s">
        <v>17</v>
      </c>
      <c r="N778" s="3" t="str" cm="1">
        <f t="array" ref="N778">_xlfn.IFS(G778&gt;=90,"Excellent",G778&gt;=80,"Good",G778&gt;=70,"Average",G778&lt;70,"Poor")</f>
        <v>Excellent</v>
      </c>
    </row>
    <row r="779" spans="1:14" x14ac:dyDescent="0.35">
      <c r="A779" s="2">
        <v>778</v>
      </c>
      <c r="B779" s="2" t="s">
        <v>820</v>
      </c>
      <c r="C779" s="2" t="s">
        <v>31</v>
      </c>
      <c r="D779" s="2" t="s">
        <v>15</v>
      </c>
      <c r="E779" s="2" t="s">
        <v>60</v>
      </c>
      <c r="F779" s="2">
        <v>2002</v>
      </c>
      <c r="G779" s="2">
        <v>64</v>
      </c>
      <c r="H779" s="3">
        <v>0.33</v>
      </c>
      <c r="I779" s="3">
        <v>0.12</v>
      </c>
      <c r="J779" s="3">
        <v>0.1</v>
      </c>
      <c r="K779" s="3">
        <v>0.06</v>
      </c>
      <c r="L779" s="3">
        <v>0.05</v>
      </c>
      <c r="M779" s="2" t="s">
        <v>24</v>
      </c>
      <c r="N779" s="3" t="str" cm="1">
        <f t="array" ref="N779">_xlfn.IFS(G779&gt;=90,"Excellent",G779&gt;=80,"Good",G779&gt;=70,"Average",G779&lt;70,"Poor")</f>
        <v>Poor</v>
      </c>
    </row>
    <row r="780" spans="1:14" x14ac:dyDescent="0.35">
      <c r="A780" s="2">
        <v>779</v>
      </c>
      <c r="B780" s="2" t="s">
        <v>821</v>
      </c>
      <c r="C780" s="2" t="s">
        <v>57</v>
      </c>
      <c r="D780" s="2" t="s">
        <v>2</v>
      </c>
      <c r="E780" s="2" t="s">
        <v>41</v>
      </c>
      <c r="F780" s="2">
        <v>2007</v>
      </c>
      <c r="G780" s="2">
        <v>83</v>
      </c>
      <c r="H780" s="3">
        <v>0.48</v>
      </c>
      <c r="I780" s="3">
        <v>0.21</v>
      </c>
      <c r="J780" s="3">
        <v>0.16</v>
      </c>
      <c r="K780" s="3">
        <v>0.09</v>
      </c>
      <c r="L780" s="3">
        <v>0.02</v>
      </c>
      <c r="M780" s="2" t="s">
        <v>24</v>
      </c>
      <c r="N780" s="3" t="str" cm="1">
        <f t="array" ref="N780">_xlfn.IFS(G780&gt;=90,"Excellent",G780&gt;=80,"Good",G780&gt;=70,"Average",G780&lt;70,"Poor")</f>
        <v>Good</v>
      </c>
    </row>
    <row r="781" spans="1:14" x14ac:dyDescent="0.35">
      <c r="A781" s="2">
        <v>780</v>
      </c>
      <c r="B781" s="2" t="s">
        <v>822</v>
      </c>
      <c r="C781" s="2" t="s">
        <v>64</v>
      </c>
      <c r="D781" s="2" t="s">
        <v>51</v>
      </c>
      <c r="E781" s="2" t="s">
        <v>49</v>
      </c>
      <c r="F781" s="2">
        <v>2014</v>
      </c>
      <c r="G781" s="2">
        <v>75</v>
      </c>
      <c r="H781" s="3">
        <v>1.27</v>
      </c>
      <c r="I781" s="3">
        <v>0.46</v>
      </c>
      <c r="J781" s="3">
        <v>0.3</v>
      </c>
      <c r="K781" s="3">
        <v>0.08</v>
      </c>
      <c r="L781" s="3">
        <v>0.43</v>
      </c>
      <c r="M781" s="2" t="s">
        <v>17</v>
      </c>
      <c r="N781" s="3" t="str" cm="1">
        <f t="array" ref="N781">_xlfn.IFS(G781&gt;=90,"Excellent",G781&gt;=80,"Good",G781&gt;=70,"Average",G781&lt;70,"Poor")</f>
        <v>Average</v>
      </c>
    </row>
    <row r="782" spans="1:14" x14ac:dyDescent="0.35">
      <c r="A782" s="2">
        <v>781</v>
      </c>
      <c r="B782" s="2" t="s">
        <v>823</v>
      </c>
      <c r="C782" s="2" t="s">
        <v>23</v>
      </c>
      <c r="D782" s="2" t="s">
        <v>33</v>
      </c>
      <c r="E782" s="2" t="s">
        <v>46</v>
      </c>
      <c r="F782" s="2">
        <v>2020</v>
      </c>
      <c r="G782" s="2">
        <v>55</v>
      </c>
      <c r="H782" s="3">
        <v>2.54</v>
      </c>
      <c r="I782" s="3">
        <v>1.1499999999999999</v>
      </c>
      <c r="J782" s="3">
        <v>0.79</v>
      </c>
      <c r="K782" s="3">
        <v>0.31</v>
      </c>
      <c r="L782" s="3">
        <v>0.28999999999999998</v>
      </c>
      <c r="M782" s="2" t="s">
        <v>27</v>
      </c>
      <c r="N782" s="3" t="str" cm="1">
        <f t="array" ref="N782">_xlfn.IFS(G782&gt;=90,"Excellent",G782&gt;=80,"Good",G782&gt;=70,"Average",G782&lt;70,"Poor")</f>
        <v>Poor</v>
      </c>
    </row>
    <row r="783" spans="1:14" x14ac:dyDescent="0.35">
      <c r="A783" s="2">
        <v>782</v>
      </c>
      <c r="B783" s="2" t="s">
        <v>824</v>
      </c>
      <c r="C783" s="2" t="s">
        <v>23</v>
      </c>
      <c r="D783" s="2" t="s">
        <v>65</v>
      </c>
      <c r="E783" s="2" t="s">
        <v>49</v>
      </c>
      <c r="F783" s="2">
        <v>2025</v>
      </c>
      <c r="G783" s="2">
        <v>94</v>
      </c>
      <c r="H783" s="3">
        <v>0.2</v>
      </c>
      <c r="I783" s="3">
        <v>0.09</v>
      </c>
      <c r="J783" s="3">
        <v>0.05</v>
      </c>
      <c r="K783" s="3">
        <v>0.04</v>
      </c>
      <c r="L783" s="3">
        <v>0.02</v>
      </c>
      <c r="M783" s="2" t="s">
        <v>24</v>
      </c>
      <c r="N783" s="3" t="str" cm="1">
        <f t="array" ref="N783">_xlfn.IFS(G783&gt;=90,"Excellent",G783&gt;=80,"Good",G783&gt;=70,"Average",G783&lt;70,"Poor")</f>
        <v>Excellent</v>
      </c>
    </row>
    <row r="784" spans="1:14" x14ac:dyDescent="0.35">
      <c r="A784" s="2">
        <v>783</v>
      </c>
      <c r="B784" s="2" t="s">
        <v>825</v>
      </c>
      <c r="C784" s="2" t="s">
        <v>57</v>
      </c>
      <c r="D784" s="2" t="s">
        <v>2</v>
      </c>
      <c r="E784" s="2" t="s">
        <v>20</v>
      </c>
      <c r="F784" s="2">
        <v>2012</v>
      </c>
      <c r="G784" s="2">
        <v>65</v>
      </c>
      <c r="H784" s="3">
        <v>4.6900000000000004</v>
      </c>
      <c r="I784" s="3">
        <v>2.13</v>
      </c>
      <c r="J784" s="3">
        <v>1.1000000000000001</v>
      </c>
      <c r="K784" s="3">
        <v>0.28999999999999998</v>
      </c>
      <c r="L784" s="3">
        <v>1.17</v>
      </c>
      <c r="M784" s="2" t="s">
        <v>27</v>
      </c>
      <c r="N784" s="3" t="str" cm="1">
        <f t="array" ref="N784">_xlfn.IFS(G784&gt;=90,"Excellent",G784&gt;=80,"Good",G784&gt;=70,"Average",G784&lt;70,"Poor")</f>
        <v>Poor</v>
      </c>
    </row>
    <row r="785" spans="1:14" x14ac:dyDescent="0.35">
      <c r="A785" s="2">
        <v>784</v>
      </c>
      <c r="B785" s="2" t="s">
        <v>826</v>
      </c>
      <c r="C785" s="2" t="s">
        <v>64</v>
      </c>
      <c r="D785" s="2" t="s">
        <v>65</v>
      </c>
      <c r="E785" s="2" t="s">
        <v>43</v>
      </c>
      <c r="F785" s="2">
        <v>2013</v>
      </c>
      <c r="G785" s="2">
        <v>86</v>
      </c>
      <c r="H785" s="3">
        <v>0.22</v>
      </c>
      <c r="I785" s="3">
        <v>0.08</v>
      </c>
      <c r="J785" s="3">
        <v>7.0000000000000007E-2</v>
      </c>
      <c r="K785" s="3">
        <v>0.02</v>
      </c>
      <c r="L785" s="3">
        <v>0.05</v>
      </c>
      <c r="M785" s="2" t="s">
        <v>24</v>
      </c>
      <c r="N785" s="3" t="str" cm="1">
        <f t="array" ref="N785">_xlfn.IFS(G785&gt;=90,"Excellent",G785&gt;=80,"Good",G785&gt;=70,"Average",G785&lt;70,"Poor")</f>
        <v>Good</v>
      </c>
    </row>
    <row r="786" spans="1:14" x14ac:dyDescent="0.35">
      <c r="A786" s="2">
        <v>785</v>
      </c>
      <c r="B786" s="2" t="s">
        <v>827</v>
      </c>
      <c r="C786" s="2" t="s">
        <v>23</v>
      </c>
      <c r="D786" s="2" t="s">
        <v>33</v>
      </c>
      <c r="E786" s="2" t="s">
        <v>46</v>
      </c>
      <c r="F786" s="2">
        <v>2026</v>
      </c>
      <c r="G786" s="2">
        <v>73</v>
      </c>
      <c r="H786" s="3">
        <v>1.1000000000000001</v>
      </c>
      <c r="I786" s="3">
        <v>0.55000000000000004</v>
      </c>
      <c r="J786" s="3">
        <v>0.35</v>
      </c>
      <c r="K786" s="3">
        <v>0.2</v>
      </c>
      <c r="L786" s="3">
        <v>0</v>
      </c>
      <c r="M786" s="2" t="s">
        <v>17</v>
      </c>
      <c r="N786" s="3" t="str" cm="1">
        <f t="array" ref="N786">_xlfn.IFS(G786&gt;=90,"Excellent",G786&gt;=80,"Good",G786&gt;=70,"Average",G786&lt;70,"Poor")</f>
        <v>Average</v>
      </c>
    </row>
    <row r="787" spans="1:14" x14ac:dyDescent="0.35">
      <c r="A787" s="2">
        <v>786</v>
      </c>
      <c r="B787" s="2" t="s">
        <v>828</v>
      </c>
      <c r="C787" s="2" t="s">
        <v>23</v>
      </c>
      <c r="D787" s="2" t="s">
        <v>15</v>
      </c>
      <c r="E787" s="2" t="s">
        <v>16</v>
      </c>
      <c r="F787" s="2">
        <v>2026</v>
      </c>
      <c r="G787" s="2">
        <v>58</v>
      </c>
      <c r="H787" s="3">
        <v>0.41</v>
      </c>
      <c r="I787" s="3">
        <v>0.17</v>
      </c>
      <c r="J787" s="3">
        <v>0.1</v>
      </c>
      <c r="K787" s="3">
        <v>0.02</v>
      </c>
      <c r="L787" s="3">
        <v>0.12</v>
      </c>
      <c r="M787" s="2" t="s">
        <v>24</v>
      </c>
      <c r="N787" s="3" t="str" cm="1">
        <f t="array" ref="N787">_xlfn.IFS(G787&gt;=90,"Excellent",G787&gt;=80,"Good",G787&gt;=70,"Average",G787&lt;70,"Poor")</f>
        <v>Poor</v>
      </c>
    </row>
    <row r="788" spans="1:14" x14ac:dyDescent="0.35">
      <c r="A788" s="2">
        <v>787</v>
      </c>
      <c r="B788" s="2" t="s">
        <v>829</v>
      </c>
      <c r="C788" s="2" t="s">
        <v>57</v>
      </c>
      <c r="D788" s="2" t="s">
        <v>45</v>
      </c>
      <c r="E788" s="2" t="s">
        <v>43</v>
      </c>
      <c r="F788" s="2">
        <v>2006</v>
      </c>
      <c r="G788" s="2">
        <v>82</v>
      </c>
      <c r="H788" s="3">
        <v>0.47</v>
      </c>
      <c r="I788" s="3">
        <v>0.21</v>
      </c>
      <c r="J788" s="3">
        <v>0.1</v>
      </c>
      <c r="K788" s="3">
        <v>0.03</v>
      </c>
      <c r="L788" s="3">
        <v>0.13</v>
      </c>
      <c r="M788" s="2" t="s">
        <v>24</v>
      </c>
      <c r="N788" s="3" t="str" cm="1">
        <f t="array" ref="N788">_xlfn.IFS(G788&gt;=90,"Excellent",G788&gt;=80,"Good",G788&gt;=70,"Average",G788&lt;70,"Poor")</f>
        <v>Good</v>
      </c>
    </row>
    <row r="789" spans="1:14" x14ac:dyDescent="0.35">
      <c r="A789" s="2">
        <v>788</v>
      </c>
      <c r="B789" s="2" t="s">
        <v>830</v>
      </c>
      <c r="C789" s="2" t="s">
        <v>19</v>
      </c>
      <c r="D789" s="2" t="s">
        <v>37</v>
      </c>
      <c r="E789" s="2" t="s">
        <v>46</v>
      </c>
      <c r="F789" s="2">
        <v>2013</v>
      </c>
      <c r="G789" s="2">
        <v>80</v>
      </c>
      <c r="H789" s="3">
        <v>0.6</v>
      </c>
      <c r="I789" s="3">
        <v>0.32</v>
      </c>
      <c r="J789" s="3">
        <v>0.17</v>
      </c>
      <c r="K789" s="3">
        <v>0.05</v>
      </c>
      <c r="L789" s="3">
        <v>0.06</v>
      </c>
      <c r="M789" s="2" t="s">
        <v>17</v>
      </c>
      <c r="N789" s="3" t="str" cm="1">
        <f t="array" ref="N789">_xlfn.IFS(G789&gt;=90,"Excellent",G789&gt;=80,"Good",G789&gt;=70,"Average",G789&lt;70,"Poor")</f>
        <v>Good</v>
      </c>
    </row>
    <row r="790" spans="1:14" x14ac:dyDescent="0.35">
      <c r="A790" s="2">
        <v>789</v>
      </c>
      <c r="B790" s="2" t="s">
        <v>831</v>
      </c>
      <c r="C790" s="2" t="s">
        <v>19</v>
      </c>
      <c r="D790" s="2" t="s">
        <v>37</v>
      </c>
      <c r="E790" s="2" t="s">
        <v>54</v>
      </c>
      <c r="F790" s="2">
        <v>2020</v>
      </c>
      <c r="G790" s="2">
        <v>55</v>
      </c>
      <c r="H790" s="3">
        <v>0.15</v>
      </c>
      <c r="I790" s="3">
        <v>0.06</v>
      </c>
      <c r="J790" s="3">
        <v>0.03</v>
      </c>
      <c r="K790" s="3">
        <v>0.01</v>
      </c>
      <c r="L790" s="3">
        <v>0.05</v>
      </c>
      <c r="M790" s="2" t="s">
        <v>24</v>
      </c>
      <c r="N790" s="3" t="str" cm="1">
        <f t="array" ref="N790">_xlfn.IFS(G790&gt;=90,"Excellent",G790&gt;=80,"Good",G790&gt;=70,"Average",G790&lt;70,"Poor")</f>
        <v>Poor</v>
      </c>
    </row>
    <row r="791" spans="1:14" x14ac:dyDescent="0.35">
      <c r="A791" s="2">
        <v>790</v>
      </c>
      <c r="B791" s="2" t="s">
        <v>832</v>
      </c>
      <c r="C791" s="2" t="s">
        <v>19</v>
      </c>
      <c r="D791" s="2" t="s">
        <v>29</v>
      </c>
      <c r="E791" s="2" t="s">
        <v>20</v>
      </c>
      <c r="F791" s="2">
        <v>2019</v>
      </c>
      <c r="G791" s="2">
        <v>85</v>
      </c>
      <c r="H791" s="3">
        <v>0.26</v>
      </c>
      <c r="I791" s="3">
        <v>0.12</v>
      </c>
      <c r="J791" s="3">
        <v>0.08</v>
      </c>
      <c r="K791" s="3">
        <v>0.02</v>
      </c>
      <c r="L791" s="3">
        <v>0.04</v>
      </c>
      <c r="M791" s="2" t="s">
        <v>24</v>
      </c>
      <c r="N791" s="3" t="str" cm="1">
        <f t="array" ref="N791">_xlfn.IFS(G791&gt;=90,"Excellent",G791&gt;=80,"Good",G791&gt;=70,"Average",G791&lt;70,"Poor")</f>
        <v>Good</v>
      </c>
    </row>
    <row r="792" spans="1:14" x14ac:dyDescent="0.35">
      <c r="A792" s="2">
        <v>791</v>
      </c>
      <c r="B792" s="2" t="s">
        <v>833</v>
      </c>
      <c r="C792" s="2" t="s">
        <v>64</v>
      </c>
      <c r="D792" s="2" t="s">
        <v>65</v>
      </c>
      <c r="E792" s="2" t="s">
        <v>41</v>
      </c>
      <c r="F792" s="2">
        <v>2017</v>
      </c>
      <c r="G792" s="2">
        <v>61</v>
      </c>
      <c r="H792" s="3">
        <v>0.49</v>
      </c>
      <c r="I792" s="3">
        <v>0.21</v>
      </c>
      <c r="J792" s="3">
        <v>0.1</v>
      </c>
      <c r="K792" s="3">
        <v>7.0000000000000007E-2</v>
      </c>
      <c r="L792" s="3">
        <v>0.11</v>
      </c>
      <c r="M792" s="2" t="s">
        <v>24</v>
      </c>
      <c r="N792" s="3" t="str" cm="1">
        <f t="array" ref="N792">_xlfn.IFS(G792&gt;=90,"Excellent",G792&gt;=80,"Good",G792&gt;=70,"Average",G792&lt;70,"Poor")</f>
        <v>Poor</v>
      </c>
    </row>
    <row r="793" spans="1:14" x14ac:dyDescent="0.35">
      <c r="A793" s="2">
        <v>792</v>
      </c>
      <c r="B793" s="2" t="s">
        <v>834</v>
      </c>
      <c r="C793" s="2" t="s">
        <v>59</v>
      </c>
      <c r="D793" s="2" t="s">
        <v>29</v>
      </c>
      <c r="E793" s="2" t="s">
        <v>41</v>
      </c>
      <c r="F793" s="2">
        <v>2000</v>
      </c>
      <c r="G793" s="2">
        <v>82</v>
      </c>
      <c r="H793" s="3">
        <v>0.39</v>
      </c>
      <c r="I793" s="3">
        <v>0.14000000000000001</v>
      </c>
      <c r="J793" s="3">
        <v>0.1</v>
      </c>
      <c r="K793" s="3">
        <v>0.06</v>
      </c>
      <c r="L793" s="3">
        <v>0.09</v>
      </c>
      <c r="M793" s="2" t="s">
        <v>24</v>
      </c>
      <c r="N793" s="3" t="str" cm="1">
        <f t="array" ref="N793">_xlfn.IFS(G793&gt;=90,"Excellent",G793&gt;=80,"Good",G793&gt;=70,"Average",G793&lt;70,"Poor")</f>
        <v>Good</v>
      </c>
    </row>
    <row r="794" spans="1:14" x14ac:dyDescent="0.35">
      <c r="A794" s="2">
        <v>793</v>
      </c>
      <c r="B794" s="2" t="s">
        <v>835</v>
      </c>
      <c r="C794" s="2" t="s">
        <v>57</v>
      </c>
      <c r="D794" s="2" t="s">
        <v>37</v>
      </c>
      <c r="E794" s="2" t="s">
        <v>52</v>
      </c>
      <c r="F794" s="2">
        <v>2012</v>
      </c>
      <c r="G794" s="2">
        <v>71</v>
      </c>
      <c r="H794" s="3">
        <v>0.89</v>
      </c>
      <c r="I794" s="3">
        <v>0.44</v>
      </c>
      <c r="J794" s="3">
        <v>0.28999999999999998</v>
      </c>
      <c r="K794" s="3">
        <v>0.14000000000000001</v>
      </c>
      <c r="L794" s="3">
        <v>0.02</v>
      </c>
      <c r="M794" s="2" t="s">
        <v>17</v>
      </c>
      <c r="N794" s="3" t="str" cm="1">
        <f t="array" ref="N794">_xlfn.IFS(G794&gt;=90,"Excellent",G794&gt;=80,"Good",G794&gt;=70,"Average",G794&lt;70,"Poor")</f>
        <v>Average</v>
      </c>
    </row>
    <row r="795" spans="1:14" x14ac:dyDescent="0.35">
      <c r="A795" s="2">
        <v>794</v>
      </c>
      <c r="B795" s="2" t="s">
        <v>836</v>
      </c>
      <c r="C795" s="2" t="s">
        <v>23</v>
      </c>
      <c r="D795" s="2" t="s">
        <v>37</v>
      </c>
      <c r="E795" s="2" t="s">
        <v>52</v>
      </c>
      <c r="F795" s="2">
        <v>2024</v>
      </c>
      <c r="G795" s="2">
        <v>69</v>
      </c>
      <c r="H795" s="3">
        <v>0.28000000000000003</v>
      </c>
      <c r="I795" s="3">
        <v>0.11</v>
      </c>
      <c r="J795" s="3">
        <v>0.06</v>
      </c>
      <c r="K795" s="3">
        <v>0.02</v>
      </c>
      <c r="L795" s="3">
        <v>0.09</v>
      </c>
      <c r="M795" s="2" t="s">
        <v>24</v>
      </c>
      <c r="N795" s="3" t="str" cm="1">
        <f t="array" ref="N795">_xlfn.IFS(G795&gt;=90,"Excellent",G795&gt;=80,"Good",G795&gt;=70,"Average",G795&lt;70,"Poor")</f>
        <v>Poor</v>
      </c>
    </row>
    <row r="796" spans="1:14" x14ac:dyDescent="0.35">
      <c r="A796" s="2">
        <v>795</v>
      </c>
      <c r="B796" s="2" t="s">
        <v>837</v>
      </c>
      <c r="C796" s="2" t="s">
        <v>59</v>
      </c>
      <c r="D796" s="2" t="s">
        <v>48</v>
      </c>
      <c r="E796" s="2" t="s">
        <v>49</v>
      </c>
      <c r="F796" s="2">
        <v>1999</v>
      </c>
      <c r="G796" s="2">
        <v>81</v>
      </c>
      <c r="H796" s="3">
        <v>0.46</v>
      </c>
      <c r="I796" s="3">
        <v>0.25</v>
      </c>
      <c r="J796" s="3">
        <v>0.11</v>
      </c>
      <c r="K796" s="3">
        <v>0.05</v>
      </c>
      <c r="L796" s="3">
        <v>0.05</v>
      </c>
      <c r="M796" s="2" t="s">
        <v>24</v>
      </c>
      <c r="N796" s="3" t="str" cm="1">
        <f t="array" ref="N796">_xlfn.IFS(G796&gt;=90,"Excellent",G796&gt;=80,"Good",G796&gt;=70,"Average",G796&lt;70,"Poor")</f>
        <v>Good</v>
      </c>
    </row>
    <row r="797" spans="1:14" x14ac:dyDescent="0.35">
      <c r="A797" s="2">
        <v>796</v>
      </c>
      <c r="B797" s="2" t="s">
        <v>838</v>
      </c>
      <c r="C797" s="2" t="s">
        <v>59</v>
      </c>
      <c r="D797" s="2" t="s">
        <v>45</v>
      </c>
      <c r="E797" s="2" t="s">
        <v>20</v>
      </c>
      <c r="F797" s="2">
        <v>1999</v>
      </c>
      <c r="G797" s="2">
        <v>72</v>
      </c>
      <c r="H797" s="3">
        <v>0.63</v>
      </c>
      <c r="I797" s="3">
        <v>0.33</v>
      </c>
      <c r="J797" s="3">
        <v>0.14000000000000001</v>
      </c>
      <c r="K797" s="3">
        <v>0.03</v>
      </c>
      <c r="L797" s="3">
        <v>0.13</v>
      </c>
      <c r="M797" s="2" t="s">
        <v>17</v>
      </c>
      <c r="N797" s="3" t="str" cm="1">
        <f t="array" ref="N797">_xlfn.IFS(G797&gt;=90,"Excellent",G797&gt;=80,"Good",G797&gt;=70,"Average",G797&lt;70,"Poor")</f>
        <v>Average</v>
      </c>
    </row>
    <row r="798" spans="1:14" x14ac:dyDescent="0.35">
      <c r="A798" s="2">
        <v>797</v>
      </c>
      <c r="B798" s="2" t="s">
        <v>839</v>
      </c>
      <c r="C798" s="2" t="s">
        <v>57</v>
      </c>
      <c r="D798" s="2" t="s">
        <v>48</v>
      </c>
      <c r="E798" s="2" t="s">
        <v>46</v>
      </c>
      <c r="F798" s="2">
        <v>2009</v>
      </c>
      <c r="G798" s="2">
        <v>93</v>
      </c>
      <c r="H798" s="3">
        <v>0.22</v>
      </c>
      <c r="I798" s="3">
        <v>0.12</v>
      </c>
      <c r="J798" s="3">
        <v>0.06</v>
      </c>
      <c r="K798" s="3">
        <v>0.02</v>
      </c>
      <c r="L798" s="3">
        <v>0.02</v>
      </c>
      <c r="M798" s="2" t="s">
        <v>24</v>
      </c>
      <c r="N798" s="3" t="str" cm="1">
        <f t="array" ref="N798">_xlfn.IFS(G798&gt;=90,"Excellent",G798&gt;=80,"Good",G798&gt;=70,"Average",G798&lt;70,"Poor")</f>
        <v>Excellent</v>
      </c>
    </row>
    <row r="799" spans="1:14" x14ac:dyDescent="0.35">
      <c r="A799" s="2">
        <v>798</v>
      </c>
      <c r="B799" s="2" t="s">
        <v>840</v>
      </c>
      <c r="C799" s="2" t="s">
        <v>59</v>
      </c>
      <c r="D799" s="2" t="s">
        <v>15</v>
      </c>
      <c r="E799" s="2" t="s">
        <v>60</v>
      </c>
      <c r="F799" s="2">
        <v>2000</v>
      </c>
      <c r="G799" s="2">
        <v>78</v>
      </c>
      <c r="H799" s="3">
        <v>0.73</v>
      </c>
      <c r="I799" s="3">
        <v>0.37</v>
      </c>
      <c r="J799" s="3">
        <v>0.2</v>
      </c>
      <c r="K799" s="3">
        <v>0.08</v>
      </c>
      <c r="L799" s="3">
        <v>0.08</v>
      </c>
      <c r="M799" s="2" t="s">
        <v>17</v>
      </c>
      <c r="N799" s="3" t="str" cm="1">
        <f t="array" ref="N799">_xlfn.IFS(G799&gt;=90,"Excellent",G799&gt;=80,"Good",G799&gt;=70,"Average",G799&lt;70,"Poor")</f>
        <v>Average</v>
      </c>
    </row>
    <row r="800" spans="1:14" x14ac:dyDescent="0.35">
      <c r="A800" s="2">
        <v>799</v>
      </c>
      <c r="B800" s="2" t="s">
        <v>841</v>
      </c>
      <c r="C800" s="2" t="s">
        <v>57</v>
      </c>
      <c r="D800" s="2" t="s">
        <v>48</v>
      </c>
      <c r="E800" s="2" t="s">
        <v>74</v>
      </c>
      <c r="F800" s="2">
        <v>2008</v>
      </c>
      <c r="G800" s="2">
        <v>61</v>
      </c>
      <c r="H800" s="3">
        <v>0.12</v>
      </c>
      <c r="I800" s="3">
        <v>0.06</v>
      </c>
      <c r="J800" s="3">
        <v>0.04</v>
      </c>
      <c r="K800" s="3">
        <v>0.01</v>
      </c>
      <c r="L800" s="3">
        <v>0.01</v>
      </c>
      <c r="M800" s="2" t="s">
        <v>24</v>
      </c>
      <c r="N800" s="3" t="str" cm="1">
        <f t="array" ref="N800">_xlfn.IFS(G800&gt;=90,"Excellent",G800&gt;=80,"Good",G800&gt;=70,"Average",G800&lt;70,"Poor")</f>
        <v>Poor</v>
      </c>
    </row>
    <row r="801" spans="1:14" x14ac:dyDescent="0.35">
      <c r="A801" s="2">
        <v>800</v>
      </c>
      <c r="B801" s="2" t="s">
        <v>842</v>
      </c>
      <c r="C801" s="2" t="s">
        <v>57</v>
      </c>
      <c r="D801" s="2" t="s">
        <v>33</v>
      </c>
      <c r="E801" s="2" t="s">
        <v>49</v>
      </c>
      <c r="F801" s="2">
        <v>2011</v>
      </c>
      <c r="G801" s="2">
        <v>76</v>
      </c>
      <c r="H801" s="3">
        <v>0.27</v>
      </c>
      <c r="I801" s="3">
        <v>0.14000000000000001</v>
      </c>
      <c r="J801" s="3">
        <v>0.08</v>
      </c>
      <c r="K801" s="3">
        <v>0.02</v>
      </c>
      <c r="L801" s="3">
        <v>0.03</v>
      </c>
      <c r="M801" s="2" t="s">
        <v>24</v>
      </c>
      <c r="N801" s="3" t="str" cm="1">
        <f t="array" ref="N801">_xlfn.IFS(G801&gt;=90,"Excellent",G801&gt;=80,"Good",G801&gt;=70,"Average",G801&lt;70,"Poor")</f>
        <v>Average</v>
      </c>
    </row>
    <row r="802" spans="1:14" x14ac:dyDescent="0.35">
      <c r="A802" s="2">
        <v>801</v>
      </c>
      <c r="B802" s="2" t="s">
        <v>843</v>
      </c>
      <c r="C802" s="2" t="s">
        <v>31</v>
      </c>
      <c r="D802" s="2" t="s">
        <v>45</v>
      </c>
      <c r="E802" s="2" t="s">
        <v>60</v>
      </c>
      <c r="F802" s="2">
        <v>2001</v>
      </c>
      <c r="G802" s="2">
        <v>77</v>
      </c>
      <c r="H802" s="3">
        <v>2</v>
      </c>
      <c r="I802" s="3">
        <v>0.99</v>
      </c>
      <c r="J802" s="3">
        <v>0.67</v>
      </c>
      <c r="K802" s="3">
        <v>0.12</v>
      </c>
      <c r="L802" s="3">
        <v>0.22</v>
      </c>
      <c r="M802" s="2" t="s">
        <v>17</v>
      </c>
      <c r="N802" s="3" t="str" cm="1">
        <f t="array" ref="N802">_xlfn.IFS(G802&gt;=90,"Excellent",G802&gt;=80,"Good",G802&gt;=70,"Average",G802&lt;70,"Poor")</f>
        <v>Average</v>
      </c>
    </row>
    <row r="803" spans="1:14" x14ac:dyDescent="0.35">
      <c r="A803" s="2">
        <v>802</v>
      </c>
      <c r="B803" s="2" t="s">
        <v>844</v>
      </c>
      <c r="C803" s="2" t="s">
        <v>19</v>
      </c>
      <c r="D803" s="2" t="s">
        <v>65</v>
      </c>
      <c r="E803" s="2" t="s">
        <v>20</v>
      </c>
      <c r="F803" s="2">
        <v>2021</v>
      </c>
      <c r="G803" s="2">
        <v>72</v>
      </c>
      <c r="H803" s="3">
        <v>1.1499999999999999</v>
      </c>
      <c r="I803" s="3">
        <v>0.41</v>
      </c>
      <c r="J803" s="3">
        <v>0.33</v>
      </c>
      <c r="K803" s="3">
        <v>0.19</v>
      </c>
      <c r="L803" s="3">
        <v>0.22</v>
      </c>
      <c r="M803" s="2" t="s">
        <v>17</v>
      </c>
      <c r="N803" s="3" t="str" cm="1">
        <f t="array" ref="N803">_xlfn.IFS(G803&gt;=90,"Excellent",G803&gt;=80,"Good",G803&gt;=70,"Average",G803&lt;70,"Poor")</f>
        <v>Average</v>
      </c>
    </row>
    <row r="804" spans="1:14" x14ac:dyDescent="0.35">
      <c r="A804" s="2">
        <v>803</v>
      </c>
      <c r="B804" s="2" t="s">
        <v>845</v>
      </c>
      <c r="C804" s="2" t="s">
        <v>57</v>
      </c>
      <c r="D804" s="2" t="s">
        <v>45</v>
      </c>
      <c r="E804" s="2" t="s">
        <v>16</v>
      </c>
      <c r="F804" s="2">
        <v>2007</v>
      </c>
      <c r="G804" s="2">
        <v>59</v>
      </c>
      <c r="H804" s="3">
        <v>0.06</v>
      </c>
      <c r="I804" s="3">
        <v>0.03</v>
      </c>
      <c r="J804" s="3">
        <v>0.02</v>
      </c>
      <c r="K804" s="3">
        <v>0.01</v>
      </c>
      <c r="L804" s="3">
        <v>0</v>
      </c>
      <c r="M804" s="2" t="s">
        <v>24</v>
      </c>
      <c r="N804" s="3" t="str" cm="1">
        <f t="array" ref="N804">_xlfn.IFS(G804&gt;=90,"Excellent",G804&gt;=80,"Good",G804&gt;=70,"Average",G804&lt;70,"Poor")</f>
        <v>Poor</v>
      </c>
    </row>
    <row r="805" spans="1:14" x14ac:dyDescent="0.35">
      <c r="A805" s="2">
        <v>804</v>
      </c>
      <c r="B805" s="2" t="s">
        <v>846</v>
      </c>
      <c r="C805" s="2" t="s">
        <v>14</v>
      </c>
      <c r="D805" s="2" t="s">
        <v>37</v>
      </c>
      <c r="E805" s="2" t="s">
        <v>20</v>
      </c>
      <c r="F805" s="2">
        <v>2009</v>
      </c>
      <c r="G805" s="2">
        <v>68</v>
      </c>
      <c r="H805" s="3">
        <v>0.68</v>
      </c>
      <c r="I805" s="3">
        <v>0.36</v>
      </c>
      <c r="J805" s="3">
        <v>0.19</v>
      </c>
      <c r="K805" s="3">
        <v>0.09</v>
      </c>
      <c r="L805" s="3">
        <v>0.04</v>
      </c>
      <c r="M805" s="2" t="s">
        <v>17</v>
      </c>
      <c r="N805" s="3" t="str" cm="1">
        <f t="array" ref="N805">_xlfn.IFS(G805&gt;=90,"Excellent",G805&gt;=80,"Good",G805&gt;=70,"Average",G805&lt;70,"Poor")</f>
        <v>Poor</v>
      </c>
    </row>
    <row r="806" spans="1:14" x14ac:dyDescent="0.35">
      <c r="A806" s="2">
        <v>805</v>
      </c>
      <c r="B806" s="2" t="s">
        <v>847</v>
      </c>
      <c r="C806" s="2" t="s">
        <v>57</v>
      </c>
      <c r="D806" s="2" t="s">
        <v>51</v>
      </c>
      <c r="E806" s="2" t="s">
        <v>46</v>
      </c>
      <c r="F806" s="2">
        <v>2012</v>
      </c>
      <c r="G806" s="2">
        <v>72</v>
      </c>
      <c r="H806" s="3">
        <v>0.53</v>
      </c>
      <c r="I806" s="3">
        <v>0.19</v>
      </c>
      <c r="J806" s="3">
        <v>0.12</v>
      </c>
      <c r="K806" s="3">
        <v>0.03</v>
      </c>
      <c r="L806" s="3">
        <v>0.19</v>
      </c>
      <c r="M806" s="2" t="s">
        <v>17</v>
      </c>
      <c r="N806" s="3" t="str" cm="1">
        <f t="array" ref="N806">_xlfn.IFS(G806&gt;=90,"Excellent",G806&gt;=80,"Good",G806&gt;=70,"Average",G806&lt;70,"Poor")</f>
        <v>Average</v>
      </c>
    </row>
    <row r="807" spans="1:14" x14ac:dyDescent="0.35">
      <c r="A807" s="2">
        <v>806</v>
      </c>
      <c r="B807" s="2" t="s">
        <v>848</v>
      </c>
      <c r="C807" s="2" t="s">
        <v>31</v>
      </c>
      <c r="D807" s="2" t="s">
        <v>37</v>
      </c>
      <c r="E807" s="2" t="s">
        <v>46</v>
      </c>
      <c r="F807" s="2">
        <v>2002</v>
      </c>
      <c r="G807" s="2">
        <v>68</v>
      </c>
      <c r="H807" s="3">
        <v>0.7</v>
      </c>
      <c r="I807" s="3">
        <v>0.28999999999999998</v>
      </c>
      <c r="J807" s="3">
        <v>0.2</v>
      </c>
      <c r="K807" s="3">
        <v>7.0000000000000007E-2</v>
      </c>
      <c r="L807" s="3">
        <v>0.14000000000000001</v>
      </c>
      <c r="M807" s="2" t="s">
        <v>17</v>
      </c>
      <c r="N807" s="3" t="str" cm="1">
        <f t="array" ref="N807">_xlfn.IFS(G807&gt;=90,"Excellent",G807&gt;=80,"Good",G807&gt;=70,"Average",G807&lt;70,"Poor")</f>
        <v>Poor</v>
      </c>
    </row>
    <row r="808" spans="1:14" x14ac:dyDescent="0.35">
      <c r="A808" s="2">
        <v>807</v>
      </c>
      <c r="B808" s="2" t="s">
        <v>849</v>
      </c>
      <c r="C808" s="2" t="s">
        <v>59</v>
      </c>
      <c r="D808" s="2" t="s">
        <v>65</v>
      </c>
      <c r="E808" s="2" t="s">
        <v>46</v>
      </c>
      <c r="F808" s="2">
        <v>2000</v>
      </c>
      <c r="G808" s="2">
        <v>94</v>
      </c>
      <c r="H808" s="3">
        <v>0.18</v>
      </c>
      <c r="I808" s="3">
        <v>7.0000000000000007E-2</v>
      </c>
      <c r="J808" s="3">
        <v>0.04</v>
      </c>
      <c r="K808" s="3">
        <v>0.01</v>
      </c>
      <c r="L808" s="3">
        <v>0.06</v>
      </c>
      <c r="M808" s="2" t="s">
        <v>24</v>
      </c>
      <c r="N808" s="3" t="str" cm="1">
        <f t="array" ref="N808">_xlfn.IFS(G808&gt;=90,"Excellent",G808&gt;=80,"Good",G808&gt;=70,"Average",G808&lt;70,"Poor")</f>
        <v>Excellent</v>
      </c>
    </row>
    <row r="809" spans="1:14" x14ac:dyDescent="0.35">
      <c r="A809" s="2">
        <v>808</v>
      </c>
      <c r="B809" s="2" t="s">
        <v>850</v>
      </c>
      <c r="C809" s="2" t="s">
        <v>57</v>
      </c>
      <c r="D809" s="2" t="s">
        <v>33</v>
      </c>
      <c r="E809" s="2" t="s">
        <v>41</v>
      </c>
      <c r="F809" s="2">
        <v>2013</v>
      </c>
      <c r="G809" s="2">
        <v>90</v>
      </c>
      <c r="H809" s="3">
        <v>0.21</v>
      </c>
      <c r="I809" s="3">
        <v>0.09</v>
      </c>
      <c r="J809" s="3">
        <v>0.05</v>
      </c>
      <c r="K809" s="3">
        <v>0.03</v>
      </c>
      <c r="L809" s="3">
        <v>0.04</v>
      </c>
      <c r="M809" s="2" t="s">
        <v>24</v>
      </c>
      <c r="N809" s="3" t="str" cm="1">
        <f t="array" ref="N809">_xlfn.IFS(G809&gt;=90,"Excellent",G809&gt;=80,"Good",G809&gt;=70,"Average",G809&lt;70,"Poor")</f>
        <v>Excellent</v>
      </c>
    </row>
    <row r="810" spans="1:14" x14ac:dyDescent="0.35">
      <c r="A810" s="2">
        <v>809</v>
      </c>
      <c r="B810" s="2" t="s">
        <v>851</v>
      </c>
      <c r="C810" s="2" t="s">
        <v>64</v>
      </c>
      <c r="D810" s="2" t="s">
        <v>37</v>
      </c>
      <c r="E810" s="2" t="s">
        <v>16</v>
      </c>
      <c r="F810" s="2">
        <v>2017</v>
      </c>
      <c r="G810" s="2">
        <v>78</v>
      </c>
      <c r="H810" s="3">
        <v>0.1</v>
      </c>
      <c r="I810" s="3">
        <v>0.04</v>
      </c>
      <c r="J810" s="3">
        <v>0.03</v>
      </c>
      <c r="K810" s="3">
        <v>0.02</v>
      </c>
      <c r="L810" s="3">
        <v>0.01</v>
      </c>
      <c r="M810" s="2" t="s">
        <v>24</v>
      </c>
      <c r="N810" s="3" t="str" cm="1">
        <f t="array" ref="N810">_xlfn.IFS(G810&gt;=90,"Excellent",G810&gt;=80,"Good",G810&gt;=70,"Average",G810&lt;70,"Poor")</f>
        <v>Average</v>
      </c>
    </row>
    <row r="811" spans="1:14" x14ac:dyDescent="0.35">
      <c r="A811" s="2">
        <v>810</v>
      </c>
      <c r="B811" s="2" t="s">
        <v>852</v>
      </c>
      <c r="C811" s="2" t="s">
        <v>31</v>
      </c>
      <c r="D811" s="2" t="s">
        <v>2</v>
      </c>
      <c r="E811" s="2" t="s">
        <v>16</v>
      </c>
      <c r="F811" s="2">
        <v>2001</v>
      </c>
      <c r="G811" s="2">
        <v>56</v>
      </c>
      <c r="H811" s="3">
        <v>0.05</v>
      </c>
      <c r="I811" s="3">
        <v>0.03</v>
      </c>
      <c r="J811" s="3">
        <v>0.02</v>
      </c>
      <c r="K811" s="3">
        <v>0</v>
      </c>
      <c r="L811" s="3">
        <v>0</v>
      </c>
      <c r="M811" s="2" t="s">
        <v>24</v>
      </c>
      <c r="N811" s="3" t="str" cm="1">
        <f t="array" ref="N811">_xlfn.IFS(G811&gt;=90,"Excellent",G811&gt;=80,"Good",G811&gt;=70,"Average",G811&lt;70,"Poor")</f>
        <v>Poor</v>
      </c>
    </row>
    <row r="812" spans="1:14" x14ac:dyDescent="0.35">
      <c r="A812" s="2">
        <v>811</v>
      </c>
      <c r="B812" s="2" t="s">
        <v>853</v>
      </c>
      <c r="C812" s="2" t="s">
        <v>31</v>
      </c>
      <c r="D812" s="2" t="s">
        <v>45</v>
      </c>
      <c r="E812" s="2" t="s">
        <v>52</v>
      </c>
      <c r="F812" s="2">
        <v>2000</v>
      </c>
      <c r="G812" s="2">
        <v>61</v>
      </c>
      <c r="H812" s="3">
        <v>0.99</v>
      </c>
      <c r="I812" s="3">
        <v>0.5</v>
      </c>
      <c r="J812" s="3">
        <v>0.2</v>
      </c>
      <c r="K812" s="3">
        <v>0.06</v>
      </c>
      <c r="L812" s="3">
        <v>0.23</v>
      </c>
      <c r="M812" s="2" t="s">
        <v>17</v>
      </c>
      <c r="N812" s="3" t="str" cm="1">
        <f t="array" ref="N812">_xlfn.IFS(G812&gt;=90,"Excellent",G812&gt;=80,"Good",G812&gt;=70,"Average",G812&lt;70,"Poor")</f>
        <v>Poor</v>
      </c>
    </row>
    <row r="813" spans="1:14" x14ac:dyDescent="0.35">
      <c r="A813" s="2">
        <v>812</v>
      </c>
      <c r="B813" s="2" t="s">
        <v>854</v>
      </c>
      <c r="C813" s="2" t="s">
        <v>19</v>
      </c>
      <c r="D813" s="2" t="s">
        <v>33</v>
      </c>
      <c r="E813" s="2" t="s">
        <v>20</v>
      </c>
      <c r="F813" s="2">
        <v>2013</v>
      </c>
      <c r="G813" s="2">
        <v>70</v>
      </c>
      <c r="H813" s="3">
        <v>1.43</v>
      </c>
      <c r="I813" s="3">
        <v>0.77</v>
      </c>
      <c r="J813" s="3">
        <v>0.41</v>
      </c>
      <c r="K813" s="3">
        <v>0.24</v>
      </c>
      <c r="L813" s="3">
        <v>0.01</v>
      </c>
      <c r="M813" s="2" t="s">
        <v>17</v>
      </c>
      <c r="N813" s="3" t="str" cm="1">
        <f t="array" ref="N813">_xlfn.IFS(G813&gt;=90,"Excellent",G813&gt;=80,"Good",G813&gt;=70,"Average",G813&lt;70,"Poor")</f>
        <v>Average</v>
      </c>
    </row>
    <row r="814" spans="1:14" x14ac:dyDescent="0.35">
      <c r="A814" s="2">
        <v>813</v>
      </c>
      <c r="B814" s="2" t="s">
        <v>855</v>
      </c>
      <c r="C814" s="2" t="s">
        <v>59</v>
      </c>
      <c r="D814" s="2" t="s">
        <v>65</v>
      </c>
      <c r="E814" s="2" t="s">
        <v>43</v>
      </c>
      <c r="F814" s="2">
        <v>1995</v>
      </c>
      <c r="G814" s="2">
        <v>63</v>
      </c>
      <c r="H814" s="3">
        <v>0.38</v>
      </c>
      <c r="I814" s="3">
        <v>0.17</v>
      </c>
      <c r="J814" s="3">
        <v>0.09</v>
      </c>
      <c r="K814" s="3">
        <v>0.04</v>
      </c>
      <c r="L814" s="3">
        <v>0.08</v>
      </c>
      <c r="M814" s="2" t="s">
        <v>24</v>
      </c>
      <c r="N814" s="3" t="str" cm="1">
        <f t="array" ref="N814">_xlfn.IFS(G814&gt;=90,"Excellent",G814&gt;=80,"Good",G814&gt;=70,"Average",G814&lt;70,"Poor")</f>
        <v>Poor</v>
      </c>
    </row>
    <row r="815" spans="1:14" x14ac:dyDescent="0.35">
      <c r="A815" s="2">
        <v>814</v>
      </c>
      <c r="B815" s="2" t="s">
        <v>856</v>
      </c>
      <c r="C815" s="2" t="s">
        <v>31</v>
      </c>
      <c r="D815" s="2" t="s">
        <v>15</v>
      </c>
      <c r="E815" s="2" t="s">
        <v>60</v>
      </c>
      <c r="F815" s="2">
        <v>2001</v>
      </c>
      <c r="G815" s="2">
        <v>62</v>
      </c>
      <c r="H815" s="3">
        <v>0.72</v>
      </c>
      <c r="I815" s="3">
        <v>0.38</v>
      </c>
      <c r="J815" s="3">
        <v>0.19</v>
      </c>
      <c r="K815" s="3">
        <v>0.04</v>
      </c>
      <c r="L815" s="3">
        <v>0.11</v>
      </c>
      <c r="M815" s="2" t="s">
        <v>17</v>
      </c>
      <c r="N815" s="3" t="str" cm="1">
        <f t="array" ref="N815">_xlfn.IFS(G815&gt;=90,"Excellent",G815&gt;=80,"Good",G815&gt;=70,"Average",G815&lt;70,"Poor")</f>
        <v>Poor</v>
      </c>
    </row>
    <row r="816" spans="1:14" x14ac:dyDescent="0.35">
      <c r="A816" s="2">
        <v>815</v>
      </c>
      <c r="B816" s="2" t="s">
        <v>857</v>
      </c>
      <c r="C816" s="2" t="s">
        <v>31</v>
      </c>
      <c r="D816" s="2" t="s">
        <v>48</v>
      </c>
      <c r="E816" s="2" t="s">
        <v>41</v>
      </c>
      <c r="F816" s="2">
        <v>2000</v>
      </c>
      <c r="G816" s="2">
        <v>77</v>
      </c>
      <c r="H816" s="3">
        <v>0.9</v>
      </c>
      <c r="I816" s="3">
        <v>0.47</v>
      </c>
      <c r="J816" s="3">
        <v>0.23</v>
      </c>
      <c r="K816" s="3">
        <v>0.16</v>
      </c>
      <c r="L816" s="3">
        <v>0.04</v>
      </c>
      <c r="M816" s="2" t="s">
        <v>17</v>
      </c>
      <c r="N816" s="3" t="str" cm="1">
        <f t="array" ref="N816">_xlfn.IFS(G816&gt;=90,"Excellent",G816&gt;=80,"Good",G816&gt;=70,"Average",G816&lt;70,"Poor")</f>
        <v>Average</v>
      </c>
    </row>
    <row r="817" spans="1:14" x14ac:dyDescent="0.35">
      <c r="A817" s="2">
        <v>816</v>
      </c>
      <c r="B817" s="2" t="s">
        <v>858</v>
      </c>
      <c r="C817" s="2" t="s">
        <v>64</v>
      </c>
      <c r="D817" s="2" t="s">
        <v>62</v>
      </c>
      <c r="E817" s="2" t="s">
        <v>54</v>
      </c>
      <c r="F817" s="2">
        <v>2012</v>
      </c>
      <c r="G817" s="2">
        <v>61</v>
      </c>
      <c r="H817" s="3">
        <v>0.79</v>
      </c>
      <c r="I817" s="3">
        <v>0.28999999999999998</v>
      </c>
      <c r="J817" s="3">
        <v>0.2</v>
      </c>
      <c r="K817" s="3">
        <v>0.08</v>
      </c>
      <c r="L817" s="3">
        <v>0.22</v>
      </c>
      <c r="M817" s="2" t="s">
        <v>17</v>
      </c>
      <c r="N817" s="3" t="str" cm="1">
        <f t="array" ref="N817">_xlfn.IFS(G817&gt;=90,"Excellent",G817&gt;=80,"Good",G817&gt;=70,"Average",G817&lt;70,"Poor")</f>
        <v>Poor</v>
      </c>
    </row>
    <row r="818" spans="1:14" x14ac:dyDescent="0.35">
      <c r="A818" s="2">
        <v>817</v>
      </c>
      <c r="B818" s="2" t="s">
        <v>859</v>
      </c>
      <c r="C818" s="2" t="s">
        <v>59</v>
      </c>
      <c r="D818" s="2" t="s">
        <v>2</v>
      </c>
      <c r="E818" s="2" t="s">
        <v>54</v>
      </c>
      <c r="F818" s="2">
        <v>1995</v>
      </c>
      <c r="G818" s="2">
        <v>88</v>
      </c>
      <c r="H818" s="3">
        <v>0.3</v>
      </c>
      <c r="I818" s="3">
        <v>0.13</v>
      </c>
      <c r="J818" s="3">
        <v>0.1</v>
      </c>
      <c r="K818" s="3">
        <v>0.05</v>
      </c>
      <c r="L818" s="3">
        <v>0.02</v>
      </c>
      <c r="M818" s="2" t="s">
        <v>24</v>
      </c>
      <c r="N818" s="3" t="str" cm="1">
        <f t="array" ref="N818">_xlfn.IFS(G818&gt;=90,"Excellent",G818&gt;=80,"Good",G818&gt;=70,"Average",G818&lt;70,"Poor")</f>
        <v>Good</v>
      </c>
    </row>
    <row r="819" spans="1:14" x14ac:dyDescent="0.35">
      <c r="A819" s="2">
        <v>818</v>
      </c>
      <c r="B819" s="2" t="s">
        <v>860</v>
      </c>
      <c r="C819" s="2" t="s">
        <v>23</v>
      </c>
      <c r="D819" s="2" t="s">
        <v>51</v>
      </c>
      <c r="E819" s="2" t="s">
        <v>43</v>
      </c>
      <c r="F819" s="2">
        <v>2026</v>
      </c>
      <c r="G819" s="2">
        <v>86</v>
      </c>
      <c r="H819" s="3">
        <v>3.88</v>
      </c>
      <c r="I819" s="3">
        <v>1.42</v>
      </c>
      <c r="J819" s="3">
        <v>0.78</v>
      </c>
      <c r="K819" s="3">
        <v>0.74</v>
      </c>
      <c r="L819" s="3">
        <v>0.94</v>
      </c>
      <c r="M819" s="2" t="s">
        <v>27</v>
      </c>
      <c r="N819" s="3" t="str" cm="1">
        <f t="array" ref="N819">_xlfn.IFS(G819&gt;=90,"Excellent",G819&gt;=80,"Good",G819&gt;=70,"Average",G819&lt;70,"Poor")</f>
        <v>Good</v>
      </c>
    </row>
    <row r="820" spans="1:14" x14ac:dyDescent="0.35">
      <c r="A820" s="2">
        <v>819</v>
      </c>
      <c r="B820" s="2" t="s">
        <v>861</v>
      </c>
      <c r="C820" s="2" t="s">
        <v>31</v>
      </c>
      <c r="D820" s="2" t="s">
        <v>37</v>
      </c>
      <c r="E820" s="2" t="s">
        <v>43</v>
      </c>
      <c r="F820" s="2">
        <v>2006</v>
      </c>
      <c r="G820" s="2">
        <v>83</v>
      </c>
      <c r="H820" s="3">
        <v>3.26</v>
      </c>
      <c r="I820" s="3">
        <v>1.45</v>
      </c>
      <c r="J820" s="3">
        <v>0.68</v>
      </c>
      <c r="K820" s="3">
        <v>0.45</v>
      </c>
      <c r="L820" s="3">
        <v>0.68</v>
      </c>
      <c r="M820" s="2" t="s">
        <v>27</v>
      </c>
      <c r="N820" s="3" t="str" cm="1">
        <f t="array" ref="N820">_xlfn.IFS(G820&gt;=90,"Excellent",G820&gt;=80,"Good",G820&gt;=70,"Average",G820&lt;70,"Poor")</f>
        <v>Good</v>
      </c>
    </row>
    <row r="821" spans="1:14" x14ac:dyDescent="0.35">
      <c r="A821" s="2">
        <v>820</v>
      </c>
      <c r="B821" s="2" t="s">
        <v>862</v>
      </c>
      <c r="C821" s="2" t="s">
        <v>57</v>
      </c>
      <c r="D821" s="2" t="s">
        <v>37</v>
      </c>
      <c r="E821" s="2" t="s">
        <v>49</v>
      </c>
      <c r="F821" s="2">
        <v>2008</v>
      </c>
      <c r="G821" s="2">
        <v>66</v>
      </c>
      <c r="H821" s="3">
        <v>0.91</v>
      </c>
      <c r="I821" s="3">
        <v>0.41</v>
      </c>
      <c r="J821" s="3">
        <v>0.25</v>
      </c>
      <c r="K821" s="3">
        <v>0.18</v>
      </c>
      <c r="L821" s="3">
        <v>7.0000000000000007E-2</v>
      </c>
      <c r="M821" s="2" t="s">
        <v>17</v>
      </c>
      <c r="N821" s="3" t="str" cm="1">
        <f t="array" ref="N821">_xlfn.IFS(G821&gt;=90,"Excellent",G821&gt;=80,"Good",G821&gt;=70,"Average",G821&lt;70,"Poor")</f>
        <v>Poor</v>
      </c>
    </row>
    <row r="822" spans="1:14" x14ac:dyDescent="0.35">
      <c r="A822" s="2">
        <v>821</v>
      </c>
      <c r="B822" s="2" t="s">
        <v>863</v>
      </c>
      <c r="C822" s="2" t="s">
        <v>23</v>
      </c>
      <c r="D822" s="2" t="s">
        <v>29</v>
      </c>
      <c r="E822" s="2" t="s">
        <v>54</v>
      </c>
      <c r="F822" s="2">
        <v>2026</v>
      </c>
      <c r="G822" s="2">
        <v>81</v>
      </c>
      <c r="H822" s="3">
        <v>0.87</v>
      </c>
      <c r="I822" s="3">
        <v>0.39</v>
      </c>
      <c r="J822" s="3">
        <v>0.24</v>
      </c>
      <c r="K822" s="3">
        <v>7.0000000000000007E-2</v>
      </c>
      <c r="L822" s="3">
        <v>0.17</v>
      </c>
      <c r="M822" s="2" t="s">
        <v>17</v>
      </c>
      <c r="N822" s="3" t="str" cm="1">
        <f t="array" ref="N822">_xlfn.IFS(G822&gt;=90,"Excellent",G822&gt;=80,"Good",G822&gt;=70,"Average",G822&lt;70,"Poor")</f>
        <v>Good</v>
      </c>
    </row>
    <row r="823" spans="1:14" x14ac:dyDescent="0.35">
      <c r="A823" s="2">
        <v>822</v>
      </c>
      <c r="B823" s="2" t="s">
        <v>864</v>
      </c>
      <c r="C823" s="2" t="s">
        <v>59</v>
      </c>
      <c r="D823" s="2" t="s">
        <v>45</v>
      </c>
      <c r="E823" s="2" t="s">
        <v>60</v>
      </c>
      <c r="F823" s="2">
        <v>1999</v>
      </c>
      <c r="G823" s="2">
        <v>60</v>
      </c>
      <c r="H823" s="3">
        <v>3.4</v>
      </c>
      <c r="I823" s="3">
        <v>1.82</v>
      </c>
      <c r="J823" s="3">
        <v>0.71</v>
      </c>
      <c r="K823" s="3">
        <v>0.35</v>
      </c>
      <c r="L823" s="3">
        <v>0.52</v>
      </c>
      <c r="M823" s="2" t="s">
        <v>27</v>
      </c>
      <c r="N823" s="3" t="str" cm="1">
        <f t="array" ref="N823">_xlfn.IFS(G823&gt;=90,"Excellent",G823&gt;=80,"Good",G823&gt;=70,"Average",G823&lt;70,"Poor")</f>
        <v>Poor</v>
      </c>
    </row>
    <row r="824" spans="1:14" x14ac:dyDescent="0.35">
      <c r="A824" s="2">
        <v>823</v>
      </c>
      <c r="B824" s="2" t="s">
        <v>865</v>
      </c>
      <c r="C824" s="2" t="s">
        <v>64</v>
      </c>
      <c r="D824" s="2" t="s">
        <v>51</v>
      </c>
      <c r="E824" s="2" t="s">
        <v>16</v>
      </c>
      <c r="F824" s="2">
        <v>2013</v>
      </c>
      <c r="G824" s="2">
        <v>81</v>
      </c>
      <c r="H824" s="3">
        <v>0.05</v>
      </c>
      <c r="I824" s="3">
        <v>0.02</v>
      </c>
      <c r="J824" s="3">
        <v>0.01</v>
      </c>
      <c r="K824" s="3">
        <v>0.01</v>
      </c>
      <c r="L824" s="3">
        <v>0.01</v>
      </c>
      <c r="M824" s="2" t="s">
        <v>24</v>
      </c>
      <c r="N824" s="3" t="str" cm="1">
        <f t="array" ref="N824">_xlfn.IFS(G824&gt;=90,"Excellent",G824&gt;=80,"Good",G824&gt;=70,"Average",G824&lt;70,"Poor")</f>
        <v>Good</v>
      </c>
    </row>
    <row r="825" spans="1:14" x14ac:dyDescent="0.35">
      <c r="A825" s="2">
        <v>824</v>
      </c>
      <c r="B825" s="2" t="s">
        <v>866</v>
      </c>
      <c r="C825" s="2" t="s">
        <v>57</v>
      </c>
      <c r="D825" s="2" t="s">
        <v>45</v>
      </c>
      <c r="E825" s="2" t="s">
        <v>20</v>
      </c>
      <c r="F825" s="2">
        <v>2006</v>
      </c>
      <c r="G825" s="2">
        <v>58</v>
      </c>
      <c r="H825" s="3">
        <v>1.2</v>
      </c>
      <c r="I825" s="3">
        <v>0.44</v>
      </c>
      <c r="J825" s="3">
        <v>0.39</v>
      </c>
      <c r="K825" s="3">
        <v>0.22</v>
      </c>
      <c r="L825" s="3">
        <v>0.15</v>
      </c>
      <c r="M825" s="2" t="s">
        <v>17</v>
      </c>
      <c r="N825" s="3" t="str" cm="1">
        <f t="array" ref="N825">_xlfn.IFS(G825&gt;=90,"Excellent",G825&gt;=80,"Good",G825&gt;=70,"Average",G825&lt;70,"Poor")</f>
        <v>Poor</v>
      </c>
    </row>
    <row r="826" spans="1:14" x14ac:dyDescent="0.35">
      <c r="A826" s="2">
        <v>825</v>
      </c>
      <c r="B826" s="2" t="s">
        <v>867</v>
      </c>
      <c r="C826" s="2" t="s">
        <v>59</v>
      </c>
      <c r="D826" s="2" t="s">
        <v>29</v>
      </c>
      <c r="E826" s="2" t="s">
        <v>54</v>
      </c>
      <c r="F826" s="2">
        <v>1996</v>
      </c>
      <c r="G826" s="2">
        <v>59</v>
      </c>
      <c r="H826" s="3">
        <v>0.23</v>
      </c>
      <c r="I826" s="3">
        <v>0.1</v>
      </c>
      <c r="J826" s="3">
        <v>0.05</v>
      </c>
      <c r="K826" s="3">
        <v>0.03</v>
      </c>
      <c r="L826" s="3">
        <v>0.05</v>
      </c>
      <c r="M826" s="2" t="s">
        <v>24</v>
      </c>
      <c r="N826" s="3" t="str" cm="1">
        <f t="array" ref="N826">_xlfn.IFS(G826&gt;=90,"Excellent",G826&gt;=80,"Good",G826&gt;=70,"Average",G826&lt;70,"Poor")</f>
        <v>Poor</v>
      </c>
    </row>
    <row r="827" spans="1:14" x14ac:dyDescent="0.35">
      <c r="A827" s="2">
        <v>826</v>
      </c>
      <c r="B827" s="2" t="s">
        <v>868</v>
      </c>
      <c r="C827" s="2" t="s">
        <v>14</v>
      </c>
      <c r="D827" s="2" t="s">
        <v>45</v>
      </c>
      <c r="E827" s="2" t="s">
        <v>43</v>
      </c>
      <c r="F827" s="2">
        <v>2013</v>
      </c>
      <c r="G827" s="2">
        <v>73</v>
      </c>
      <c r="H827" s="3">
        <v>1.03</v>
      </c>
      <c r="I827" s="3">
        <v>0.4</v>
      </c>
      <c r="J827" s="3">
        <v>0.23</v>
      </c>
      <c r="K827" s="3">
        <v>0.11</v>
      </c>
      <c r="L827" s="3">
        <v>0.28999999999999998</v>
      </c>
      <c r="M827" s="2" t="s">
        <v>17</v>
      </c>
      <c r="N827" s="3" t="str" cm="1">
        <f t="array" ref="N827">_xlfn.IFS(G827&gt;=90,"Excellent",G827&gt;=80,"Good",G827&gt;=70,"Average",G827&lt;70,"Poor")</f>
        <v>Average</v>
      </c>
    </row>
    <row r="828" spans="1:14" x14ac:dyDescent="0.35">
      <c r="A828" s="2">
        <v>827</v>
      </c>
      <c r="B828" s="2" t="s">
        <v>869</v>
      </c>
      <c r="C828" s="2" t="s">
        <v>19</v>
      </c>
      <c r="D828" s="2" t="s">
        <v>65</v>
      </c>
      <c r="E828" s="2" t="s">
        <v>46</v>
      </c>
      <c r="F828" s="2">
        <v>2020</v>
      </c>
      <c r="G828" s="2">
        <v>74</v>
      </c>
      <c r="H828" s="3">
        <v>1.42</v>
      </c>
      <c r="I828" s="3">
        <v>0.54</v>
      </c>
      <c r="J828" s="3">
        <v>0.49</v>
      </c>
      <c r="K828" s="3">
        <v>0.18</v>
      </c>
      <c r="L828" s="3">
        <v>0.21</v>
      </c>
      <c r="M828" s="2" t="s">
        <v>17</v>
      </c>
      <c r="N828" s="3" t="str" cm="1">
        <f t="array" ref="N828">_xlfn.IFS(G828&gt;=90,"Excellent",G828&gt;=80,"Good",G828&gt;=70,"Average",G828&lt;70,"Poor")</f>
        <v>Average</v>
      </c>
    </row>
    <row r="829" spans="1:14" x14ac:dyDescent="0.35">
      <c r="A829" s="2">
        <v>828</v>
      </c>
      <c r="B829" s="2" t="s">
        <v>870</v>
      </c>
      <c r="C829" s="2" t="s">
        <v>31</v>
      </c>
      <c r="D829" s="2" t="s">
        <v>48</v>
      </c>
      <c r="E829" s="2" t="s">
        <v>41</v>
      </c>
      <c r="F829" s="2">
        <v>2005</v>
      </c>
      <c r="G829" s="2">
        <v>69</v>
      </c>
      <c r="H829" s="3">
        <v>0.26</v>
      </c>
      <c r="I829" s="3">
        <v>0.14000000000000001</v>
      </c>
      <c r="J829" s="3">
        <v>0.08</v>
      </c>
      <c r="K829" s="3">
        <v>0.02</v>
      </c>
      <c r="L829" s="3">
        <v>0.02</v>
      </c>
      <c r="M829" s="2" t="s">
        <v>24</v>
      </c>
      <c r="N829" s="3" t="str" cm="1">
        <f t="array" ref="N829">_xlfn.IFS(G829&gt;=90,"Excellent",G829&gt;=80,"Good",G829&gt;=70,"Average",G829&lt;70,"Poor")</f>
        <v>Poor</v>
      </c>
    </row>
    <row r="830" spans="1:14" x14ac:dyDescent="0.35">
      <c r="A830" s="2">
        <v>829</v>
      </c>
      <c r="B830" s="2" t="s">
        <v>871</v>
      </c>
      <c r="C830" s="2" t="s">
        <v>57</v>
      </c>
      <c r="D830" s="2" t="s">
        <v>62</v>
      </c>
      <c r="E830" s="2" t="s">
        <v>43</v>
      </c>
      <c r="F830" s="2">
        <v>2011</v>
      </c>
      <c r="G830" s="2">
        <v>65</v>
      </c>
      <c r="H830" s="3">
        <v>0.16</v>
      </c>
      <c r="I830" s="3">
        <v>7.0000000000000007E-2</v>
      </c>
      <c r="J830" s="3">
        <v>0.04</v>
      </c>
      <c r="K830" s="3">
        <v>0.01</v>
      </c>
      <c r="L830" s="3">
        <v>0.04</v>
      </c>
      <c r="M830" s="2" t="s">
        <v>24</v>
      </c>
      <c r="N830" s="3" t="str" cm="1">
        <f t="array" ref="N830">_xlfn.IFS(G830&gt;=90,"Excellent",G830&gt;=80,"Good",G830&gt;=70,"Average",G830&lt;70,"Poor")</f>
        <v>Poor</v>
      </c>
    </row>
    <row r="831" spans="1:14" x14ac:dyDescent="0.35">
      <c r="A831" s="2">
        <v>830</v>
      </c>
      <c r="B831" s="2" t="s">
        <v>872</v>
      </c>
      <c r="C831" s="2" t="s">
        <v>14</v>
      </c>
      <c r="D831" s="2" t="s">
        <v>15</v>
      </c>
      <c r="E831" s="2" t="s">
        <v>52</v>
      </c>
      <c r="F831" s="2">
        <v>2011</v>
      </c>
      <c r="G831" s="2">
        <v>89</v>
      </c>
      <c r="H831" s="3">
        <v>0.27</v>
      </c>
      <c r="I831" s="3">
        <v>0.1</v>
      </c>
      <c r="J831" s="3">
        <v>0.09</v>
      </c>
      <c r="K831" s="3">
        <v>0.02</v>
      </c>
      <c r="L831" s="3">
        <v>0.06</v>
      </c>
      <c r="M831" s="2" t="s">
        <v>24</v>
      </c>
      <c r="N831" s="3" t="str" cm="1">
        <f t="array" ref="N831">_xlfn.IFS(G831&gt;=90,"Excellent",G831&gt;=80,"Good",G831&gt;=70,"Average",G831&lt;70,"Poor")</f>
        <v>Good</v>
      </c>
    </row>
    <row r="832" spans="1:14" x14ac:dyDescent="0.35">
      <c r="A832" s="2">
        <v>831</v>
      </c>
      <c r="B832" s="2" t="s">
        <v>873</v>
      </c>
      <c r="C832" s="2" t="s">
        <v>31</v>
      </c>
      <c r="D832" s="2" t="s">
        <v>15</v>
      </c>
      <c r="E832" s="2" t="s">
        <v>52</v>
      </c>
      <c r="F832" s="2">
        <v>2005</v>
      </c>
      <c r="G832" s="2">
        <v>91</v>
      </c>
      <c r="H832" s="3">
        <v>0.83</v>
      </c>
      <c r="I832" s="3">
        <v>0.42</v>
      </c>
      <c r="J832" s="3">
        <v>0.17</v>
      </c>
      <c r="K832" s="3">
        <v>0.08</v>
      </c>
      <c r="L832" s="3">
        <v>0.16</v>
      </c>
      <c r="M832" s="2" t="s">
        <v>17</v>
      </c>
      <c r="N832" s="3" t="str" cm="1">
        <f t="array" ref="N832">_xlfn.IFS(G832&gt;=90,"Excellent",G832&gt;=80,"Good",G832&gt;=70,"Average",G832&lt;70,"Poor")</f>
        <v>Excellent</v>
      </c>
    </row>
    <row r="833" spans="1:14" x14ac:dyDescent="0.35">
      <c r="A833" s="2">
        <v>832</v>
      </c>
      <c r="B833" s="2" t="s">
        <v>874</v>
      </c>
      <c r="C833" s="2" t="s">
        <v>14</v>
      </c>
      <c r="D833" s="2" t="s">
        <v>29</v>
      </c>
      <c r="E833" s="2" t="s">
        <v>46</v>
      </c>
      <c r="F833" s="2">
        <v>2006</v>
      </c>
      <c r="G833" s="2">
        <v>67</v>
      </c>
      <c r="H833" s="3">
        <v>0.37</v>
      </c>
      <c r="I833" s="3">
        <v>0.16</v>
      </c>
      <c r="J833" s="3">
        <v>0.08</v>
      </c>
      <c r="K833" s="3">
        <v>0.06</v>
      </c>
      <c r="L833" s="3">
        <v>7.0000000000000007E-2</v>
      </c>
      <c r="M833" s="2" t="s">
        <v>24</v>
      </c>
      <c r="N833" s="3" t="str" cm="1">
        <f t="array" ref="N833">_xlfn.IFS(G833&gt;=90,"Excellent",G833&gt;=80,"Good",G833&gt;=70,"Average",G833&lt;70,"Poor")</f>
        <v>Poor</v>
      </c>
    </row>
    <row r="834" spans="1:14" x14ac:dyDescent="0.35">
      <c r="A834" s="2">
        <v>833</v>
      </c>
      <c r="B834" s="2" t="s">
        <v>875</v>
      </c>
      <c r="C834" s="2" t="s">
        <v>14</v>
      </c>
      <c r="D834" s="2" t="s">
        <v>65</v>
      </c>
      <c r="E834" s="2" t="s">
        <v>49</v>
      </c>
      <c r="F834" s="2">
        <v>2012</v>
      </c>
      <c r="G834" s="2">
        <v>56</v>
      </c>
      <c r="H834" s="3">
        <v>0.73</v>
      </c>
      <c r="I834" s="3">
        <v>0.34</v>
      </c>
      <c r="J834" s="3">
        <v>0.24</v>
      </c>
      <c r="K834" s="3">
        <v>7.0000000000000007E-2</v>
      </c>
      <c r="L834" s="3">
        <v>0.08</v>
      </c>
      <c r="M834" s="2" t="s">
        <v>17</v>
      </c>
      <c r="N834" s="3" t="str" cm="1">
        <f t="array" ref="N834">_xlfn.IFS(G834&gt;=90,"Excellent",G834&gt;=80,"Good",G834&gt;=70,"Average",G834&lt;70,"Poor")</f>
        <v>Poor</v>
      </c>
    </row>
    <row r="835" spans="1:14" x14ac:dyDescent="0.35">
      <c r="A835" s="2">
        <v>834</v>
      </c>
      <c r="B835" s="2" t="s">
        <v>876</v>
      </c>
      <c r="C835" s="2" t="s">
        <v>31</v>
      </c>
      <c r="D835" s="2" t="s">
        <v>62</v>
      </c>
      <c r="E835" s="2" t="s">
        <v>49</v>
      </c>
      <c r="F835" s="2">
        <v>2005</v>
      </c>
      <c r="G835" s="2">
        <v>68</v>
      </c>
      <c r="H835" s="3">
        <v>2.62</v>
      </c>
      <c r="I835" s="3">
        <v>1.32</v>
      </c>
      <c r="J835" s="3">
        <v>0.59</v>
      </c>
      <c r="K835" s="3">
        <v>0.51</v>
      </c>
      <c r="L835" s="3">
        <v>0.2</v>
      </c>
      <c r="M835" s="2" t="s">
        <v>27</v>
      </c>
      <c r="N835" s="3" t="str" cm="1">
        <f t="array" ref="N835">_xlfn.IFS(G835&gt;=90,"Excellent",G835&gt;=80,"Good",G835&gt;=70,"Average",G835&lt;70,"Poor")</f>
        <v>Poor</v>
      </c>
    </row>
    <row r="836" spans="1:14" x14ac:dyDescent="0.35">
      <c r="A836" s="2">
        <v>835</v>
      </c>
      <c r="B836" s="2" t="s">
        <v>877</v>
      </c>
      <c r="C836" s="2" t="s">
        <v>23</v>
      </c>
      <c r="D836" s="2" t="s">
        <v>2</v>
      </c>
      <c r="E836" s="2" t="s">
        <v>60</v>
      </c>
      <c r="F836" s="2">
        <v>2025</v>
      </c>
      <c r="G836" s="2">
        <v>63</v>
      </c>
      <c r="H836" s="3">
        <v>0.5</v>
      </c>
      <c r="I836" s="3">
        <v>0.26</v>
      </c>
      <c r="J836" s="3">
        <v>0.13</v>
      </c>
      <c r="K836" s="3">
        <v>0.09</v>
      </c>
      <c r="L836" s="3">
        <v>0.02</v>
      </c>
      <c r="M836" s="2" t="s">
        <v>24</v>
      </c>
      <c r="N836" s="3" t="str" cm="1">
        <f t="array" ref="N836">_xlfn.IFS(G836&gt;=90,"Excellent",G836&gt;=80,"Good",G836&gt;=70,"Average",G836&lt;70,"Poor")</f>
        <v>Poor</v>
      </c>
    </row>
    <row r="837" spans="1:14" x14ac:dyDescent="0.35">
      <c r="A837" s="2">
        <v>836</v>
      </c>
      <c r="B837" s="2" t="s">
        <v>878</v>
      </c>
      <c r="C837" s="2" t="s">
        <v>64</v>
      </c>
      <c r="D837" s="2" t="s">
        <v>48</v>
      </c>
      <c r="E837" s="2" t="s">
        <v>52</v>
      </c>
      <c r="F837" s="2">
        <v>2017</v>
      </c>
      <c r="G837" s="2">
        <v>59</v>
      </c>
      <c r="H837" s="3">
        <v>1.51</v>
      </c>
      <c r="I837" s="3">
        <v>0.83</v>
      </c>
      <c r="J837" s="3">
        <v>0.32</v>
      </c>
      <c r="K837" s="3">
        <v>0.08</v>
      </c>
      <c r="L837" s="3">
        <v>0.28000000000000003</v>
      </c>
      <c r="M837" s="2" t="s">
        <v>17</v>
      </c>
      <c r="N837" s="3" t="str" cm="1">
        <f t="array" ref="N837">_xlfn.IFS(G837&gt;=90,"Excellent",G837&gt;=80,"Good",G837&gt;=70,"Average",G837&lt;70,"Poor")</f>
        <v>Poor</v>
      </c>
    </row>
    <row r="838" spans="1:14" x14ac:dyDescent="0.35">
      <c r="A838" s="2">
        <v>837</v>
      </c>
      <c r="B838" s="2" t="s">
        <v>879</v>
      </c>
      <c r="C838" s="2" t="s">
        <v>64</v>
      </c>
      <c r="D838" s="2" t="s">
        <v>65</v>
      </c>
      <c r="E838" s="2" t="s">
        <v>49</v>
      </c>
      <c r="F838" s="2">
        <v>2015</v>
      </c>
      <c r="G838" s="2">
        <v>84</v>
      </c>
      <c r="H838" s="3">
        <v>0.14000000000000001</v>
      </c>
      <c r="I838" s="3">
        <v>0.06</v>
      </c>
      <c r="J838" s="3">
        <v>0.03</v>
      </c>
      <c r="K838" s="3">
        <v>0.01</v>
      </c>
      <c r="L838" s="3">
        <v>0.04</v>
      </c>
      <c r="M838" s="2" t="s">
        <v>24</v>
      </c>
      <c r="N838" s="3" t="str" cm="1">
        <f t="array" ref="N838">_xlfn.IFS(G838&gt;=90,"Excellent",G838&gt;=80,"Good",G838&gt;=70,"Average",G838&lt;70,"Poor")</f>
        <v>Good</v>
      </c>
    </row>
    <row r="839" spans="1:14" x14ac:dyDescent="0.35">
      <c r="A839" s="2">
        <v>838</v>
      </c>
      <c r="B839" s="2" t="s">
        <v>880</v>
      </c>
      <c r="C839" s="2" t="s">
        <v>64</v>
      </c>
      <c r="D839" s="2" t="s">
        <v>51</v>
      </c>
      <c r="E839" s="2" t="s">
        <v>16</v>
      </c>
      <c r="F839" s="2">
        <v>2018</v>
      </c>
      <c r="G839" s="2">
        <v>96</v>
      </c>
      <c r="H839" s="3">
        <v>1.22</v>
      </c>
      <c r="I839" s="3">
        <v>0.52</v>
      </c>
      <c r="J839" s="3">
        <v>0.3</v>
      </c>
      <c r="K839" s="3">
        <v>0.14000000000000001</v>
      </c>
      <c r="L839" s="3">
        <v>0.26</v>
      </c>
      <c r="M839" s="2" t="s">
        <v>17</v>
      </c>
      <c r="N839" s="3" t="str" cm="1">
        <f t="array" ref="N839">_xlfn.IFS(G839&gt;=90,"Excellent",G839&gt;=80,"Good",G839&gt;=70,"Average",G839&lt;70,"Poor")</f>
        <v>Excellent</v>
      </c>
    </row>
    <row r="840" spans="1:14" x14ac:dyDescent="0.35">
      <c r="A840" s="2">
        <v>839</v>
      </c>
      <c r="B840" s="2" t="s">
        <v>881</v>
      </c>
      <c r="C840" s="2" t="s">
        <v>23</v>
      </c>
      <c r="D840" s="2" t="s">
        <v>37</v>
      </c>
      <c r="E840" s="2" t="s">
        <v>16</v>
      </c>
      <c r="F840" s="2">
        <v>2025</v>
      </c>
      <c r="G840" s="2">
        <v>94</v>
      </c>
      <c r="H840" s="3">
        <v>2.25</v>
      </c>
      <c r="I840" s="3">
        <v>1.0900000000000001</v>
      </c>
      <c r="J840" s="3">
        <v>0.62</v>
      </c>
      <c r="K840" s="3">
        <v>0.2</v>
      </c>
      <c r="L840" s="3">
        <v>0.34</v>
      </c>
      <c r="M840" s="2" t="s">
        <v>27</v>
      </c>
      <c r="N840" s="3" t="str" cm="1">
        <f t="array" ref="N840">_xlfn.IFS(G840&gt;=90,"Excellent",G840&gt;=80,"Good",G840&gt;=70,"Average",G840&lt;70,"Poor")</f>
        <v>Excellent</v>
      </c>
    </row>
    <row r="841" spans="1:14" x14ac:dyDescent="0.35">
      <c r="A841" s="2">
        <v>840</v>
      </c>
      <c r="B841" s="2" t="s">
        <v>882</v>
      </c>
      <c r="C841" s="2" t="s">
        <v>57</v>
      </c>
      <c r="D841" s="2" t="s">
        <v>2</v>
      </c>
      <c r="E841" s="2" t="s">
        <v>20</v>
      </c>
      <c r="F841" s="2">
        <v>2004</v>
      </c>
      <c r="G841" s="2">
        <v>55</v>
      </c>
      <c r="H841" s="3">
        <v>0.26</v>
      </c>
      <c r="I841" s="3">
        <v>0.11</v>
      </c>
      <c r="J841" s="3">
        <v>7.0000000000000007E-2</v>
      </c>
      <c r="K841" s="3">
        <v>0.05</v>
      </c>
      <c r="L841" s="3">
        <v>0.03</v>
      </c>
      <c r="M841" s="2" t="s">
        <v>24</v>
      </c>
      <c r="N841" s="3" t="str" cm="1">
        <f t="array" ref="N841">_xlfn.IFS(G841&gt;=90,"Excellent",G841&gt;=80,"Good",G841&gt;=70,"Average",G841&lt;70,"Poor")</f>
        <v>Poor</v>
      </c>
    </row>
    <row r="842" spans="1:14" x14ac:dyDescent="0.35">
      <c r="A842" s="2">
        <v>841</v>
      </c>
      <c r="B842" s="2" t="s">
        <v>883</v>
      </c>
      <c r="C842" s="2" t="s">
        <v>31</v>
      </c>
      <c r="D842" s="2" t="s">
        <v>62</v>
      </c>
      <c r="E842" s="2" t="s">
        <v>49</v>
      </c>
      <c r="F842" s="2">
        <v>2003</v>
      </c>
      <c r="G842" s="2">
        <v>84</v>
      </c>
      <c r="H842" s="3">
        <v>6</v>
      </c>
      <c r="I842" s="3">
        <v>2.66</v>
      </c>
      <c r="J842" s="3">
        <v>1.28</v>
      </c>
      <c r="K842" s="3">
        <v>0.96</v>
      </c>
      <c r="L842" s="3">
        <v>1.1000000000000001</v>
      </c>
      <c r="M842" s="2" t="s">
        <v>21</v>
      </c>
      <c r="N842" s="3" t="str" cm="1">
        <f t="array" ref="N842">_xlfn.IFS(G842&gt;=90,"Excellent",G842&gt;=80,"Good",G842&gt;=70,"Average",G842&lt;70,"Poor")</f>
        <v>Good</v>
      </c>
    </row>
    <row r="843" spans="1:14" x14ac:dyDescent="0.35">
      <c r="A843" s="2">
        <v>842</v>
      </c>
      <c r="B843" s="2" t="s">
        <v>884</v>
      </c>
      <c r="C843" s="2" t="s">
        <v>19</v>
      </c>
      <c r="D843" s="2" t="s">
        <v>48</v>
      </c>
      <c r="E843" s="2" t="s">
        <v>41</v>
      </c>
      <c r="F843" s="2">
        <v>2019</v>
      </c>
      <c r="G843" s="2">
        <v>75</v>
      </c>
      <c r="H843" s="3">
        <v>0.44</v>
      </c>
      <c r="I843" s="3">
        <v>0.17</v>
      </c>
      <c r="J843" s="3">
        <v>0.14000000000000001</v>
      </c>
      <c r="K843" s="3">
        <v>0.03</v>
      </c>
      <c r="L843" s="3">
        <v>0.1</v>
      </c>
      <c r="M843" s="2" t="s">
        <v>24</v>
      </c>
      <c r="N843" s="3" t="str" cm="1">
        <f t="array" ref="N843">_xlfn.IFS(G843&gt;=90,"Excellent",G843&gt;=80,"Good",G843&gt;=70,"Average",G843&lt;70,"Poor")</f>
        <v>Average</v>
      </c>
    </row>
    <row r="844" spans="1:14" x14ac:dyDescent="0.35">
      <c r="A844" s="2">
        <v>843</v>
      </c>
      <c r="B844" s="2" t="s">
        <v>885</v>
      </c>
      <c r="C844" s="2" t="s">
        <v>19</v>
      </c>
      <c r="D844" s="2" t="s">
        <v>65</v>
      </c>
      <c r="E844" s="2" t="s">
        <v>54</v>
      </c>
      <c r="F844" s="2">
        <v>2013</v>
      </c>
      <c r="G844" s="2">
        <v>95</v>
      </c>
      <c r="H844" s="3">
        <v>0.28999999999999998</v>
      </c>
      <c r="I844" s="3">
        <v>0.16</v>
      </c>
      <c r="J844" s="3">
        <v>0.09</v>
      </c>
      <c r="K844" s="3">
        <v>0.02</v>
      </c>
      <c r="L844" s="3">
        <v>0.02</v>
      </c>
      <c r="M844" s="2" t="s">
        <v>24</v>
      </c>
      <c r="N844" s="3" t="str" cm="1">
        <f t="array" ref="N844">_xlfn.IFS(G844&gt;=90,"Excellent",G844&gt;=80,"Good",G844&gt;=70,"Average",G844&lt;70,"Poor")</f>
        <v>Excellent</v>
      </c>
    </row>
    <row r="845" spans="1:14" x14ac:dyDescent="0.35">
      <c r="A845" s="2">
        <v>844</v>
      </c>
      <c r="B845" s="2" t="s">
        <v>886</v>
      </c>
      <c r="C845" s="2" t="s">
        <v>64</v>
      </c>
      <c r="D845" s="2" t="s">
        <v>45</v>
      </c>
      <c r="E845" s="2" t="s">
        <v>16</v>
      </c>
      <c r="F845" s="2">
        <v>2016</v>
      </c>
      <c r="G845" s="2">
        <v>68</v>
      </c>
      <c r="H845" s="3">
        <v>0.43</v>
      </c>
      <c r="I845" s="3">
        <v>0.21</v>
      </c>
      <c r="J845" s="3">
        <v>0.09</v>
      </c>
      <c r="K845" s="3">
        <v>0.03</v>
      </c>
      <c r="L845" s="3">
        <v>0.1</v>
      </c>
      <c r="M845" s="2" t="s">
        <v>24</v>
      </c>
      <c r="N845" s="3" t="str" cm="1">
        <f t="array" ref="N845">_xlfn.IFS(G845&gt;=90,"Excellent",G845&gt;=80,"Good",G845&gt;=70,"Average",G845&lt;70,"Poor")</f>
        <v>Poor</v>
      </c>
    </row>
    <row r="846" spans="1:14" x14ac:dyDescent="0.35">
      <c r="A846" s="2">
        <v>845</v>
      </c>
      <c r="B846" s="2" t="s">
        <v>887</v>
      </c>
      <c r="C846" s="2" t="s">
        <v>19</v>
      </c>
      <c r="D846" s="2" t="s">
        <v>51</v>
      </c>
      <c r="E846" s="2" t="s">
        <v>16</v>
      </c>
      <c r="F846" s="2">
        <v>2014</v>
      </c>
      <c r="G846" s="2">
        <v>68</v>
      </c>
      <c r="H846" s="3">
        <v>1.1499999999999999</v>
      </c>
      <c r="I846" s="3">
        <v>0.59</v>
      </c>
      <c r="J846" s="3">
        <v>0.25</v>
      </c>
      <c r="K846" s="3">
        <v>0.21</v>
      </c>
      <c r="L846" s="3">
        <v>0.1</v>
      </c>
      <c r="M846" s="2" t="s">
        <v>17</v>
      </c>
      <c r="N846" s="3" t="str" cm="1">
        <f t="array" ref="N846">_xlfn.IFS(G846&gt;=90,"Excellent",G846&gt;=80,"Good",G846&gt;=70,"Average",G846&lt;70,"Poor")</f>
        <v>Poor</v>
      </c>
    </row>
    <row r="847" spans="1:14" x14ac:dyDescent="0.35">
      <c r="A847" s="2">
        <v>846</v>
      </c>
      <c r="B847" s="2" t="s">
        <v>888</v>
      </c>
      <c r="C847" s="2" t="s">
        <v>14</v>
      </c>
      <c r="D847" s="2" t="s">
        <v>37</v>
      </c>
      <c r="E847" s="2" t="s">
        <v>52</v>
      </c>
      <c r="F847" s="2">
        <v>2010</v>
      </c>
      <c r="G847" s="2">
        <v>85</v>
      </c>
      <c r="H847" s="3">
        <v>0.52</v>
      </c>
      <c r="I847" s="3">
        <v>0.2</v>
      </c>
      <c r="J847" s="3">
        <v>0.16</v>
      </c>
      <c r="K847" s="3">
        <v>0.05</v>
      </c>
      <c r="L847" s="3">
        <v>0.11</v>
      </c>
      <c r="M847" s="2" t="s">
        <v>17</v>
      </c>
      <c r="N847" s="3" t="str" cm="1">
        <f t="array" ref="N847">_xlfn.IFS(G847&gt;=90,"Excellent",G847&gt;=80,"Good",G847&gt;=70,"Average",G847&lt;70,"Poor")</f>
        <v>Good</v>
      </c>
    </row>
    <row r="848" spans="1:14" x14ac:dyDescent="0.35">
      <c r="A848" s="2">
        <v>847</v>
      </c>
      <c r="B848" s="2" t="s">
        <v>889</v>
      </c>
      <c r="C848" s="2" t="s">
        <v>57</v>
      </c>
      <c r="D848" s="2" t="s">
        <v>45</v>
      </c>
      <c r="E848" s="2" t="s">
        <v>20</v>
      </c>
      <c r="F848" s="2">
        <v>2013</v>
      </c>
      <c r="G848" s="2">
        <v>67</v>
      </c>
      <c r="H848" s="3">
        <v>0.65</v>
      </c>
      <c r="I848" s="3">
        <v>0.34</v>
      </c>
      <c r="J848" s="3">
        <v>0.21</v>
      </c>
      <c r="K848" s="3">
        <v>0.1</v>
      </c>
      <c r="L848" s="3">
        <v>0</v>
      </c>
      <c r="M848" s="2" t="s">
        <v>17</v>
      </c>
      <c r="N848" s="3" t="str" cm="1">
        <f t="array" ref="N848">_xlfn.IFS(G848&gt;=90,"Excellent",G848&gt;=80,"Good",G848&gt;=70,"Average",G848&lt;70,"Poor")</f>
        <v>Poor</v>
      </c>
    </row>
    <row r="849" spans="1:14" x14ac:dyDescent="0.35">
      <c r="A849" s="2">
        <v>848</v>
      </c>
      <c r="B849" s="2" t="s">
        <v>890</v>
      </c>
      <c r="C849" s="2" t="s">
        <v>57</v>
      </c>
      <c r="D849" s="2" t="s">
        <v>15</v>
      </c>
      <c r="E849" s="2" t="s">
        <v>54</v>
      </c>
      <c r="F849" s="2">
        <v>2009</v>
      </c>
      <c r="G849" s="2">
        <v>86</v>
      </c>
      <c r="H849" s="3">
        <v>1.63</v>
      </c>
      <c r="I849" s="3">
        <v>0.74</v>
      </c>
      <c r="J849" s="3">
        <v>0.33</v>
      </c>
      <c r="K849" s="3">
        <v>0.19</v>
      </c>
      <c r="L849" s="3">
        <v>0.37</v>
      </c>
      <c r="M849" s="2" t="s">
        <v>17</v>
      </c>
      <c r="N849" s="3" t="str" cm="1">
        <f t="array" ref="N849">_xlfn.IFS(G849&gt;=90,"Excellent",G849&gt;=80,"Good",G849&gt;=70,"Average",G849&lt;70,"Poor")</f>
        <v>Good</v>
      </c>
    </row>
    <row r="850" spans="1:14" x14ac:dyDescent="0.35">
      <c r="A850" s="2">
        <v>849</v>
      </c>
      <c r="B850" s="2" t="s">
        <v>891</v>
      </c>
      <c r="C850" s="2" t="s">
        <v>64</v>
      </c>
      <c r="D850" s="2" t="s">
        <v>62</v>
      </c>
      <c r="E850" s="2" t="s">
        <v>74</v>
      </c>
      <c r="F850" s="2">
        <v>2013</v>
      </c>
      <c r="G850" s="2">
        <v>68</v>
      </c>
      <c r="H850" s="3">
        <v>0.47</v>
      </c>
      <c r="I850" s="3">
        <v>0.23</v>
      </c>
      <c r="J850" s="3">
        <v>0.15</v>
      </c>
      <c r="K850" s="3">
        <v>7.0000000000000007E-2</v>
      </c>
      <c r="L850" s="3">
        <v>0.02</v>
      </c>
      <c r="M850" s="2" t="s">
        <v>24</v>
      </c>
      <c r="N850" s="3" t="str" cm="1">
        <f t="array" ref="N850">_xlfn.IFS(G850&gt;=90,"Excellent",G850&gt;=80,"Good",G850&gt;=70,"Average",G850&lt;70,"Poor")</f>
        <v>Poor</v>
      </c>
    </row>
    <row r="851" spans="1:14" x14ac:dyDescent="0.35">
      <c r="A851" s="2">
        <v>850</v>
      </c>
      <c r="B851" s="2" t="s">
        <v>892</v>
      </c>
      <c r="C851" s="2" t="s">
        <v>31</v>
      </c>
      <c r="D851" s="2" t="s">
        <v>48</v>
      </c>
      <c r="E851" s="2" t="s">
        <v>52</v>
      </c>
      <c r="F851" s="2">
        <v>2002</v>
      </c>
      <c r="G851" s="2">
        <v>78</v>
      </c>
      <c r="H851" s="3">
        <v>2.27</v>
      </c>
      <c r="I851" s="3">
        <v>1.19</v>
      </c>
      <c r="J851" s="3">
        <v>0.69</v>
      </c>
      <c r="K851" s="3">
        <v>0.33</v>
      </c>
      <c r="L851" s="3">
        <v>0.06</v>
      </c>
      <c r="M851" s="2" t="s">
        <v>27</v>
      </c>
      <c r="N851" s="3" t="str" cm="1">
        <f t="array" ref="N851">_xlfn.IFS(G851&gt;=90,"Excellent",G851&gt;=80,"Good",G851&gt;=70,"Average",G851&lt;70,"Poor")</f>
        <v>Average</v>
      </c>
    </row>
    <row r="852" spans="1:14" x14ac:dyDescent="0.35">
      <c r="A852" s="2">
        <v>851</v>
      </c>
      <c r="B852" s="2" t="s">
        <v>893</v>
      </c>
      <c r="C852" s="2" t="s">
        <v>19</v>
      </c>
      <c r="D852" s="2" t="s">
        <v>45</v>
      </c>
      <c r="E852" s="2" t="s">
        <v>43</v>
      </c>
      <c r="F852" s="2">
        <v>2019</v>
      </c>
      <c r="G852" s="2">
        <v>82</v>
      </c>
      <c r="H852" s="3">
        <v>0.94</v>
      </c>
      <c r="I852" s="3">
        <v>0.35</v>
      </c>
      <c r="J852" s="3">
        <v>0.21</v>
      </c>
      <c r="K852" s="3">
        <v>0.11</v>
      </c>
      <c r="L852" s="3">
        <v>0.27</v>
      </c>
      <c r="M852" s="2" t="s">
        <v>17</v>
      </c>
      <c r="N852" s="3" t="str" cm="1">
        <f t="array" ref="N852">_xlfn.IFS(G852&gt;=90,"Excellent",G852&gt;=80,"Good",G852&gt;=70,"Average",G852&lt;70,"Poor")</f>
        <v>Good</v>
      </c>
    </row>
    <row r="853" spans="1:14" x14ac:dyDescent="0.35">
      <c r="A853" s="2">
        <v>852</v>
      </c>
      <c r="B853" s="2" t="s">
        <v>894</v>
      </c>
      <c r="C853" s="2" t="s">
        <v>31</v>
      </c>
      <c r="D853" s="2" t="s">
        <v>2</v>
      </c>
      <c r="E853" s="2" t="s">
        <v>54</v>
      </c>
      <c r="F853" s="2">
        <v>2004</v>
      </c>
      <c r="G853" s="2">
        <v>79</v>
      </c>
      <c r="H853" s="3">
        <v>0.25</v>
      </c>
      <c r="I853" s="3">
        <v>0.12</v>
      </c>
      <c r="J853" s="3">
        <v>7.0000000000000007E-2</v>
      </c>
      <c r="K853" s="3">
        <v>0.04</v>
      </c>
      <c r="L853" s="3">
        <v>0.02</v>
      </c>
      <c r="M853" s="2" t="s">
        <v>24</v>
      </c>
      <c r="N853" s="3" t="str" cm="1">
        <f t="array" ref="N853">_xlfn.IFS(G853&gt;=90,"Excellent",G853&gt;=80,"Good",G853&gt;=70,"Average",G853&lt;70,"Poor")</f>
        <v>Average</v>
      </c>
    </row>
    <row r="854" spans="1:14" x14ac:dyDescent="0.35">
      <c r="A854" s="2">
        <v>853</v>
      </c>
      <c r="B854" s="2" t="s">
        <v>895</v>
      </c>
      <c r="C854" s="2" t="s">
        <v>64</v>
      </c>
      <c r="D854" s="2" t="s">
        <v>33</v>
      </c>
      <c r="E854" s="2" t="s">
        <v>49</v>
      </c>
      <c r="F854" s="2">
        <v>2012</v>
      </c>
      <c r="G854" s="2">
        <v>94</v>
      </c>
      <c r="H854" s="3">
        <v>0.82</v>
      </c>
      <c r="I854" s="3">
        <v>0.38</v>
      </c>
      <c r="J854" s="3">
        <v>0.24</v>
      </c>
      <c r="K854" s="3">
        <v>0.1</v>
      </c>
      <c r="L854" s="3">
        <v>0.1</v>
      </c>
      <c r="M854" s="2" t="s">
        <v>17</v>
      </c>
      <c r="N854" s="3" t="str" cm="1">
        <f t="array" ref="N854">_xlfn.IFS(G854&gt;=90,"Excellent",G854&gt;=80,"Good",G854&gt;=70,"Average",G854&lt;70,"Poor")</f>
        <v>Excellent</v>
      </c>
    </row>
    <row r="855" spans="1:14" x14ac:dyDescent="0.35">
      <c r="A855" s="2">
        <v>854</v>
      </c>
      <c r="B855" s="2" t="s">
        <v>896</v>
      </c>
      <c r="C855" s="2" t="s">
        <v>64</v>
      </c>
      <c r="D855" s="2" t="s">
        <v>51</v>
      </c>
      <c r="E855" s="2" t="s">
        <v>41</v>
      </c>
      <c r="F855" s="2">
        <v>2011</v>
      </c>
      <c r="G855" s="2">
        <v>84</v>
      </c>
      <c r="H855" s="3">
        <v>0.32</v>
      </c>
      <c r="I855" s="3">
        <v>0.17</v>
      </c>
      <c r="J855" s="3">
        <v>0.11</v>
      </c>
      <c r="K855" s="3">
        <v>0.03</v>
      </c>
      <c r="L855" s="3">
        <v>0.01</v>
      </c>
      <c r="M855" s="2" t="s">
        <v>24</v>
      </c>
      <c r="N855" s="3" t="str" cm="1">
        <f t="array" ref="N855">_xlfn.IFS(G855&gt;=90,"Excellent",G855&gt;=80,"Good",G855&gt;=70,"Average",G855&lt;70,"Poor")</f>
        <v>Good</v>
      </c>
    </row>
    <row r="856" spans="1:14" x14ac:dyDescent="0.35">
      <c r="A856" s="2">
        <v>855</v>
      </c>
      <c r="B856" s="2" t="s">
        <v>897</v>
      </c>
      <c r="C856" s="2" t="s">
        <v>64</v>
      </c>
      <c r="D856" s="2" t="s">
        <v>45</v>
      </c>
      <c r="E856" s="2" t="s">
        <v>41</v>
      </c>
      <c r="F856" s="2">
        <v>2018</v>
      </c>
      <c r="G856" s="2">
        <v>69</v>
      </c>
      <c r="H856" s="3">
        <v>0.3</v>
      </c>
      <c r="I856" s="3">
        <v>0.14000000000000001</v>
      </c>
      <c r="J856" s="3">
        <v>7.0000000000000007E-2</v>
      </c>
      <c r="K856" s="3">
        <v>0.06</v>
      </c>
      <c r="L856" s="3">
        <v>0.03</v>
      </c>
      <c r="M856" s="2" t="s">
        <v>24</v>
      </c>
      <c r="N856" s="3" t="str" cm="1">
        <f t="array" ref="N856">_xlfn.IFS(G856&gt;=90,"Excellent",G856&gt;=80,"Good",G856&gt;=70,"Average",G856&lt;70,"Poor")</f>
        <v>Poor</v>
      </c>
    </row>
    <row r="857" spans="1:14" x14ac:dyDescent="0.35">
      <c r="A857" s="2">
        <v>856</v>
      </c>
      <c r="B857" s="2" t="s">
        <v>898</v>
      </c>
      <c r="C857" s="2" t="s">
        <v>19</v>
      </c>
      <c r="D857" s="2" t="s">
        <v>15</v>
      </c>
      <c r="E857" s="2" t="s">
        <v>41</v>
      </c>
      <c r="F857" s="2">
        <v>2016</v>
      </c>
      <c r="G857" s="2">
        <v>56</v>
      </c>
      <c r="H857" s="3">
        <v>0.34</v>
      </c>
      <c r="I857" s="3">
        <v>0.17</v>
      </c>
      <c r="J857" s="3">
        <v>0.11</v>
      </c>
      <c r="K857" s="3">
        <v>0.05</v>
      </c>
      <c r="L857" s="3">
        <v>0.01</v>
      </c>
      <c r="M857" s="2" t="s">
        <v>24</v>
      </c>
      <c r="N857" s="3" t="str" cm="1">
        <f t="array" ref="N857">_xlfn.IFS(G857&gt;=90,"Excellent",G857&gt;=80,"Good",G857&gt;=70,"Average",G857&lt;70,"Poor")</f>
        <v>Poor</v>
      </c>
    </row>
    <row r="858" spans="1:14" x14ac:dyDescent="0.35">
      <c r="A858" s="2">
        <v>857</v>
      </c>
      <c r="B858" s="2" t="s">
        <v>899</v>
      </c>
      <c r="C858" s="2" t="s">
        <v>14</v>
      </c>
      <c r="D858" s="2" t="s">
        <v>2</v>
      </c>
      <c r="E858" s="2" t="s">
        <v>41</v>
      </c>
      <c r="F858" s="2">
        <v>2008</v>
      </c>
      <c r="G858" s="2">
        <v>80</v>
      </c>
      <c r="H858" s="3">
        <v>0.16</v>
      </c>
      <c r="I858" s="3">
        <v>0.08</v>
      </c>
      <c r="J858" s="3">
        <v>0.05</v>
      </c>
      <c r="K858" s="3">
        <v>0.02</v>
      </c>
      <c r="L858" s="3">
        <v>0.01</v>
      </c>
      <c r="M858" s="2" t="s">
        <v>24</v>
      </c>
      <c r="N858" s="3" t="str" cm="1">
        <f t="array" ref="N858">_xlfn.IFS(G858&gt;=90,"Excellent",G858&gt;=80,"Good",G858&gt;=70,"Average",G858&lt;70,"Poor")</f>
        <v>Good</v>
      </c>
    </row>
    <row r="859" spans="1:14" x14ac:dyDescent="0.35">
      <c r="A859" s="2">
        <v>858</v>
      </c>
      <c r="B859" s="2" t="s">
        <v>900</v>
      </c>
      <c r="C859" s="2" t="s">
        <v>31</v>
      </c>
      <c r="D859" s="2" t="s">
        <v>45</v>
      </c>
      <c r="E859" s="2" t="s">
        <v>54</v>
      </c>
      <c r="F859" s="2">
        <v>2005</v>
      </c>
      <c r="G859" s="2">
        <v>88</v>
      </c>
      <c r="H859" s="3">
        <v>0.33</v>
      </c>
      <c r="I859" s="3">
        <v>0.16</v>
      </c>
      <c r="J859" s="3">
        <v>7.0000000000000007E-2</v>
      </c>
      <c r="K859" s="3">
        <v>0.02</v>
      </c>
      <c r="L859" s="3">
        <v>0.08</v>
      </c>
      <c r="M859" s="2" t="s">
        <v>24</v>
      </c>
      <c r="N859" s="3" t="str" cm="1">
        <f t="array" ref="N859">_xlfn.IFS(G859&gt;=90,"Excellent",G859&gt;=80,"Good",G859&gt;=70,"Average",G859&lt;70,"Poor")</f>
        <v>Good</v>
      </c>
    </row>
    <row r="860" spans="1:14" x14ac:dyDescent="0.35">
      <c r="A860" s="2">
        <v>859</v>
      </c>
      <c r="B860" s="2" t="s">
        <v>901</v>
      </c>
      <c r="C860" s="2" t="s">
        <v>23</v>
      </c>
      <c r="D860" s="2" t="s">
        <v>45</v>
      </c>
      <c r="E860" s="2" t="s">
        <v>46</v>
      </c>
      <c r="F860" s="2">
        <v>2026</v>
      </c>
      <c r="G860" s="2">
        <v>75</v>
      </c>
      <c r="H860" s="3">
        <v>0.44</v>
      </c>
      <c r="I860" s="3">
        <v>0.19</v>
      </c>
      <c r="J860" s="3">
        <v>0.13</v>
      </c>
      <c r="K860" s="3">
        <v>0.06</v>
      </c>
      <c r="L860" s="3">
        <v>0.06</v>
      </c>
      <c r="M860" s="2" t="s">
        <v>24</v>
      </c>
      <c r="N860" s="3" t="str" cm="1">
        <f t="array" ref="N860">_xlfn.IFS(G860&gt;=90,"Excellent",G860&gt;=80,"Good",G860&gt;=70,"Average",G860&lt;70,"Poor")</f>
        <v>Average</v>
      </c>
    </row>
    <row r="861" spans="1:14" x14ac:dyDescent="0.35">
      <c r="A861" s="2">
        <v>860</v>
      </c>
      <c r="B861" s="2" t="s">
        <v>902</v>
      </c>
      <c r="C861" s="2" t="s">
        <v>59</v>
      </c>
      <c r="D861" s="2" t="s">
        <v>65</v>
      </c>
      <c r="E861" s="2" t="s">
        <v>49</v>
      </c>
      <c r="F861" s="2">
        <v>1999</v>
      </c>
      <c r="G861" s="2">
        <v>56</v>
      </c>
      <c r="H861" s="3">
        <v>0.62</v>
      </c>
      <c r="I861" s="3">
        <v>0.27</v>
      </c>
      <c r="J861" s="3">
        <v>0.18</v>
      </c>
      <c r="K861" s="3">
        <v>0.06</v>
      </c>
      <c r="L861" s="3">
        <v>0.11</v>
      </c>
      <c r="M861" s="2" t="s">
        <v>17</v>
      </c>
      <c r="N861" s="3" t="str" cm="1">
        <f t="array" ref="N861">_xlfn.IFS(G861&gt;=90,"Excellent",G861&gt;=80,"Good",G861&gt;=70,"Average",G861&lt;70,"Poor")</f>
        <v>Poor</v>
      </c>
    </row>
    <row r="862" spans="1:14" x14ac:dyDescent="0.35">
      <c r="A862" s="2">
        <v>861</v>
      </c>
      <c r="B862" s="2" t="s">
        <v>903</v>
      </c>
      <c r="C862" s="2" t="s">
        <v>31</v>
      </c>
      <c r="D862" s="2" t="s">
        <v>48</v>
      </c>
      <c r="E862" s="2" t="s">
        <v>46</v>
      </c>
      <c r="F862" s="2">
        <v>2005</v>
      </c>
      <c r="G862" s="2">
        <v>70</v>
      </c>
      <c r="H862" s="3">
        <v>4.0599999999999996</v>
      </c>
      <c r="I862" s="3">
        <v>1.73</v>
      </c>
      <c r="J862" s="3">
        <v>0.97</v>
      </c>
      <c r="K862" s="3">
        <v>0.23</v>
      </c>
      <c r="L862" s="3">
        <v>1.1299999999999999</v>
      </c>
      <c r="M862" s="2" t="s">
        <v>27</v>
      </c>
      <c r="N862" s="3" t="str" cm="1">
        <f t="array" ref="N862">_xlfn.IFS(G862&gt;=90,"Excellent",G862&gt;=80,"Good",G862&gt;=70,"Average",G862&lt;70,"Poor")</f>
        <v>Average</v>
      </c>
    </row>
    <row r="863" spans="1:14" x14ac:dyDescent="0.35">
      <c r="A863" s="2">
        <v>862</v>
      </c>
      <c r="B863" s="2" t="s">
        <v>904</v>
      </c>
      <c r="C863" s="2" t="s">
        <v>59</v>
      </c>
      <c r="D863" s="2" t="s">
        <v>15</v>
      </c>
      <c r="E863" s="2" t="s">
        <v>74</v>
      </c>
      <c r="F863" s="2">
        <v>1996</v>
      </c>
      <c r="G863" s="2">
        <v>84</v>
      </c>
      <c r="H863" s="3">
        <v>0.19</v>
      </c>
      <c r="I863" s="3">
        <v>7.0000000000000007E-2</v>
      </c>
      <c r="J863" s="3">
        <v>0.04</v>
      </c>
      <c r="K863" s="3">
        <v>0.03</v>
      </c>
      <c r="L863" s="3">
        <v>0.05</v>
      </c>
      <c r="M863" s="2" t="s">
        <v>24</v>
      </c>
      <c r="N863" s="3" t="str" cm="1">
        <f t="array" ref="N863">_xlfn.IFS(G863&gt;=90,"Excellent",G863&gt;=80,"Good",G863&gt;=70,"Average",G863&lt;70,"Poor")</f>
        <v>Good</v>
      </c>
    </row>
    <row r="864" spans="1:14" x14ac:dyDescent="0.35">
      <c r="A864" s="2">
        <v>863</v>
      </c>
      <c r="B864" s="2" t="s">
        <v>905</v>
      </c>
      <c r="C864" s="2" t="s">
        <v>64</v>
      </c>
      <c r="D864" s="2" t="s">
        <v>45</v>
      </c>
      <c r="E864" s="2" t="s">
        <v>49</v>
      </c>
      <c r="F864" s="2">
        <v>2014</v>
      </c>
      <c r="G864" s="2">
        <v>81</v>
      </c>
      <c r="H864" s="3">
        <v>0.22</v>
      </c>
      <c r="I864" s="3">
        <v>0.12</v>
      </c>
      <c r="J864" s="3">
        <v>7.0000000000000007E-2</v>
      </c>
      <c r="K864" s="3">
        <v>0.02</v>
      </c>
      <c r="L864" s="3">
        <v>0.01</v>
      </c>
      <c r="M864" s="2" t="s">
        <v>24</v>
      </c>
      <c r="N864" s="3" t="str" cm="1">
        <f t="array" ref="N864">_xlfn.IFS(G864&gt;=90,"Excellent",G864&gt;=80,"Good",G864&gt;=70,"Average",G864&lt;70,"Poor")</f>
        <v>Good</v>
      </c>
    </row>
    <row r="865" spans="1:14" x14ac:dyDescent="0.35">
      <c r="A865" s="2">
        <v>864</v>
      </c>
      <c r="B865" s="2" t="s">
        <v>906</v>
      </c>
      <c r="C865" s="2" t="s">
        <v>59</v>
      </c>
      <c r="D865" s="2" t="s">
        <v>2</v>
      </c>
      <c r="E865" s="2" t="s">
        <v>74</v>
      </c>
      <c r="F865" s="2">
        <v>1996</v>
      </c>
      <c r="G865" s="2">
        <v>76</v>
      </c>
      <c r="H865" s="3">
        <v>0.6</v>
      </c>
      <c r="I865" s="3">
        <v>0.23</v>
      </c>
      <c r="J865" s="3">
        <v>0.19</v>
      </c>
      <c r="K865" s="3">
        <v>0.11</v>
      </c>
      <c r="L865" s="3">
        <v>7.0000000000000007E-2</v>
      </c>
      <c r="M865" s="2" t="s">
        <v>17</v>
      </c>
      <c r="N865" s="3" t="str" cm="1">
        <f t="array" ref="N865">_xlfn.IFS(G865&gt;=90,"Excellent",G865&gt;=80,"Good",G865&gt;=70,"Average",G865&lt;70,"Poor")</f>
        <v>Average</v>
      </c>
    </row>
    <row r="866" spans="1:14" x14ac:dyDescent="0.35">
      <c r="A866" s="2">
        <v>865</v>
      </c>
      <c r="B866" s="2" t="s">
        <v>907</v>
      </c>
      <c r="C866" s="2" t="s">
        <v>31</v>
      </c>
      <c r="D866" s="2" t="s">
        <v>15</v>
      </c>
      <c r="E866" s="2" t="s">
        <v>60</v>
      </c>
      <c r="F866" s="2">
        <v>2004</v>
      </c>
      <c r="G866" s="2">
        <v>87</v>
      </c>
      <c r="H866" s="3">
        <v>1.1100000000000001</v>
      </c>
      <c r="I866" s="3">
        <v>0.47</v>
      </c>
      <c r="J866" s="3">
        <v>0.37</v>
      </c>
      <c r="K866" s="3">
        <v>0.06</v>
      </c>
      <c r="L866" s="3">
        <v>0.21</v>
      </c>
      <c r="M866" s="2" t="s">
        <v>17</v>
      </c>
      <c r="N866" s="3" t="str" cm="1">
        <f t="array" ref="N866">_xlfn.IFS(G866&gt;=90,"Excellent",G866&gt;=80,"Good",G866&gt;=70,"Average",G866&lt;70,"Poor")</f>
        <v>Good</v>
      </c>
    </row>
    <row r="867" spans="1:14" x14ac:dyDescent="0.35">
      <c r="A867" s="2">
        <v>866</v>
      </c>
      <c r="B867" s="2" t="s">
        <v>908</v>
      </c>
      <c r="C867" s="2" t="s">
        <v>31</v>
      </c>
      <c r="D867" s="2" t="s">
        <v>33</v>
      </c>
      <c r="E867" s="2" t="s">
        <v>54</v>
      </c>
      <c r="F867" s="2">
        <v>2001</v>
      </c>
      <c r="G867" s="2">
        <v>85</v>
      </c>
      <c r="H867" s="3">
        <v>0.4</v>
      </c>
      <c r="I867" s="3">
        <v>0.2</v>
      </c>
      <c r="J867" s="3">
        <v>0.12</v>
      </c>
      <c r="K867" s="3">
        <v>0.05</v>
      </c>
      <c r="L867" s="3">
        <v>0.03</v>
      </c>
      <c r="M867" s="2" t="s">
        <v>24</v>
      </c>
      <c r="N867" s="3" t="str" cm="1">
        <f t="array" ref="N867">_xlfn.IFS(G867&gt;=90,"Excellent",G867&gt;=80,"Good",G867&gt;=70,"Average",G867&lt;70,"Poor")</f>
        <v>Good</v>
      </c>
    </row>
    <row r="868" spans="1:14" x14ac:dyDescent="0.35">
      <c r="A868" s="2">
        <v>867</v>
      </c>
      <c r="B868" s="2" t="s">
        <v>909</v>
      </c>
      <c r="C868" s="2" t="s">
        <v>64</v>
      </c>
      <c r="D868" s="2" t="s">
        <v>45</v>
      </c>
      <c r="E868" s="2" t="s">
        <v>60</v>
      </c>
      <c r="F868" s="2">
        <v>2018</v>
      </c>
      <c r="G868" s="2">
        <v>71</v>
      </c>
      <c r="H868" s="3">
        <v>0.06</v>
      </c>
      <c r="I868" s="3">
        <v>0.03</v>
      </c>
      <c r="J868" s="3">
        <v>0.01</v>
      </c>
      <c r="K868" s="3">
        <v>0.01</v>
      </c>
      <c r="L868" s="3">
        <v>0.01</v>
      </c>
      <c r="M868" s="2" t="s">
        <v>24</v>
      </c>
      <c r="N868" s="3" t="str" cm="1">
        <f t="array" ref="N868">_xlfn.IFS(G868&gt;=90,"Excellent",G868&gt;=80,"Good",G868&gt;=70,"Average",G868&lt;70,"Poor")</f>
        <v>Average</v>
      </c>
    </row>
    <row r="869" spans="1:14" x14ac:dyDescent="0.35">
      <c r="A869" s="2">
        <v>868</v>
      </c>
      <c r="B869" s="2" t="s">
        <v>910</v>
      </c>
      <c r="C869" s="2" t="s">
        <v>23</v>
      </c>
      <c r="D869" s="2" t="s">
        <v>2</v>
      </c>
      <c r="E869" s="2" t="s">
        <v>46</v>
      </c>
      <c r="F869" s="2">
        <v>2026</v>
      </c>
      <c r="G869" s="2">
        <v>86</v>
      </c>
      <c r="H869" s="3">
        <v>0.61</v>
      </c>
      <c r="I869" s="3">
        <v>0.28999999999999998</v>
      </c>
      <c r="J869" s="3">
        <v>0.15</v>
      </c>
      <c r="K869" s="3">
        <v>0.06</v>
      </c>
      <c r="L869" s="3">
        <v>0.11</v>
      </c>
      <c r="M869" s="2" t="s">
        <v>17</v>
      </c>
      <c r="N869" s="3" t="str" cm="1">
        <f t="array" ref="N869">_xlfn.IFS(G869&gt;=90,"Excellent",G869&gt;=80,"Good",G869&gt;=70,"Average",G869&lt;70,"Poor")</f>
        <v>Good</v>
      </c>
    </row>
    <row r="870" spans="1:14" x14ac:dyDescent="0.35">
      <c r="A870" s="2">
        <v>869</v>
      </c>
      <c r="B870" s="2" t="s">
        <v>911</v>
      </c>
      <c r="C870" s="2" t="s">
        <v>59</v>
      </c>
      <c r="D870" s="2" t="s">
        <v>45</v>
      </c>
      <c r="E870" s="2" t="s">
        <v>41</v>
      </c>
      <c r="F870" s="2">
        <v>1999</v>
      </c>
      <c r="G870" s="2">
        <v>77</v>
      </c>
      <c r="H870" s="3">
        <v>0.24</v>
      </c>
      <c r="I870" s="3">
        <v>0.09</v>
      </c>
      <c r="J870" s="3">
        <v>0.05</v>
      </c>
      <c r="K870" s="3">
        <v>0.01</v>
      </c>
      <c r="L870" s="3">
        <v>0.09</v>
      </c>
      <c r="M870" s="2" t="s">
        <v>24</v>
      </c>
      <c r="N870" s="3" t="str" cm="1">
        <f t="array" ref="N870">_xlfn.IFS(G870&gt;=90,"Excellent",G870&gt;=80,"Good",G870&gt;=70,"Average",G870&lt;70,"Poor")</f>
        <v>Average</v>
      </c>
    </row>
    <row r="871" spans="1:14" x14ac:dyDescent="0.35">
      <c r="A871" s="2">
        <v>870</v>
      </c>
      <c r="B871" s="2" t="s">
        <v>912</v>
      </c>
      <c r="C871" s="2" t="s">
        <v>23</v>
      </c>
      <c r="D871" s="2" t="s">
        <v>2</v>
      </c>
      <c r="E871" s="2" t="s">
        <v>41</v>
      </c>
      <c r="F871" s="2">
        <v>2022</v>
      </c>
      <c r="G871" s="2">
        <v>96</v>
      </c>
      <c r="H871" s="3">
        <v>3.24</v>
      </c>
      <c r="I871" s="3">
        <v>1.39</v>
      </c>
      <c r="J871" s="3">
        <v>0.7</v>
      </c>
      <c r="K871" s="3">
        <v>0.56000000000000005</v>
      </c>
      <c r="L871" s="3">
        <v>0.59</v>
      </c>
      <c r="M871" s="2" t="s">
        <v>27</v>
      </c>
      <c r="N871" s="3" t="str" cm="1">
        <f t="array" ref="N871">_xlfn.IFS(G871&gt;=90,"Excellent",G871&gt;=80,"Good",G871&gt;=70,"Average",G871&lt;70,"Poor")</f>
        <v>Excellent</v>
      </c>
    </row>
    <row r="872" spans="1:14" x14ac:dyDescent="0.35">
      <c r="A872" s="2">
        <v>871</v>
      </c>
      <c r="B872" s="2" t="s">
        <v>913</v>
      </c>
      <c r="C872" s="2" t="s">
        <v>19</v>
      </c>
      <c r="D872" s="2" t="s">
        <v>29</v>
      </c>
      <c r="E872" s="2" t="s">
        <v>52</v>
      </c>
      <c r="F872" s="2">
        <v>2015</v>
      </c>
      <c r="G872" s="2">
        <v>97</v>
      </c>
      <c r="H872" s="3">
        <v>0.64</v>
      </c>
      <c r="I872" s="3">
        <v>0.26</v>
      </c>
      <c r="J872" s="3">
        <v>0.13</v>
      </c>
      <c r="K872" s="3">
        <v>0.1</v>
      </c>
      <c r="L872" s="3">
        <v>0.15</v>
      </c>
      <c r="M872" s="2" t="s">
        <v>17</v>
      </c>
      <c r="N872" s="3" t="str" cm="1">
        <f t="array" ref="N872">_xlfn.IFS(G872&gt;=90,"Excellent",G872&gt;=80,"Good",G872&gt;=70,"Average",G872&lt;70,"Poor")</f>
        <v>Excellent</v>
      </c>
    </row>
    <row r="873" spans="1:14" x14ac:dyDescent="0.35">
      <c r="A873" s="2">
        <v>872</v>
      </c>
      <c r="B873" s="2" t="s">
        <v>914</v>
      </c>
      <c r="C873" s="2" t="s">
        <v>57</v>
      </c>
      <c r="D873" s="2" t="s">
        <v>48</v>
      </c>
      <c r="E873" s="2" t="s">
        <v>16</v>
      </c>
      <c r="F873" s="2">
        <v>2009</v>
      </c>
      <c r="G873" s="2">
        <v>69</v>
      </c>
      <c r="H873" s="3">
        <v>0.56000000000000005</v>
      </c>
      <c r="I873" s="3">
        <v>0.26</v>
      </c>
      <c r="J873" s="3">
        <v>0.16</v>
      </c>
      <c r="K873" s="3">
        <v>0.04</v>
      </c>
      <c r="L873" s="3">
        <v>0.1</v>
      </c>
      <c r="M873" s="2" t="s">
        <v>17</v>
      </c>
      <c r="N873" s="3" t="str" cm="1">
        <f t="array" ref="N873">_xlfn.IFS(G873&gt;=90,"Excellent",G873&gt;=80,"Good",G873&gt;=70,"Average",G873&lt;70,"Poor")</f>
        <v>Poor</v>
      </c>
    </row>
    <row r="874" spans="1:14" x14ac:dyDescent="0.35">
      <c r="A874" s="2">
        <v>873</v>
      </c>
      <c r="B874" s="2" t="s">
        <v>915</v>
      </c>
      <c r="C874" s="2" t="s">
        <v>14</v>
      </c>
      <c r="D874" s="2" t="s">
        <v>2</v>
      </c>
      <c r="E874" s="2" t="s">
        <v>41</v>
      </c>
      <c r="F874" s="2">
        <v>2007</v>
      </c>
      <c r="G874" s="2">
        <v>75</v>
      </c>
      <c r="H874" s="3">
        <v>0.57999999999999996</v>
      </c>
      <c r="I874" s="3">
        <v>0.23</v>
      </c>
      <c r="J874" s="3">
        <v>0.13</v>
      </c>
      <c r="K874" s="3">
        <v>7.0000000000000007E-2</v>
      </c>
      <c r="L874" s="3">
        <v>0.15</v>
      </c>
      <c r="M874" s="2" t="s">
        <v>17</v>
      </c>
      <c r="N874" s="3" t="str" cm="1">
        <f t="array" ref="N874">_xlfn.IFS(G874&gt;=90,"Excellent",G874&gt;=80,"Good",G874&gt;=70,"Average",G874&lt;70,"Poor")</f>
        <v>Average</v>
      </c>
    </row>
    <row r="875" spans="1:14" x14ac:dyDescent="0.35">
      <c r="A875" s="2">
        <v>874</v>
      </c>
      <c r="B875" s="2" t="s">
        <v>916</v>
      </c>
      <c r="C875" s="2" t="s">
        <v>23</v>
      </c>
      <c r="D875" s="2" t="s">
        <v>2</v>
      </c>
      <c r="E875" s="2" t="s">
        <v>41</v>
      </c>
      <c r="F875" s="2">
        <v>2022</v>
      </c>
      <c r="G875" s="2">
        <v>56</v>
      </c>
      <c r="H875" s="3">
        <v>0.3</v>
      </c>
      <c r="I875" s="3">
        <v>0.15</v>
      </c>
      <c r="J875" s="3">
        <v>0.1</v>
      </c>
      <c r="K875" s="3">
        <v>0.05</v>
      </c>
      <c r="L875" s="3">
        <v>0</v>
      </c>
      <c r="M875" s="2" t="s">
        <v>24</v>
      </c>
      <c r="N875" s="3" t="str" cm="1">
        <f t="array" ref="N875">_xlfn.IFS(G875&gt;=90,"Excellent",G875&gt;=80,"Good",G875&gt;=70,"Average",G875&lt;70,"Poor")</f>
        <v>Poor</v>
      </c>
    </row>
    <row r="876" spans="1:14" x14ac:dyDescent="0.35">
      <c r="A876" s="2">
        <v>875</v>
      </c>
      <c r="B876" s="2" t="s">
        <v>917</v>
      </c>
      <c r="C876" s="2" t="s">
        <v>14</v>
      </c>
      <c r="D876" s="2" t="s">
        <v>45</v>
      </c>
      <c r="E876" s="2" t="s">
        <v>20</v>
      </c>
      <c r="F876" s="2">
        <v>2008</v>
      </c>
      <c r="G876" s="2">
        <v>57</v>
      </c>
      <c r="H876" s="3">
        <v>0.45</v>
      </c>
      <c r="I876" s="3">
        <v>0.19</v>
      </c>
      <c r="J876" s="3">
        <v>0.11</v>
      </c>
      <c r="K876" s="3">
        <v>0.04</v>
      </c>
      <c r="L876" s="3">
        <v>0.11</v>
      </c>
      <c r="M876" s="2" t="s">
        <v>24</v>
      </c>
      <c r="N876" s="3" t="str" cm="1">
        <f t="array" ref="N876">_xlfn.IFS(G876&gt;=90,"Excellent",G876&gt;=80,"Good",G876&gt;=70,"Average",G876&lt;70,"Poor")</f>
        <v>Poor</v>
      </c>
    </row>
    <row r="877" spans="1:14" x14ac:dyDescent="0.35">
      <c r="A877" s="2">
        <v>876</v>
      </c>
      <c r="B877" s="2" t="s">
        <v>918</v>
      </c>
      <c r="C877" s="2" t="s">
        <v>14</v>
      </c>
      <c r="D877" s="2" t="s">
        <v>33</v>
      </c>
      <c r="E877" s="2" t="s">
        <v>60</v>
      </c>
      <c r="F877" s="2">
        <v>2012</v>
      </c>
      <c r="G877" s="2">
        <v>94</v>
      </c>
      <c r="H877" s="3">
        <v>0.22</v>
      </c>
      <c r="I877" s="3">
        <v>0.12</v>
      </c>
      <c r="J877" s="3">
        <v>0.06</v>
      </c>
      <c r="K877" s="3">
        <v>0.03</v>
      </c>
      <c r="L877" s="3">
        <v>0.01</v>
      </c>
      <c r="M877" s="2" t="s">
        <v>24</v>
      </c>
      <c r="N877" s="3" t="str" cm="1">
        <f t="array" ref="N877">_xlfn.IFS(G877&gt;=90,"Excellent",G877&gt;=80,"Good",G877&gt;=70,"Average",G877&lt;70,"Poor")</f>
        <v>Excellent</v>
      </c>
    </row>
    <row r="878" spans="1:14" x14ac:dyDescent="0.35">
      <c r="A878" s="2">
        <v>877</v>
      </c>
      <c r="B878" s="2" t="s">
        <v>919</v>
      </c>
      <c r="C878" s="2" t="s">
        <v>59</v>
      </c>
      <c r="D878" s="2" t="s">
        <v>2</v>
      </c>
      <c r="E878" s="2" t="s">
        <v>49</v>
      </c>
      <c r="F878" s="2">
        <v>1997</v>
      </c>
      <c r="G878" s="2">
        <v>58</v>
      </c>
      <c r="H878" s="3">
        <v>0.76</v>
      </c>
      <c r="I878" s="3">
        <v>0.4</v>
      </c>
      <c r="J878" s="3">
        <v>0.24</v>
      </c>
      <c r="K878" s="3">
        <v>0.12</v>
      </c>
      <c r="L878" s="3">
        <v>0</v>
      </c>
      <c r="M878" s="2" t="s">
        <v>17</v>
      </c>
      <c r="N878" s="3" t="str" cm="1">
        <f t="array" ref="N878">_xlfn.IFS(G878&gt;=90,"Excellent",G878&gt;=80,"Good",G878&gt;=70,"Average",G878&lt;70,"Poor")</f>
        <v>Poor</v>
      </c>
    </row>
    <row r="879" spans="1:14" x14ac:dyDescent="0.35">
      <c r="A879" s="2">
        <v>878</v>
      </c>
      <c r="B879" s="2" t="s">
        <v>920</v>
      </c>
      <c r="C879" s="2" t="s">
        <v>31</v>
      </c>
      <c r="D879" s="2" t="s">
        <v>33</v>
      </c>
      <c r="E879" s="2" t="s">
        <v>52</v>
      </c>
      <c r="F879" s="2">
        <v>2001</v>
      </c>
      <c r="G879" s="2">
        <v>55</v>
      </c>
      <c r="H879" s="3">
        <v>0.12</v>
      </c>
      <c r="I879" s="3">
        <v>0.04</v>
      </c>
      <c r="J879" s="3">
        <v>0.04</v>
      </c>
      <c r="K879" s="3">
        <v>0.01</v>
      </c>
      <c r="L879" s="3">
        <v>0.03</v>
      </c>
      <c r="M879" s="2" t="s">
        <v>24</v>
      </c>
      <c r="N879" s="3" t="str" cm="1">
        <f t="array" ref="N879">_xlfn.IFS(G879&gt;=90,"Excellent",G879&gt;=80,"Good",G879&gt;=70,"Average",G879&lt;70,"Poor")</f>
        <v>Poor</v>
      </c>
    </row>
    <row r="880" spans="1:14" x14ac:dyDescent="0.35">
      <c r="A880" s="2">
        <v>879</v>
      </c>
      <c r="B880" s="2" t="s">
        <v>921</v>
      </c>
      <c r="C880" s="2" t="s">
        <v>14</v>
      </c>
      <c r="D880" s="2" t="s">
        <v>51</v>
      </c>
      <c r="E880" s="2" t="s">
        <v>54</v>
      </c>
      <c r="F880" s="2">
        <v>2012</v>
      </c>
      <c r="G880" s="2">
        <v>84</v>
      </c>
      <c r="H880" s="3">
        <v>0.25</v>
      </c>
      <c r="I880" s="3">
        <v>0.09</v>
      </c>
      <c r="J880" s="3">
        <v>7.0000000000000007E-2</v>
      </c>
      <c r="K880" s="3">
        <v>0.04</v>
      </c>
      <c r="L880" s="3">
        <v>0.05</v>
      </c>
      <c r="M880" s="2" t="s">
        <v>24</v>
      </c>
      <c r="N880" s="3" t="str" cm="1">
        <f t="array" ref="N880">_xlfn.IFS(G880&gt;=90,"Excellent",G880&gt;=80,"Good",G880&gt;=70,"Average",G880&lt;70,"Poor")</f>
        <v>Good</v>
      </c>
    </row>
    <row r="881" spans="1:14" x14ac:dyDescent="0.35">
      <c r="A881" s="2">
        <v>880</v>
      </c>
      <c r="B881" s="2" t="s">
        <v>922</v>
      </c>
      <c r="C881" s="2" t="s">
        <v>19</v>
      </c>
      <c r="D881" s="2" t="s">
        <v>33</v>
      </c>
      <c r="E881" s="2" t="s">
        <v>60</v>
      </c>
      <c r="F881" s="2">
        <v>2020</v>
      </c>
      <c r="G881" s="2">
        <v>91</v>
      </c>
      <c r="H881" s="3">
        <v>0.76</v>
      </c>
      <c r="I881" s="3">
        <v>0.31</v>
      </c>
      <c r="J881" s="3">
        <v>0.24</v>
      </c>
      <c r="K881" s="3">
        <v>0.09</v>
      </c>
      <c r="L881" s="3">
        <v>0.12</v>
      </c>
      <c r="M881" s="2" t="s">
        <v>17</v>
      </c>
      <c r="N881" s="3" t="str" cm="1">
        <f t="array" ref="N881">_xlfn.IFS(G881&gt;=90,"Excellent",G881&gt;=80,"Good",G881&gt;=70,"Average",G881&lt;70,"Poor")</f>
        <v>Excellent</v>
      </c>
    </row>
    <row r="882" spans="1:14" x14ac:dyDescent="0.35">
      <c r="A882" s="2">
        <v>881</v>
      </c>
      <c r="B882" s="2" t="s">
        <v>923</v>
      </c>
      <c r="C882" s="2" t="s">
        <v>59</v>
      </c>
      <c r="D882" s="2" t="s">
        <v>51</v>
      </c>
      <c r="E882" s="2" t="s">
        <v>49</v>
      </c>
      <c r="F882" s="2">
        <v>1997</v>
      </c>
      <c r="G882" s="2">
        <v>70</v>
      </c>
      <c r="H882" s="3">
        <v>1.03</v>
      </c>
      <c r="I882" s="3">
        <v>0.4</v>
      </c>
      <c r="J882" s="3">
        <v>0.22</v>
      </c>
      <c r="K882" s="3">
        <v>0.2</v>
      </c>
      <c r="L882" s="3">
        <v>0.21</v>
      </c>
      <c r="M882" s="2" t="s">
        <v>17</v>
      </c>
      <c r="N882" s="3" t="str" cm="1">
        <f t="array" ref="N882">_xlfn.IFS(G882&gt;=90,"Excellent",G882&gt;=80,"Good",G882&gt;=70,"Average",G882&lt;70,"Poor")</f>
        <v>Average</v>
      </c>
    </row>
    <row r="883" spans="1:14" x14ac:dyDescent="0.35">
      <c r="A883" s="2">
        <v>882</v>
      </c>
      <c r="B883" s="2" t="s">
        <v>924</v>
      </c>
      <c r="C883" s="2" t="s">
        <v>59</v>
      </c>
      <c r="D883" s="2" t="s">
        <v>15</v>
      </c>
      <c r="E883" s="2" t="s">
        <v>52</v>
      </c>
      <c r="F883" s="2">
        <v>1996</v>
      </c>
      <c r="G883" s="2">
        <v>67</v>
      </c>
      <c r="H883" s="3">
        <v>0.39</v>
      </c>
      <c r="I883" s="3">
        <v>0.2</v>
      </c>
      <c r="J883" s="3">
        <v>0.12</v>
      </c>
      <c r="K883" s="3">
        <v>0.05</v>
      </c>
      <c r="L883" s="3">
        <v>0.02</v>
      </c>
      <c r="M883" s="2" t="s">
        <v>24</v>
      </c>
      <c r="N883" s="3" t="str" cm="1">
        <f t="array" ref="N883">_xlfn.IFS(G883&gt;=90,"Excellent",G883&gt;=80,"Good",G883&gt;=70,"Average",G883&lt;70,"Poor")</f>
        <v>Poor</v>
      </c>
    </row>
    <row r="884" spans="1:14" x14ac:dyDescent="0.35">
      <c r="A884" s="2">
        <v>883</v>
      </c>
      <c r="B884" s="2" t="s">
        <v>925</v>
      </c>
      <c r="C884" s="2" t="s">
        <v>14</v>
      </c>
      <c r="D884" s="2" t="s">
        <v>62</v>
      </c>
      <c r="E884" s="2" t="s">
        <v>54</v>
      </c>
      <c r="F884" s="2">
        <v>2010</v>
      </c>
      <c r="G884" s="2">
        <v>63</v>
      </c>
      <c r="H884" s="3">
        <v>0.3</v>
      </c>
      <c r="I884" s="3">
        <v>0.16</v>
      </c>
      <c r="J884" s="3">
        <v>0.1</v>
      </c>
      <c r="K884" s="3">
        <v>0.04</v>
      </c>
      <c r="L884" s="3">
        <v>0</v>
      </c>
      <c r="M884" s="2" t="s">
        <v>24</v>
      </c>
      <c r="N884" s="3" t="str" cm="1">
        <f t="array" ref="N884">_xlfn.IFS(G884&gt;=90,"Excellent",G884&gt;=80,"Good",G884&gt;=70,"Average",G884&lt;70,"Poor")</f>
        <v>Poor</v>
      </c>
    </row>
    <row r="885" spans="1:14" x14ac:dyDescent="0.35">
      <c r="A885" s="2">
        <v>884</v>
      </c>
      <c r="B885" s="2" t="s">
        <v>926</v>
      </c>
      <c r="C885" s="2" t="s">
        <v>64</v>
      </c>
      <c r="D885" s="2" t="s">
        <v>48</v>
      </c>
      <c r="E885" s="2" t="s">
        <v>49</v>
      </c>
      <c r="F885" s="2">
        <v>2017</v>
      </c>
      <c r="G885" s="2">
        <v>65</v>
      </c>
      <c r="H885" s="3">
        <v>0.34</v>
      </c>
      <c r="I885" s="3">
        <v>0.15</v>
      </c>
      <c r="J885" s="3">
        <v>7.0000000000000007E-2</v>
      </c>
      <c r="K885" s="3">
        <v>0.02</v>
      </c>
      <c r="L885" s="3">
        <v>0.1</v>
      </c>
      <c r="M885" s="2" t="s">
        <v>24</v>
      </c>
      <c r="N885" s="3" t="str" cm="1">
        <f t="array" ref="N885">_xlfn.IFS(G885&gt;=90,"Excellent",G885&gt;=80,"Good",G885&gt;=70,"Average",G885&lt;70,"Poor")</f>
        <v>Poor</v>
      </c>
    </row>
    <row r="886" spans="1:14" x14ac:dyDescent="0.35">
      <c r="A886" s="2">
        <v>885</v>
      </c>
      <c r="B886" s="2" t="s">
        <v>927</v>
      </c>
      <c r="C886" s="2" t="s">
        <v>59</v>
      </c>
      <c r="D886" s="2" t="s">
        <v>37</v>
      </c>
      <c r="E886" s="2" t="s">
        <v>46</v>
      </c>
      <c r="F886" s="2">
        <v>1998</v>
      </c>
      <c r="G886" s="2">
        <v>97</v>
      </c>
      <c r="H886" s="3">
        <v>0.44</v>
      </c>
      <c r="I886" s="3">
        <v>0.16</v>
      </c>
      <c r="J886" s="3">
        <v>0.12</v>
      </c>
      <c r="K886" s="3">
        <v>0.05</v>
      </c>
      <c r="L886" s="3">
        <v>0.11</v>
      </c>
      <c r="M886" s="2" t="s">
        <v>24</v>
      </c>
      <c r="N886" s="3" t="str" cm="1">
        <f t="array" ref="N886">_xlfn.IFS(G886&gt;=90,"Excellent",G886&gt;=80,"Good",G886&gt;=70,"Average",G886&lt;70,"Poor")</f>
        <v>Excellent</v>
      </c>
    </row>
    <row r="887" spans="1:14" x14ac:dyDescent="0.35">
      <c r="A887" s="2">
        <v>886</v>
      </c>
      <c r="B887" s="2" t="s">
        <v>928</v>
      </c>
      <c r="C887" s="2" t="s">
        <v>31</v>
      </c>
      <c r="D887" s="2" t="s">
        <v>45</v>
      </c>
      <c r="E887" s="2" t="s">
        <v>60</v>
      </c>
      <c r="F887" s="2">
        <v>2001</v>
      </c>
      <c r="G887" s="2">
        <v>76</v>
      </c>
      <c r="H887" s="3">
        <v>0.26</v>
      </c>
      <c r="I887" s="3">
        <v>0.1</v>
      </c>
      <c r="J887" s="3">
        <v>0.08</v>
      </c>
      <c r="K887" s="3">
        <v>0.04</v>
      </c>
      <c r="L887" s="3">
        <v>0.04</v>
      </c>
      <c r="M887" s="2" t="s">
        <v>24</v>
      </c>
      <c r="N887" s="3" t="str" cm="1">
        <f t="array" ref="N887">_xlfn.IFS(G887&gt;=90,"Excellent",G887&gt;=80,"Good",G887&gt;=70,"Average",G887&lt;70,"Poor")</f>
        <v>Average</v>
      </c>
    </row>
    <row r="888" spans="1:14" x14ac:dyDescent="0.35">
      <c r="A888" s="2">
        <v>887</v>
      </c>
      <c r="B888" s="2" t="s">
        <v>929</v>
      </c>
      <c r="C888" s="2" t="s">
        <v>19</v>
      </c>
      <c r="D888" s="2" t="s">
        <v>51</v>
      </c>
      <c r="E888" s="2" t="s">
        <v>52</v>
      </c>
      <c r="F888" s="2">
        <v>2016</v>
      </c>
      <c r="G888" s="2">
        <v>93</v>
      </c>
      <c r="H888" s="3">
        <v>0.34</v>
      </c>
      <c r="I888" s="3">
        <v>0.15</v>
      </c>
      <c r="J888" s="3">
        <v>7.0000000000000007E-2</v>
      </c>
      <c r="K888" s="3">
        <v>0.02</v>
      </c>
      <c r="L888" s="3">
        <v>0.1</v>
      </c>
      <c r="M888" s="2" t="s">
        <v>24</v>
      </c>
      <c r="N888" s="3" t="str" cm="1">
        <f t="array" ref="N888">_xlfn.IFS(G888&gt;=90,"Excellent",G888&gt;=80,"Good",G888&gt;=70,"Average",G888&lt;70,"Poor")</f>
        <v>Excellent</v>
      </c>
    </row>
    <row r="889" spans="1:14" x14ac:dyDescent="0.35">
      <c r="A889" s="2">
        <v>888</v>
      </c>
      <c r="B889" s="2" t="s">
        <v>930</v>
      </c>
      <c r="C889" s="2" t="s">
        <v>31</v>
      </c>
      <c r="D889" s="2" t="s">
        <v>48</v>
      </c>
      <c r="E889" s="2" t="s">
        <v>49</v>
      </c>
      <c r="F889" s="2">
        <v>2000</v>
      </c>
      <c r="G889" s="2">
        <v>91</v>
      </c>
      <c r="H889" s="3">
        <v>0.45</v>
      </c>
      <c r="I889" s="3">
        <v>0.17</v>
      </c>
      <c r="J889" s="3">
        <v>0.11</v>
      </c>
      <c r="K889" s="3">
        <v>0.06</v>
      </c>
      <c r="L889" s="3">
        <v>0.11</v>
      </c>
      <c r="M889" s="2" t="s">
        <v>24</v>
      </c>
      <c r="N889" s="3" t="str" cm="1">
        <f t="array" ref="N889">_xlfn.IFS(G889&gt;=90,"Excellent",G889&gt;=80,"Good",G889&gt;=70,"Average",G889&lt;70,"Poor")</f>
        <v>Excellent</v>
      </c>
    </row>
    <row r="890" spans="1:14" x14ac:dyDescent="0.35">
      <c r="A890" s="2">
        <v>889</v>
      </c>
      <c r="B890" s="2" t="s">
        <v>931</v>
      </c>
      <c r="C890" s="2" t="s">
        <v>57</v>
      </c>
      <c r="D890" s="2" t="s">
        <v>45</v>
      </c>
      <c r="E890" s="2" t="s">
        <v>41</v>
      </c>
      <c r="F890" s="2">
        <v>2010</v>
      </c>
      <c r="G890" s="2">
        <v>72</v>
      </c>
      <c r="H890" s="3">
        <v>0.47</v>
      </c>
      <c r="I890" s="3">
        <v>0.18</v>
      </c>
      <c r="J890" s="3">
        <v>0.14000000000000001</v>
      </c>
      <c r="K890" s="3">
        <v>7.0000000000000007E-2</v>
      </c>
      <c r="L890" s="3">
        <v>0.08</v>
      </c>
      <c r="M890" s="2" t="s">
        <v>24</v>
      </c>
      <c r="N890" s="3" t="str" cm="1">
        <f t="array" ref="N890">_xlfn.IFS(G890&gt;=90,"Excellent",G890&gt;=80,"Good",G890&gt;=70,"Average",G890&lt;70,"Poor")</f>
        <v>Average</v>
      </c>
    </row>
    <row r="891" spans="1:14" x14ac:dyDescent="0.35">
      <c r="A891" s="2">
        <v>890</v>
      </c>
      <c r="B891" s="2" t="s">
        <v>932</v>
      </c>
      <c r="C891" s="2" t="s">
        <v>14</v>
      </c>
      <c r="D891" s="2" t="s">
        <v>33</v>
      </c>
      <c r="E891" s="2" t="s">
        <v>54</v>
      </c>
      <c r="F891" s="2">
        <v>2006</v>
      </c>
      <c r="G891" s="2">
        <v>85</v>
      </c>
      <c r="H891" s="3">
        <v>0.84</v>
      </c>
      <c r="I891" s="3">
        <v>0.41</v>
      </c>
      <c r="J891" s="3">
        <v>0.19</v>
      </c>
      <c r="K891" s="3">
        <v>0.08</v>
      </c>
      <c r="L891" s="3">
        <v>0.16</v>
      </c>
      <c r="M891" s="2" t="s">
        <v>17</v>
      </c>
      <c r="N891" s="3" t="str" cm="1">
        <f t="array" ref="N891">_xlfn.IFS(G891&gt;=90,"Excellent",G891&gt;=80,"Good",G891&gt;=70,"Average",G891&lt;70,"Poor")</f>
        <v>Good</v>
      </c>
    </row>
    <row r="892" spans="1:14" x14ac:dyDescent="0.35">
      <c r="A892" s="2">
        <v>891</v>
      </c>
      <c r="B892" s="2" t="s">
        <v>933</v>
      </c>
      <c r="C892" s="2" t="s">
        <v>19</v>
      </c>
      <c r="D892" s="2" t="s">
        <v>15</v>
      </c>
      <c r="E892" s="2" t="s">
        <v>16</v>
      </c>
      <c r="F892" s="2">
        <v>2015</v>
      </c>
      <c r="G892" s="2">
        <v>56</v>
      </c>
      <c r="H892" s="3">
        <v>0.41</v>
      </c>
      <c r="I892" s="3">
        <v>0.15</v>
      </c>
      <c r="J892" s="3">
        <v>0.12</v>
      </c>
      <c r="K892" s="3">
        <v>7.0000000000000007E-2</v>
      </c>
      <c r="L892" s="3">
        <v>7.0000000000000007E-2</v>
      </c>
      <c r="M892" s="2" t="s">
        <v>24</v>
      </c>
      <c r="N892" s="3" t="str" cm="1">
        <f t="array" ref="N892">_xlfn.IFS(G892&gt;=90,"Excellent",G892&gt;=80,"Good",G892&gt;=70,"Average",G892&lt;70,"Poor")</f>
        <v>Poor</v>
      </c>
    </row>
    <row r="893" spans="1:14" x14ac:dyDescent="0.35">
      <c r="A893" s="2">
        <v>892</v>
      </c>
      <c r="B893" s="2" t="s">
        <v>934</v>
      </c>
      <c r="C893" s="2" t="s">
        <v>23</v>
      </c>
      <c r="D893" s="2" t="s">
        <v>62</v>
      </c>
      <c r="E893" s="2" t="s">
        <v>74</v>
      </c>
      <c r="F893" s="2">
        <v>2022</v>
      </c>
      <c r="G893" s="2">
        <v>70</v>
      </c>
      <c r="H893" s="3">
        <v>0.7</v>
      </c>
      <c r="I893" s="3">
        <v>0.25</v>
      </c>
      <c r="J893" s="3">
        <v>0.21</v>
      </c>
      <c r="K893" s="3">
        <v>7.0000000000000007E-2</v>
      </c>
      <c r="L893" s="3">
        <v>0.17</v>
      </c>
      <c r="M893" s="2" t="s">
        <v>17</v>
      </c>
      <c r="N893" s="3" t="str" cm="1">
        <f t="array" ref="N893">_xlfn.IFS(G893&gt;=90,"Excellent",G893&gt;=80,"Good",G893&gt;=70,"Average",G893&lt;70,"Poor")</f>
        <v>Average</v>
      </c>
    </row>
    <row r="894" spans="1:14" x14ac:dyDescent="0.35">
      <c r="A894" s="2">
        <v>893</v>
      </c>
      <c r="B894" s="2" t="s">
        <v>935</v>
      </c>
      <c r="C894" s="2" t="s">
        <v>31</v>
      </c>
      <c r="D894" s="2" t="s">
        <v>65</v>
      </c>
      <c r="E894" s="2" t="s">
        <v>54</v>
      </c>
      <c r="F894" s="2">
        <v>2004</v>
      </c>
      <c r="G894" s="2">
        <v>61</v>
      </c>
      <c r="H894" s="3">
        <v>0.21</v>
      </c>
      <c r="I894" s="3">
        <v>0.09</v>
      </c>
      <c r="J894" s="3">
        <v>7.0000000000000007E-2</v>
      </c>
      <c r="K894" s="3">
        <v>0.04</v>
      </c>
      <c r="L894" s="3">
        <v>0.01</v>
      </c>
      <c r="M894" s="2" t="s">
        <v>24</v>
      </c>
      <c r="N894" s="3" t="str" cm="1">
        <f t="array" ref="N894">_xlfn.IFS(G894&gt;=90,"Excellent",G894&gt;=80,"Good",G894&gt;=70,"Average",G894&lt;70,"Poor")</f>
        <v>Poor</v>
      </c>
    </row>
    <row r="895" spans="1:14" x14ac:dyDescent="0.35">
      <c r="A895" s="2">
        <v>894</v>
      </c>
      <c r="B895" s="2" t="s">
        <v>936</v>
      </c>
      <c r="C895" s="2" t="s">
        <v>14</v>
      </c>
      <c r="D895" s="2" t="s">
        <v>51</v>
      </c>
      <c r="E895" s="2" t="s">
        <v>43</v>
      </c>
      <c r="F895" s="2">
        <v>2013</v>
      </c>
      <c r="G895" s="2">
        <v>77</v>
      </c>
      <c r="H895" s="3">
        <v>0.37</v>
      </c>
      <c r="I895" s="3">
        <v>0.17</v>
      </c>
      <c r="J895" s="3">
        <v>0.11</v>
      </c>
      <c r="K895" s="3">
        <v>7.0000000000000007E-2</v>
      </c>
      <c r="L895" s="3">
        <v>0.02</v>
      </c>
      <c r="M895" s="2" t="s">
        <v>24</v>
      </c>
      <c r="N895" s="3" t="str" cm="1">
        <f t="array" ref="N895">_xlfn.IFS(G895&gt;=90,"Excellent",G895&gt;=80,"Good",G895&gt;=70,"Average",G895&lt;70,"Poor")</f>
        <v>Average</v>
      </c>
    </row>
    <row r="896" spans="1:14" x14ac:dyDescent="0.35">
      <c r="A896" s="2">
        <v>895</v>
      </c>
      <c r="B896" s="2" t="s">
        <v>937</v>
      </c>
      <c r="C896" s="2" t="s">
        <v>64</v>
      </c>
      <c r="D896" s="2" t="s">
        <v>33</v>
      </c>
      <c r="E896" s="2" t="s">
        <v>46</v>
      </c>
      <c r="F896" s="2">
        <v>2018</v>
      </c>
      <c r="G896" s="2">
        <v>64</v>
      </c>
      <c r="H896" s="3">
        <v>0.39</v>
      </c>
      <c r="I896" s="3">
        <v>0.18</v>
      </c>
      <c r="J896" s="3">
        <v>0.09</v>
      </c>
      <c r="K896" s="3">
        <v>0.06</v>
      </c>
      <c r="L896" s="3">
        <v>0.06</v>
      </c>
      <c r="M896" s="2" t="s">
        <v>24</v>
      </c>
      <c r="N896" s="3" t="str" cm="1">
        <f t="array" ref="N896">_xlfn.IFS(G896&gt;=90,"Excellent",G896&gt;=80,"Good",G896&gt;=70,"Average",G896&lt;70,"Poor")</f>
        <v>Poor</v>
      </c>
    </row>
    <row r="897" spans="1:14" x14ac:dyDescent="0.35">
      <c r="A897" s="2">
        <v>896</v>
      </c>
      <c r="B897" s="2" t="s">
        <v>938</v>
      </c>
      <c r="C897" s="2" t="s">
        <v>19</v>
      </c>
      <c r="D897" s="2" t="s">
        <v>48</v>
      </c>
      <c r="E897" s="2" t="s">
        <v>49</v>
      </c>
      <c r="F897" s="2">
        <v>2018</v>
      </c>
      <c r="G897" s="2">
        <v>95</v>
      </c>
      <c r="H897" s="3">
        <v>0.35</v>
      </c>
      <c r="I897" s="3">
        <v>0.17</v>
      </c>
      <c r="J897" s="3">
        <v>0.1</v>
      </c>
      <c r="K897" s="3">
        <v>7.0000000000000007E-2</v>
      </c>
      <c r="L897" s="3">
        <v>0.01</v>
      </c>
      <c r="M897" s="2" t="s">
        <v>24</v>
      </c>
      <c r="N897" s="3" t="str" cm="1">
        <f t="array" ref="N897">_xlfn.IFS(G897&gt;=90,"Excellent",G897&gt;=80,"Good",G897&gt;=70,"Average",G897&lt;70,"Poor")</f>
        <v>Excellent</v>
      </c>
    </row>
    <row r="898" spans="1:14" x14ac:dyDescent="0.35">
      <c r="A898" s="2">
        <v>897</v>
      </c>
      <c r="B898" s="2" t="s">
        <v>939</v>
      </c>
      <c r="C898" s="2" t="s">
        <v>23</v>
      </c>
      <c r="D898" s="2" t="s">
        <v>51</v>
      </c>
      <c r="E898" s="2" t="s">
        <v>43</v>
      </c>
      <c r="F898" s="2">
        <v>2021</v>
      </c>
      <c r="G898" s="2">
        <v>92</v>
      </c>
      <c r="H898" s="3">
        <v>0.54</v>
      </c>
      <c r="I898" s="3">
        <v>0.25</v>
      </c>
      <c r="J898" s="3">
        <v>0.14000000000000001</v>
      </c>
      <c r="K898" s="3">
        <v>0.08</v>
      </c>
      <c r="L898" s="3">
        <v>7.0000000000000007E-2</v>
      </c>
      <c r="M898" s="2" t="s">
        <v>17</v>
      </c>
      <c r="N898" s="3" t="str" cm="1">
        <f t="array" ref="N898">_xlfn.IFS(G898&gt;=90,"Excellent",G898&gt;=80,"Good",G898&gt;=70,"Average",G898&lt;70,"Poor")</f>
        <v>Excellent</v>
      </c>
    </row>
    <row r="899" spans="1:14" x14ac:dyDescent="0.35">
      <c r="A899" s="2">
        <v>898</v>
      </c>
      <c r="B899" s="2" t="s">
        <v>940</v>
      </c>
      <c r="C899" s="2" t="s">
        <v>19</v>
      </c>
      <c r="D899" s="2" t="s">
        <v>2</v>
      </c>
      <c r="E899" s="2" t="s">
        <v>43</v>
      </c>
      <c r="F899" s="2">
        <v>2020</v>
      </c>
      <c r="G899" s="2">
        <v>55</v>
      </c>
      <c r="H899" s="3">
        <v>0.81</v>
      </c>
      <c r="I899" s="3">
        <v>0.36</v>
      </c>
      <c r="J899" s="3">
        <v>0.18</v>
      </c>
      <c r="K899" s="3">
        <v>0.16</v>
      </c>
      <c r="L899" s="3">
        <v>0.11</v>
      </c>
      <c r="M899" s="2" t="s">
        <v>17</v>
      </c>
      <c r="N899" s="3" t="str" cm="1">
        <f t="array" ref="N899">_xlfn.IFS(G899&gt;=90,"Excellent",G899&gt;=80,"Good",G899&gt;=70,"Average",G899&lt;70,"Poor")</f>
        <v>Poor</v>
      </c>
    </row>
    <row r="900" spans="1:14" x14ac:dyDescent="0.35">
      <c r="A900" s="2">
        <v>899</v>
      </c>
      <c r="B900" s="2" t="s">
        <v>941</v>
      </c>
      <c r="C900" s="2" t="s">
        <v>23</v>
      </c>
      <c r="D900" s="2" t="s">
        <v>37</v>
      </c>
      <c r="E900" s="2" t="s">
        <v>46</v>
      </c>
      <c r="F900" s="2">
        <v>2024</v>
      </c>
      <c r="G900" s="2">
        <v>59</v>
      </c>
      <c r="H900" s="3">
        <v>0.27</v>
      </c>
      <c r="I900" s="3">
        <v>0.13</v>
      </c>
      <c r="J900" s="3">
        <v>0.06</v>
      </c>
      <c r="K900" s="3">
        <v>0.03</v>
      </c>
      <c r="L900" s="3">
        <v>0.05</v>
      </c>
      <c r="M900" s="2" t="s">
        <v>24</v>
      </c>
      <c r="N900" s="3" t="str" cm="1">
        <f t="array" ref="N900">_xlfn.IFS(G900&gt;=90,"Excellent",G900&gt;=80,"Good",G900&gt;=70,"Average",G900&lt;70,"Poor")</f>
        <v>Poor</v>
      </c>
    </row>
    <row r="901" spans="1:14" x14ac:dyDescent="0.35">
      <c r="A901" s="2">
        <v>900</v>
      </c>
      <c r="B901" s="2" t="s">
        <v>942</v>
      </c>
      <c r="C901" s="2" t="s">
        <v>19</v>
      </c>
      <c r="D901" s="2" t="s">
        <v>15</v>
      </c>
      <c r="E901" s="2" t="s">
        <v>20</v>
      </c>
      <c r="F901" s="2">
        <v>2018</v>
      </c>
      <c r="G901" s="2">
        <v>77</v>
      </c>
      <c r="H901" s="3">
        <v>0.87</v>
      </c>
      <c r="I901" s="3">
        <v>0.4</v>
      </c>
      <c r="J901" s="3">
        <v>0.3</v>
      </c>
      <c r="K901" s="3">
        <v>0.14000000000000001</v>
      </c>
      <c r="L901" s="3">
        <v>0.03</v>
      </c>
      <c r="M901" s="2" t="s">
        <v>17</v>
      </c>
      <c r="N901" s="3" t="str" cm="1">
        <f t="array" ref="N901">_xlfn.IFS(G901&gt;=90,"Excellent",G901&gt;=80,"Good",G901&gt;=70,"Average",G901&lt;70,"Poor")</f>
        <v>Average</v>
      </c>
    </row>
    <row r="902" spans="1:14" x14ac:dyDescent="0.35">
      <c r="A902" s="2">
        <v>901</v>
      </c>
      <c r="B902" s="2" t="s">
        <v>943</v>
      </c>
      <c r="C902" s="2" t="s">
        <v>31</v>
      </c>
      <c r="D902" s="2" t="s">
        <v>48</v>
      </c>
      <c r="E902" s="2" t="s">
        <v>41</v>
      </c>
      <c r="F902" s="2">
        <v>2005</v>
      </c>
      <c r="G902" s="2">
        <v>73</v>
      </c>
      <c r="H902" s="3">
        <v>0.28999999999999998</v>
      </c>
      <c r="I902" s="3">
        <v>0.12</v>
      </c>
      <c r="J902" s="3">
        <v>0.09</v>
      </c>
      <c r="K902" s="3">
        <v>0.04</v>
      </c>
      <c r="L902" s="3">
        <v>0.04</v>
      </c>
      <c r="M902" s="2" t="s">
        <v>24</v>
      </c>
      <c r="N902" s="3" t="str" cm="1">
        <f t="array" ref="N902">_xlfn.IFS(G902&gt;=90,"Excellent",G902&gt;=80,"Good",G902&gt;=70,"Average",G902&lt;70,"Poor")</f>
        <v>Average</v>
      </c>
    </row>
    <row r="903" spans="1:14" x14ac:dyDescent="0.35">
      <c r="A903" s="2">
        <v>902</v>
      </c>
      <c r="B903" s="2" t="s">
        <v>944</v>
      </c>
      <c r="C903" s="2" t="s">
        <v>19</v>
      </c>
      <c r="D903" s="2" t="s">
        <v>33</v>
      </c>
      <c r="E903" s="2" t="s">
        <v>46</v>
      </c>
      <c r="F903" s="2">
        <v>2019</v>
      </c>
      <c r="G903" s="2">
        <v>74</v>
      </c>
      <c r="H903" s="3">
        <v>0.33</v>
      </c>
      <c r="I903" s="3">
        <v>0.17</v>
      </c>
      <c r="J903" s="3">
        <v>0.11</v>
      </c>
      <c r="K903" s="3">
        <v>0.02</v>
      </c>
      <c r="L903" s="3">
        <v>0.03</v>
      </c>
      <c r="M903" s="2" t="s">
        <v>24</v>
      </c>
      <c r="N903" s="3" t="str" cm="1">
        <f t="array" ref="N903">_xlfn.IFS(G903&gt;=90,"Excellent",G903&gt;=80,"Good",G903&gt;=70,"Average",G903&lt;70,"Poor")</f>
        <v>Average</v>
      </c>
    </row>
    <row r="904" spans="1:14" x14ac:dyDescent="0.35">
      <c r="A904" s="2">
        <v>903</v>
      </c>
      <c r="B904" s="2" t="s">
        <v>945</v>
      </c>
      <c r="C904" s="2" t="s">
        <v>64</v>
      </c>
      <c r="D904" s="2" t="s">
        <v>51</v>
      </c>
      <c r="E904" s="2" t="s">
        <v>54</v>
      </c>
      <c r="F904" s="2">
        <v>2014</v>
      </c>
      <c r="G904" s="2">
        <v>67</v>
      </c>
      <c r="H904" s="3">
        <v>0.21</v>
      </c>
      <c r="I904" s="3">
        <v>0.1</v>
      </c>
      <c r="J904" s="3">
        <v>0.06</v>
      </c>
      <c r="K904" s="3">
        <v>0.03</v>
      </c>
      <c r="L904" s="3">
        <v>0.02</v>
      </c>
      <c r="M904" s="2" t="s">
        <v>24</v>
      </c>
      <c r="N904" s="3" t="str" cm="1">
        <f t="array" ref="N904">_xlfn.IFS(G904&gt;=90,"Excellent",G904&gt;=80,"Good",G904&gt;=70,"Average",G904&lt;70,"Poor")</f>
        <v>Poor</v>
      </c>
    </row>
    <row r="905" spans="1:14" x14ac:dyDescent="0.35">
      <c r="A905" s="2">
        <v>904</v>
      </c>
      <c r="B905" s="2" t="s">
        <v>946</v>
      </c>
      <c r="C905" s="2" t="s">
        <v>19</v>
      </c>
      <c r="D905" s="2" t="s">
        <v>33</v>
      </c>
      <c r="E905" s="2" t="s">
        <v>54</v>
      </c>
      <c r="F905" s="2">
        <v>2019</v>
      </c>
      <c r="G905" s="2">
        <v>75</v>
      </c>
      <c r="H905" s="3">
        <v>0.83</v>
      </c>
      <c r="I905" s="3">
        <v>0.35</v>
      </c>
      <c r="J905" s="3">
        <v>0.21</v>
      </c>
      <c r="K905" s="3">
        <v>0.1</v>
      </c>
      <c r="L905" s="3">
        <v>0.17</v>
      </c>
      <c r="M905" s="2" t="s">
        <v>17</v>
      </c>
      <c r="N905" s="3" t="str" cm="1">
        <f t="array" ref="N905">_xlfn.IFS(G905&gt;=90,"Excellent",G905&gt;=80,"Good",G905&gt;=70,"Average",G905&lt;70,"Poor")</f>
        <v>Average</v>
      </c>
    </row>
    <row r="906" spans="1:14" x14ac:dyDescent="0.35">
      <c r="A906" s="2">
        <v>905</v>
      </c>
      <c r="B906" s="2" t="s">
        <v>947</v>
      </c>
      <c r="C906" s="2" t="s">
        <v>19</v>
      </c>
      <c r="D906" s="2" t="s">
        <v>15</v>
      </c>
      <c r="E906" s="2" t="s">
        <v>60</v>
      </c>
      <c r="F906" s="2">
        <v>2020</v>
      </c>
      <c r="G906" s="2">
        <v>60</v>
      </c>
      <c r="H906" s="3">
        <v>2.2599999999999998</v>
      </c>
      <c r="I906" s="3">
        <v>0.93</v>
      </c>
      <c r="J906" s="3">
        <v>0.53</v>
      </c>
      <c r="K906" s="3">
        <v>0.28999999999999998</v>
      </c>
      <c r="L906" s="3">
        <v>0.51</v>
      </c>
      <c r="M906" s="2" t="s">
        <v>27</v>
      </c>
      <c r="N906" s="3" t="str" cm="1">
        <f t="array" ref="N906">_xlfn.IFS(G906&gt;=90,"Excellent",G906&gt;=80,"Good",G906&gt;=70,"Average",G906&lt;70,"Poor")</f>
        <v>Poor</v>
      </c>
    </row>
    <row r="907" spans="1:14" x14ac:dyDescent="0.35">
      <c r="A907" s="2">
        <v>906</v>
      </c>
      <c r="B907" s="2" t="s">
        <v>948</v>
      </c>
      <c r="C907" s="2" t="s">
        <v>31</v>
      </c>
      <c r="D907" s="2" t="s">
        <v>65</v>
      </c>
      <c r="E907" s="2" t="s">
        <v>74</v>
      </c>
      <c r="F907" s="2">
        <v>2004</v>
      </c>
      <c r="G907" s="2">
        <v>80</v>
      </c>
      <c r="H907" s="3">
        <v>0.12</v>
      </c>
      <c r="I907" s="3">
        <v>0.05</v>
      </c>
      <c r="J907" s="3">
        <v>0.04</v>
      </c>
      <c r="K907" s="3">
        <v>0.02</v>
      </c>
      <c r="L907" s="3">
        <v>0.01</v>
      </c>
      <c r="M907" s="2" t="s">
        <v>24</v>
      </c>
      <c r="N907" s="3" t="str" cm="1">
        <f t="array" ref="N907">_xlfn.IFS(G907&gt;=90,"Excellent",G907&gt;=80,"Good",G907&gt;=70,"Average",G907&lt;70,"Poor")</f>
        <v>Good</v>
      </c>
    </row>
    <row r="908" spans="1:14" x14ac:dyDescent="0.35">
      <c r="A908" s="2">
        <v>907</v>
      </c>
      <c r="B908" s="2" t="s">
        <v>949</v>
      </c>
      <c r="C908" s="2" t="s">
        <v>64</v>
      </c>
      <c r="D908" s="2" t="s">
        <v>33</v>
      </c>
      <c r="E908" s="2" t="s">
        <v>20</v>
      </c>
      <c r="F908" s="2">
        <v>2011</v>
      </c>
      <c r="G908" s="2">
        <v>76</v>
      </c>
      <c r="H908" s="3">
        <v>0.67</v>
      </c>
      <c r="I908" s="3">
        <v>0.31</v>
      </c>
      <c r="J908" s="3">
        <v>0.2</v>
      </c>
      <c r="K908" s="3">
        <v>0.12</v>
      </c>
      <c r="L908" s="3">
        <v>0.04</v>
      </c>
      <c r="M908" s="2" t="s">
        <v>17</v>
      </c>
      <c r="N908" s="3" t="str" cm="1">
        <f t="array" ref="N908">_xlfn.IFS(G908&gt;=90,"Excellent",G908&gt;=80,"Good",G908&gt;=70,"Average",G908&lt;70,"Poor")</f>
        <v>Average</v>
      </c>
    </row>
    <row r="909" spans="1:14" x14ac:dyDescent="0.35">
      <c r="A909" s="2">
        <v>908</v>
      </c>
      <c r="B909" s="2" t="s">
        <v>950</v>
      </c>
      <c r="C909" s="2" t="s">
        <v>59</v>
      </c>
      <c r="D909" s="2" t="s">
        <v>2</v>
      </c>
      <c r="E909" s="2" t="s">
        <v>60</v>
      </c>
      <c r="F909" s="2">
        <v>2000</v>
      </c>
      <c r="G909" s="2">
        <v>88</v>
      </c>
      <c r="H909" s="3">
        <v>0.4</v>
      </c>
      <c r="I909" s="3">
        <v>0.19</v>
      </c>
      <c r="J909" s="3">
        <v>0.13</v>
      </c>
      <c r="K909" s="3">
        <v>0.04</v>
      </c>
      <c r="L909" s="3">
        <v>0.04</v>
      </c>
      <c r="M909" s="2" t="s">
        <v>24</v>
      </c>
      <c r="N909" s="3" t="str" cm="1">
        <f t="array" ref="N909">_xlfn.IFS(G909&gt;=90,"Excellent",G909&gt;=80,"Good",G909&gt;=70,"Average",G909&lt;70,"Poor")</f>
        <v>Good</v>
      </c>
    </row>
    <row r="910" spans="1:14" x14ac:dyDescent="0.35">
      <c r="A910" s="2">
        <v>909</v>
      </c>
      <c r="B910" s="2" t="s">
        <v>951</v>
      </c>
      <c r="C910" s="2" t="s">
        <v>14</v>
      </c>
      <c r="D910" s="2" t="s">
        <v>62</v>
      </c>
      <c r="E910" s="2" t="s">
        <v>74</v>
      </c>
      <c r="F910" s="2">
        <v>2006</v>
      </c>
      <c r="G910" s="2">
        <v>59</v>
      </c>
      <c r="H910" s="3">
        <v>0.25</v>
      </c>
      <c r="I910" s="3">
        <v>0.13</v>
      </c>
      <c r="J910" s="3">
        <v>7.0000000000000007E-2</v>
      </c>
      <c r="K910" s="3">
        <v>0.01</v>
      </c>
      <c r="L910" s="3">
        <v>0.04</v>
      </c>
      <c r="M910" s="2" t="s">
        <v>24</v>
      </c>
      <c r="N910" s="3" t="str" cm="1">
        <f t="array" ref="N910">_xlfn.IFS(G910&gt;=90,"Excellent",G910&gt;=80,"Good",G910&gt;=70,"Average",G910&lt;70,"Poor")</f>
        <v>Poor</v>
      </c>
    </row>
    <row r="911" spans="1:14" x14ac:dyDescent="0.35">
      <c r="A911" s="2">
        <v>910</v>
      </c>
      <c r="B911" s="2" t="s">
        <v>952</v>
      </c>
      <c r="C911" s="2" t="s">
        <v>59</v>
      </c>
      <c r="D911" s="2" t="s">
        <v>45</v>
      </c>
      <c r="E911" s="2" t="s">
        <v>16</v>
      </c>
      <c r="F911" s="2">
        <v>1997</v>
      </c>
      <c r="G911" s="2">
        <v>89</v>
      </c>
      <c r="H911" s="3">
        <v>0.16</v>
      </c>
      <c r="I911" s="3">
        <v>7.0000000000000007E-2</v>
      </c>
      <c r="J911" s="3">
        <v>0.05</v>
      </c>
      <c r="K911" s="3">
        <v>0.01</v>
      </c>
      <c r="L911" s="3">
        <v>0.03</v>
      </c>
      <c r="M911" s="2" t="s">
        <v>24</v>
      </c>
      <c r="N911" s="3" t="str" cm="1">
        <f t="array" ref="N911">_xlfn.IFS(G911&gt;=90,"Excellent",G911&gt;=80,"Good",G911&gt;=70,"Average",G911&lt;70,"Poor")</f>
        <v>Good</v>
      </c>
    </row>
    <row r="912" spans="1:14" x14ac:dyDescent="0.35">
      <c r="A912" s="2">
        <v>911</v>
      </c>
      <c r="B912" s="2" t="s">
        <v>953</v>
      </c>
      <c r="C912" s="2" t="s">
        <v>31</v>
      </c>
      <c r="D912" s="2" t="s">
        <v>15</v>
      </c>
      <c r="E912" s="2" t="s">
        <v>54</v>
      </c>
      <c r="F912" s="2">
        <v>2005</v>
      </c>
      <c r="G912" s="2">
        <v>65</v>
      </c>
      <c r="H912" s="3">
        <v>0.7</v>
      </c>
      <c r="I912" s="3">
        <v>0.27</v>
      </c>
      <c r="J912" s="3">
        <v>0.19</v>
      </c>
      <c r="K912" s="3">
        <v>7.0000000000000007E-2</v>
      </c>
      <c r="L912" s="3">
        <v>0.17</v>
      </c>
      <c r="M912" s="2" t="s">
        <v>17</v>
      </c>
      <c r="N912" s="3" t="str" cm="1">
        <f t="array" ref="N912">_xlfn.IFS(G912&gt;=90,"Excellent",G912&gt;=80,"Good",G912&gt;=70,"Average",G912&lt;70,"Poor")</f>
        <v>Poor</v>
      </c>
    </row>
    <row r="913" spans="1:14" x14ac:dyDescent="0.35">
      <c r="A913" s="2">
        <v>912</v>
      </c>
      <c r="B913" s="2" t="s">
        <v>954</v>
      </c>
      <c r="C913" s="2" t="s">
        <v>59</v>
      </c>
      <c r="D913" s="2" t="s">
        <v>62</v>
      </c>
      <c r="E913" s="2" t="s">
        <v>43</v>
      </c>
      <c r="F913" s="2">
        <v>1999</v>
      </c>
      <c r="G913" s="2">
        <v>79</v>
      </c>
      <c r="H913" s="3">
        <v>0.56999999999999995</v>
      </c>
      <c r="I913" s="3">
        <v>0.25</v>
      </c>
      <c r="J913" s="3">
        <v>0.15</v>
      </c>
      <c r="K913" s="3">
        <v>0.03</v>
      </c>
      <c r="L913" s="3">
        <v>0.14000000000000001</v>
      </c>
      <c r="M913" s="2" t="s">
        <v>17</v>
      </c>
      <c r="N913" s="3" t="str" cm="1">
        <f t="array" ref="N913">_xlfn.IFS(G913&gt;=90,"Excellent",G913&gt;=80,"Good",G913&gt;=70,"Average",G913&lt;70,"Poor")</f>
        <v>Average</v>
      </c>
    </row>
    <row r="914" spans="1:14" x14ac:dyDescent="0.35">
      <c r="A914" s="2">
        <v>913</v>
      </c>
      <c r="B914" s="2" t="s">
        <v>955</v>
      </c>
      <c r="C914" s="2" t="s">
        <v>19</v>
      </c>
      <c r="D914" s="2" t="s">
        <v>2</v>
      </c>
      <c r="E914" s="2" t="s">
        <v>41</v>
      </c>
      <c r="F914" s="2">
        <v>2014</v>
      </c>
      <c r="G914" s="2">
        <v>74</v>
      </c>
      <c r="H914" s="3">
        <v>1.25</v>
      </c>
      <c r="I914" s="3">
        <v>0.66</v>
      </c>
      <c r="J914" s="3">
        <v>0.32</v>
      </c>
      <c r="K914" s="3">
        <v>0.09</v>
      </c>
      <c r="L914" s="3">
        <v>0.18</v>
      </c>
      <c r="M914" s="2" t="s">
        <v>17</v>
      </c>
      <c r="N914" s="3" t="str" cm="1">
        <f t="array" ref="N914">_xlfn.IFS(G914&gt;=90,"Excellent",G914&gt;=80,"Good",G914&gt;=70,"Average",G914&lt;70,"Poor")</f>
        <v>Average</v>
      </c>
    </row>
    <row r="915" spans="1:14" x14ac:dyDescent="0.35">
      <c r="A915" s="2">
        <v>914</v>
      </c>
      <c r="B915" s="2" t="s">
        <v>956</v>
      </c>
      <c r="C915" s="2" t="s">
        <v>57</v>
      </c>
      <c r="D915" s="2" t="s">
        <v>51</v>
      </c>
      <c r="E915" s="2" t="s">
        <v>20</v>
      </c>
      <c r="F915" s="2">
        <v>2011</v>
      </c>
      <c r="G915" s="2">
        <v>87</v>
      </c>
      <c r="H915" s="3">
        <v>1.45</v>
      </c>
      <c r="I915" s="3">
        <v>0.61</v>
      </c>
      <c r="J915" s="3">
        <v>0.44</v>
      </c>
      <c r="K915" s="3">
        <v>0.16</v>
      </c>
      <c r="L915" s="3">
        <v>0.24</v>
      </c>
      <c r="M915" s="2" t="s">
        <v>17</v>
      </c>
      <c r="N915" s="3" t="str" cm="1">
        <f t="array" ref="N915">_xlfn.IFS(G915&gt;=90,"Excellent",G915&gt;=80,"Good",G915&gt;=70,"Average",G915&lt;70,"Poor")</f>
        <v>Good</v>
      </c>
    </row>
    <row r="916" spans="1:14" x14ac:dyDescent="0.35">
      <c r="A916" s="2">
        <v>915</v>
      </c>
      <c r="B916" s="2" t="s">
        <v>957</v>
      </c>
      <c r="C916" s="2" t="s">
        <v>59</v>
      </c>
      <c r="D916" s="2" t="s">
        <v>37</v>
      </c>
      <c r="E916" s="2" t="s">
        <v>43</v>
      </c>
      <c r="F916" s="2">
        <v>1996</v>
      </c>
      <c r="G916" s="2">
        <v>84</v>
      </c>
      <c r="H916" s="3">
        <v>1.92</v>
      </c>
      <c r="I916" s="3">
        <v>0.78</v>
      </c>
      <c r="J916" s="3">
        <v>0.6</v>
      </c>
      <c r="K916" s="3">
        <v>0.18</v>
      </c>
      <c r="L916" s="3">
        <v>0.36</v>
      </c>
      <c r="M916" s="2" t="s">
        <v>17</v>
      </c>
      <c r="N916" s="3" t="str" cm="1">
        <f t="array" ref="N916">_xlfn.IFS(G916&gt;=90,"Excellent",G916&gt;=80,"Good",G916&gt;=70,"Average",G916&lt;70,"Poor")</f>
        <v>Good</v>
      </c>
    </row>
    <row r="917" spans="1:14" x14ac:dyDescent="0.35">
      <c r="A917" s="2">
        <v>916</v>
      </c>
      <c r="B917" s="2" t="s">
        <v>958</v>
      </c>
      <c r="C917" s="2" t="s">
        <v>19</v>
      </c>
      <c r="D917" s="2" t="s">
        <v>62</v>
      </c>
      <c r="E917" s="2" t="s">
        <v>41</v>
      </c>
      <c r="F917" s="2">
        <v>2014</v>
      </c>
      <c r="G917" s="2">
        <v>97</v>
      </c>
      <c r="H917" s="3">
        <v>0.15</v>
      </c>
      <c r="I917" s="3">
        <v>7.0000000000000007E-2</v>
      </c>
      <c r="J917" s="3">
        <v>0.04</v>
      </c>
      <c r="K917" s="3">
        <v>0.01</v>
      </c>
      <c r="L917" s="3">
        <v>0.03</v>
      </c>
      <c r="M917" s="2" t="s">
        <v>24</v>
      </c>
      <c r="N917" s="3" t="str" cm="1">
        <f t="array" ref="N917">_xlfn.IFS(G917&gt;=90,"Excellent",G917&gt;=80,"Good",G917&gt;=70,"Average",G917&lt;70,"Poor")</f>
        <v>Excellent</v>
      </c>
    </row>
    <row r="918" spans="1:14" x14ac:dyDescent="0.35">
      <c r="A918" s="2">
        <v>917</v>
      </c>
      <c r="B918" s="2" t="s">
        <v>959</v>
      </c>
      <c r="C918" s="2" t="s">
        <v>57</v>
      </c>
      <c r="D918" s="2" t="s">
        <v>2</v>
      </c>
      <c r="E918" s="2" t="s">
        <v>74</v>
      </c>
      <c r="F918" s="2">
        <v>2009</v>
      </c>
      <c r="G918" s="2">
        <v>94</v>
      </c>
      <c r="H918" s="3">
        <v>0.14000000000000001</v>
      </c>
      <c r="I918" s="3">
        <v>0.06</v>
      </c>
      <c r="J918" s="3">
        <v>0.04</v>
      </c>
      <c r="K918" s="3">
        <v>0.01</v>
      </c>
      <c r="L918" s="3">
        <v>0.03</v>
      </c>
      <c r="M918" s="2" t="s">
        <v>24</v>
      </c>
      <c r="N918" s="3" t="str" cm="1">
        <f t="array" ref="N918">_xlfn.IFS(G918&gt;=90,"Excellent",G918&gt;=80,"Good",G918&gt;=70,"Average",G918&lt;70,"Poor")</f>
        <v>Excellent</v>
      </c>
    </row>
    <row r="919" spans="1:14" x14ac:dyDescent="0.35">
      <c r="A919" s="2">
        <v>918</v>
      </c>
      <c r="B919" s="2" t="s">
        <v>960</v>
      </c>
      <c r="C919" s="2" t="s">
        <v>31</v>
      </c>
      <c r="D919" s="2" t="s">
        <v>48</v>
      </c>
      <c r="E919" s="2" t="s">
        <v>49</v>
      </c>
      <c r="F919" s="2">
        <v>2006</v>
      </c>
      <c r="G919" s="2">
        <v>81</v>
      </c>
      <c r="H919" s="3">
        <v>1.32</v>
      </c>
      <c r="I919" s="3">
        <v>0.56000000000000005</v>
      </c>
      <c r="J919" s="3">
        <v>0.39</v>
      </c>
      <c r="K919" s="3">
        <v>7.0000000000000007E-2</v>
      </c>
      <c r="L919" s="3">
        <v>0.3</v>
      </c>
      <c r="M919" s="2" t="s">
        <v>17</v>
      </c>
      <c r="N919" s="3" t="str" cm="1">
        <f t="array" ref="N919">_xlfn.IFS(G919&gt;=90,"Excellent",G919&gt;=80,"Good",G919&gt;=70,"Average",G919&lt;70,"Poor")</f>
        <v>Good</v>
      </c>
    </row>
    <row r="920" spans="1:14" x14ac:dyDescent="0.35">
      <c r="A920" s="2">
        <v>919</v>
      </c>
      <c r="B920" s="2" t="s">
        <v>961</v>
      </c>
      <c r="C920" s="2" t="s">
        <v>31</v>
      </c>
      <c r="D920" s="2" t="s">
        <v>33</v>
      </c>
      <c r="E920" s="2" t="s">
        <v>16</v>
      </c>
      <c r="F920" s="2">
        <v>2002</v>
      </c>
      <c r="G920" s="2">
        <v>95</v>
      </c>
      <c r="H920" s="3">
        <v>0.76</v>
      </c>
      <c r="I920" s="3">
        <v>0.3</v>
      </c>
      <c r="J920" s="3">
        <v>0.2</v>
      </c>
      <c r="K920" s="3">
        <v>7.0000000000000007E-2</v>
      </c>
      <c r="L920" s="3">
        <v>0.19</v>
      </c>
      <c r="M920" s="2" t="s">
        <v>17</v>
      </c>
      <c r="N920" s="3" t="str" cm="1">
        <f t="array" ref="N920">_xlfn.IFS(G920&gt;=90,"Excellent",G920&gt;=80,"Good",G920&gt;=70,"Average",G920&lt;70,"Poor")</f>
        <v>Excellent</v>
      </c>
    </row>
    <row r="921" spans="1:14" x14ac:dyDescent="0.35">
      <c r="A921" s="2">
        <v>920</v>
      </c>
      <c r="B921" s="2" t="s">
        <v>962</v>
      </c>
      <c r="C921" s="2" t="s">
        <v>31</v>
      </c>
      <c r="D921" s="2" t="s">
        <v>37</v>
      </c>
      <c r="E921" s="2" t="s">
        <v>41</v>
      </c>
      <c r="F921" s="2">
        <v>2005</v>
      </c>
      <c r="G921" s="2">
        <v>60</v>
      </c>
      <c r="H921" s="3">
        <v>0.93</v>
      </c>
      <c r="I921" s="3">
        <v>0.45</v>
      </c>
      <c r="J921" s="3">
        <v>0.21</v>
      </c>
      <c r="K921" s="3">
        <v>0.16</v>
      </c>
      <c r="L921" s="3">
        <v>0.11</v>
      </c>
      <c r="M921" s="2" t="s">
        <v>17</v>
      </c>
      <c r="N921" s="3" t="str" cm="1">
        <f t="array" ref="N921">_xlfn.IFS(G921&gt;=90,"Excellent",G921&gt;=80,"Good",G921&gt;=70,"Average",G921&lt;70,"Poor")</f>
        <v>Poor</v>
      </c>
    </row>
    <row r="922" spans="1:14" x14ac:dyDescent="0.35">
      <c r="A922" s="2">
        <v>921</v>
      </c>
      <c r="B922" s="2" t="s">
        <v>963</v>
      </c>
      <c r="C922" s="2" t="s">
        <v>59</v>
      </c>
      <c r="D922" s="2" t="s">
        <v>45</v>
      </c>
      <c r="E922" s="2" t="s">
        <v>74</v>
      </c>
      <c r="F922" s="2">
        <v>1997</v>
      </c>
      <c r="G922" s="2">
        <v>76</v>
      </c>
      <c r="H922" s="3">
        <v>7.0000000000000007E-2</v>
      </c>
      <c r="I922" s="3">
        <v>0.04</v>
      </c>
      <c r="J922" s="3">
        <v>0.02</v>
      </c>
      <c r="K922" s="3">
        <v>0.01</v>
      </c>
      <c r="L922" s="3">
        <v>0</v>
      </c>
      <c r="M922" s="2" t="s">
        <v>24</v>
      </c>
      <c r="N922" s="3" t="str" cm="1">
        <f t="array" ref="N922">_xlfn.IFS(G922&gt;=90,"Excellent",G922&gt;=80,"Good",G922&gt;=70,"Average",G922&lt;70,"Poor")</f>
        <v>Average</v>
      </c>
    </row>
    <row r="923" spans="1:14" x14ac:dyDescent="0.35">
      <c r="A923" s="2">
        <v>922</v>
      </c>
      <c r="B923" s="2" t="s">
        <v>964</v>
      </c>
      <c r="C923" s="2" t="s">
        <v>64</v>
      </c>
      <c r="D923" s="2" t="s">
        <v>2</v>
      </c>
      <c r="E923" s="2" t="s">
        <v>16</v>
      </c>
      <c r="F923" s="2">
        <v>2014</v>
      </c>
      <c r="G923" s="2">
        <v>77</v>
      </c>
      <c r="H923" s="3">
        <v>0.45</v>
      </c>
      <c r="I923" s="3">
        <v>0.17</v>
      </c>
      <c r="J923" s="3">
        <v>0.09</v>
      </c>
      <c r="K923" s="3">
        <v>0.05</v>
      </c>
      <c r="L923" s="3">
        <v>0.14000000000000001</v>
      </c>
      <c r="M923" s="2" t="s">
        <v>24</v>
      </c>
      <c r="N923" s="3" t="str" cm="1">
        <f t="array" ref="N923">_xlfn.IFS(G923&gt;=90,"Excellent",G923&gt;=80,"Good",G923&gt;=70,"Average",G923&lt;70,"Poor")</f>
        <v>Average</v>
      </c>
    </row>
    <row r="924" spans="1:14" x14ac:dyDescent="0.35">
      <c r="A924" s="2">
        <v>923</v>
      </c>
      <c r="B924" s="2" t="s">
        <v>965</v>
      </c>
      <c r="C924" s="2" t="s">
        <v>19</v>
      </c>
      <c r="D924" s="2" t="s">
        <v>2</v>
      </c>
      <c r="E924" s="2" t="s">
        <v>49</v>
      </c>
      <c r="F924" s="2">
        <v>2014</v>
      </c>
      <c r="G924" s="2">
        <v>74</v>
      </c>
      <c r="H924" s="3">
        <v>0.24</v>
      </c>
      <c r="I924" s="3">
        <v>0.09</v>
      </c>
      <c r="J924" s="3">
        <v>7.0000000000000007E-2</v>
      </c>
      <c r="K924" s="3">
        <v>0.01</v>
      </c>
      <c r="L924" s="3">
        <v>7.0000000000000007E-2</v>
      </c>
      <c r="M924" s="2" t="s">
        <v>24</v>
      </c>
      <c r="N924" s="3" t="str" cm="1">
        <f t="array" ref="N924">_xlfn.IFS(G924&gt;=90,"Excellent",G924&gt;=80,"Good",G924&gt;=70,"Average",G924&lt;70,"Poor")</f>
        <v>Average</v>
      </c>
    </row>
    <row r="925" spans="1:14" x14ac:dyDescent="0.35">
      <c r="A925" s="2">
        <v>924</v>
      </c>
      <c r="B925" s="2" t="s">
        <v>966</v>
      </c>
      <c r="C925" s="2" t="s">
        <v>64</v>
      </c>
      <c r="D925" s="2" t="s">
        <v>51</v>
      </c>
      <c r="E925" s="2" t="s">
        <v>41</v>
      </c>
      <c r="F925" s="2">
        <v>2015</v>
      </c>
      <c r="G925" s="2">
        <v>65</v>
      </c>
      <c r="H925" s="3">
        <v>0.65</v>
      </c>
      <c r="I925" s="3">
        <v>0.35</v>
      </c>
      <c r="J925" s="3">
        <v>0.18</v>
      </c>
      <c r="K925" s="3">
        <v>7.0000000000000007E-2</v>
      </c>
      <c r="L925" s="3">
        <v>0.05</v>
      </c>
      <c r="M925" s="2" t="s">
        <v>17</v>
      </c>
      <c r="N925" s="3" t="str" cm="1">
        <f t="array" ref="N925">_xlfn.IFS(G925&gt;=90,"Excellent",G925&gt;=80,"Good",G925&gt;=70,"Average",G925&lt;70,"Poor")</f>
        <v>Poor</v>
      </c>
    </row>
    <row r="926" spans="1:14" x14ac:dyDescent="0.35">
      <c r="A926" s="2">
        <v>925</v>
      </c>
      <c r="B926" s="2" t="s">
        <v>967</v>
      </c>
      <c r="C926" s="2" t="s">
        <v>59</v>
      </c>
      <c r="D926" s="2" t="s">
        <v>33</v>
      </c>
      <c r="E926" s="2" t="s">
        <v>74</v>
      </c>
      <c r="F926" s="2">
        <v>1999</v>
      </c>
      <c r="G926" s="2">
        <v>96</v>
      </c>
      <c r="H926" s="3">
        <v>0.14000000000000001</v>
      </c>
      <c r="I926" s="3">
        <v>0.06</v>
      </c>
      <c r="J926" s="3">
        <v>0.04</v>
      </c>
      <c r="K926" s="3">
        <v>0.02</v>
      </c>
      <c r="L926" s="3">
        <v>0.02</v>
      </c>
      <c r="M926" s="2" t="s">
        <v>24</v>
      </c>
      <c r="N926" s="3" t="str" cm="1">
        <f t="array" ref="N926">_xlfn.IFS(G926&gt;=90,"Excellent",G926&gt;=80,"Good",G926&gt;=70,"Average",G926&lt;70,"Poor")</f>
        <v>Excellent</v>
      </c>
    </row>
    <row r="927" spans="1:14" x14ac:dyDescent="0.35">
      <c r="A927" s="2">
        <v>926</v>
      </c>
      <c r="B927" s="2" t="s">
        <v>968</v>
      </c>
      <c r="C927" s="2" t="s">
        <v>31</v>
      </c>
      <c r="D927" s="2" t="s">
        <v>65</v>
      </c>
      <c r="E927" s="2" t="s">
        <v>43</v>
      </c>
      <c r="F927" s="2">
        <v>2001</v>
      </c>
      <c r="G927" s="2">
        <v>86</v>
      </c>
      <c r="H927" s="3">
        <v>0.98</v>
      </c>
      <c r="I927" s="3">
        <v>0.36</v>
      </c>
      <c r="J927" s="3">
        <v>0.28000000000000003</v>
      </c>
      <c r="K927" s="3">
        <v>0.19</v>
      </c>
      <c r="L927" s="3">
        <v>0.15</v>
      </c>
      <c r="M927" s="2" t="s">
        <v>17</v>
      </c>
      <c r="N927" s="3" t="str" cm="1">
        <f t="array" ref="N927">_xlfn.IFS(G927&gt;=90,"Excellent",G927&gt;=80,"Good",G927&gt;=70,"Average",G927&lt;70,"Poor")</f>
        <v>Good</v>
      </c>
    </row>
    <row r="928" spans="1:14" x14ac:dyDescent="0.35">
      <c r="A928" s="2">
        <v>927</v>
      </c>
      <c r="B928" s="2" t="s">
        <v>969</v>
      </c>
      <c r="C928" s="2" t="s">
        <v>14</v>
      </c>
      <c r="D928" s="2" t="s">
        <v>33</v>
      </c>
      <c r="E928" s="2" t="s">
        <v>20</v>
      </c>
      <c r="F928" s="2">
        <v>2006</v>
      </c>
      <c r="G928" s="2">
        <v>69</v>
      </c>
      <c r="H928" s="3">
        <v>0.89</v>
      </c>
      <c r="I928" s="3">
        <v>0.37</v>
      </c>
      <c r="J928" s="3">
        <v>0.28999999999999998</v>
      </c>
      <c r="K928" s="3">
        <v>0.17</v>
      </c>
      <c r="L928" s="3">
        <v>0.06</v>
      </c>
      <c r="M928" s="2" t="s">
        <v>17</v>
      </c>
      <c r="N928" s="3" t="str" cm="1">
        <f t="array" ref="N928">_xlfn.IFS(G928&gt;=90,"Excellent",G928&gt;=80,"Good",G928&gt;=70,"Average",G928&lt;70,"Poor")</f>
        <v>Poor</v>
      </c>
    </row>
    <row r="929" spans="1:14" x14ac:dyDescent="0.35">
      <c r="A929" s="2">
        <v>928</v>
      </c>
      <c r="B929" s="2" t="s">
        <v>970</v>
      </c>
      <c r="C929" s="2" t="s">
        <v>59</v>
      </c>
      <c r="D929" s="2" t="s">
        <v>15</v>
      </c>
      <c r="E929" s="2" t="s">
        <v>52</v>
      </c>
      <c r="F929" s="2">
        <v>1995</v>
      </c>
      <c r="G929" s="2">
        <v>79</v>
      </c>
      <c r="H929" s="3">
        <v>1.18</v>
      </c>
      <c r="I929" s="3">
        <v>0.54</v>
      </c>
      <c r="J929" s="3">
        <v>0.25</v>
      </c>
      <c r="K929" s="3">
        <v>0.19</v>
      </c>
      <c r="L929" s="3">
        <v>0.2</v>
      </c>
      <c r="M929" s="2" t="s">
        <v>17</v>
      </c>
      <c r="N929" s="3" t="str" cm="1">
        <f t="array" ref="N929">_xlfn.IFS(G929&gt;=90,"Excellent",G929&gt;=80,"Good",G929&gt;=70,"Average",G929&lt;70,"Poor")</f>
        <v>Average</v>
      </c>
    </row>
    <row r="930" spans="1:14" x14ac:dyDescent="0.35">
      <c r="A930" s="2">
        <v>929</v>
      </c>
      <c r="B930" s="2" t="s">
        <v>971</v>
      </c>
      <c r="C930" s="2" t="s">
        <v>57</v>
      </c>
      <c r="D930" s="2" t="s">
        <v>45</v>
      </c>
      <c r="E930" s="2" t="s">
        <v>41</v>
      </c>
      <c r="F930" s="2">
        <v>2006</v>
      </c>
      <c r="G930" s="2">
        <v>62</v>
      </c>
      <c r="H930" s="3">
        <v>0.19</v>
      </c>
      <c r="I930" s="3">
        <v>0.1</v>
      </c>
      <c r="J930" s="3">
        <v>0.05</v>
      </c>
      <c r="K930" s="3">
        <v>0.02</v>
      </c>
      <c r="L930" s="3">
        <v>0.02</v>
      </c>
      <c r="M930" s="2" t="s">
        <v>24</v>
      </c>
      <c r="N930" s="3" t="str" cm="1">
        <f t="array" ref="N930">_xlfn.IFS(G930&gt;=90,"Excellent",G930&gt;=80,"Good",G930&gt;=70,"Average",G930&lt;70,"Poor")</f>
        <v>Poor</v>
      </c>
    </row>
    <row r="931" spans="1:14" x14ac:dyDescent="0.35">
      <c r="A931" s="2">
        <v>930</v>
      </c>
      <c r="B931" s="2" t="s">
        <v>972</v>
      </c>
      <c r="C931" s="2" t="s">
        <v>19</v>
      </c>
      <c r="D931" s="2" t="s">
        <v>48</v>
      </c>
      <c r="E931" s="2" t="s">
        <v>52</v>
      </c>
      <c r="F931" s="2">
        <v>2013</v>
      </c>
      <c r="G931" s="2">
        <v>55</v>
      </c>
      <c r="H931" s="3">
        <v>0.15</v>
      </c>
      <c r="I931" s="3">
        <v>0.08</v>
      </c>
      <c r="J931" s="3">
        <v>0.05</v>
      </c>
      <c r="K931" s="3">
        <v>0.02</v>
      </c>
      <c r="L931" s="3">
        <v>0</v>
      </c>
      <c r="M931" s="2" t="s">
        <v>24</v>
      </c>
      <c r="N931" s="3" t="str" cm="1">
        <f t="array" ref="N931">_xlfn.IFS(G931&gt;=90,"Excellent",G931&gt;=80,"Good",G931&gt;=70,"Average",G931&lt;70,"Poor")</f>
        <v>Poor</v>
      </c>
    </row>
    <row r="932" spans="1:14" x14ac:dyDescent="0.35">
      <c r="A932" s="2">
        <v>931</v>
      </c>
      <c r="B932" s="2" t="s">
        <v>973</v>
      </c>
      <c r="C932" s="2" t="s">
        <v>64</v>
      </c>
      <c r="D932" s="2" t="s">
        <v>48</v>
      </c>
      <c r="E932" s="2" t="s">
        <v>20</v>
      </c>
      <c r="F932" s="2">
        <v>2011</v>
      </c>
      <c r="G932" s="2">
        <v>63</v>
      </c>
      <c r="H932" s="3">
        <v>0.26</v>
      </c>
      <c r="I932" s="3">
        <v>0.11</v>
      </c>
      <c r="J932" s="3">
        <v>0.08</v>
      </c>
      <c r="K932" s="3">
        <v>0.05</v>
      </c>
      <c r="L932" s="3">
        <v>0.02</v>
      </c>
      <c r="M932" s="2" t="s">
        <v>24</v>
      </c>
      <c r="N932" s="3" t="str" cm="1">
        <f t="array" ref="N932">_xlfn.IFS(G932&gt;=90,"Excellent",G932&gt;=80,"Good",G932&gt;=70,"Average",G932&lt;70,"Poor")</f>
        <v>Poor</v>
      </c>
    </row>
    <row r="933" spans="1:14" x14ac:dyDescent="0.35">
      <c r="A933" s="2">
        <v>932</v>
      </c>
      <c r="B933" s="2" t="s">
        <v>974</v>
      </c>
      <c r="C933" s="2" t="s">
        <v>14</v>
      </c>
      <c r="D933" s="2" t="s">
        <v>2</v>
      </c>
      <c r="E933" s="2" t="s">
        <v>41</v>
      </c>
      <c r="F933" s="2">
        <v>2008</v>
      </c>
      <c r="G933" s="2">
        <v>97</v>
      </c>
      <c r="H933" s="3">
        <v>0.25</v>
      </c>
      <c r="I933" s="3">
        <v>0.11</v>
      </c>
      <c r="J933" s="3">
        <v>7.0000000000000007E-2</v>
      </c>
      <c r="K933" s="3">
        <v>0.04</v>
      </c>
      <c r="L933" s="3">
        <v>0.03</v>
      </c>
      <c r="M933" s="2" t="s">
        <v>24</v>
      </c>
      <c r="N933" s="3" t="str" cm="1">
        <f t="array" ref="N933">_xlfn.IFS(G933&gt;=90,"Excellent",G933&gt;=80,"Good",G933&gt;=70,"Average",G933&lt;70,"Poor")</f>
        <v>Excellent</v>
      </c>
    </row>
    <row r="934" spans="1:14" x14ac:dyDescent="0.35">
      <c r="A934" s="2">
        <v>933</v>
      </c>
      <c r="B934" s="2" t="s">
        <v>975</v>
      </c>
      <c r="C934" s="2" t="s">
        <v>14</v>
      </c>
      <c r="D934" s="2" t="s">
        <v>62</v>
      </c>
      <c r="E934" s="2" t="s">
        <v>46</v>
      </c>
      <c r="F934" s="2">
        <v>2009</v>
      </c>
      <c r="G934" s="2">
        <v>73</v>
      </c>
      <c r="H934" s="3">
        <v>1.25</v>
      </c>
      <c r="I934" s="3">
        <v>0.66</v>
      </c>
      <c r="J934" s="3">
        <v>0.31</v>
      </c>
      <c r="K934" s="3">
        <v>0.16</v>
      </c>
      <c r="L934" s="3">
        <v>0.12</v>
      </c>
      <c r="M934" s="2" t="s">
        <v>17</v>
      </c>
      <c r="N934" s="3" t="str" cm="1">
        <f t="array" ref="N934">_xlfn.IFS(G934&gt;=90,"Excellent",G934&gt;=80,"Good",G934&gt;=70,"Average",G934&lt;70,"Poor")</f>
        <v>Average</v>
      </c>
    </row>
    <row r="935" spans="1:14" x14ac:dyDescent="0.35">
      <c r="A935" s="2">
        <v>934</v>
      </c>
      <c r="B935" s="2" t="s">
        <v>976</v>
      </c>
      <c r="C935" s="2" t="s">
        <v>59</v>
      </c>
      <c r="D935" s="2" t="s">
        <v>29</v>
      </c>
      <c r="E935" s="2" t="s">
        <v>41</v>
      </c>
      <c r="F935" s="2">
        <v>1995</v>
      </c>
      <c r="G935" s="2">
        <v>72</v>
      </c>
      <c r="H935" s="3">
        <v>1.22</v>
      </c>
      <c r="I935" s="3">
        <v>0.5</v>
      </c>
      <c r="J935" s="3">
        <v>0.35</v>
      </c>
      <c r="K935" s="3">
        <v>0.08</v>
      </c>
      <c r="L935" s="3">
        <v>0.28999999999999998</v>
      </c>
      <c r="M935" s="2" t="s">
        <v>17</v>
      </c>
      <c r="N935" s="3" t="str" cm="1">
        <f t="array" ref="N935">_xlfn.IFS(G935&gt;=90,"Excellent",G935&gt;=80,"Good",G935&gt;=70,"Average",G935&lt;70,"Poor")</f>
        <v>Average</v>
      </c>
    </row>
    <row r="936" spans="1:14" x14ac:dyDescent="0.35">
      <c r="A936" s="2">
        <v>935</v>
      </c>
      <c r="B936" s="2" t="s">
        <v>977</v>
      </c>
      <c r="C936" s="2" t="s">
        <v>57</v>
      </c>
      <c r="D936" s="2" t="s">
        <v>15</v>
      </c>
      <c r="E936" s="2" t="s">
        <v>52</v>
      </c>
      <c r="F936" s="2">
        <v>2006</v>
      </c>
      <c r="G936" s="2">
        <v>62</v>
      </c>
      <c r="H936" s="3">
        <v>0.2</v>
      </c>
      <c r="I936" s="3">
        <v>0.08</v>
      </c>
      <c r="J936" s="3">
        <v>7.0000000000000007E-2</v>
      </c>
      <c r="K936" s="3">
        <v>0.01</v>
      </c>
      <c r="L936" s="3">
        <v>0.04</v>
      </c>
      <c r="M936" s="2" t="s">
        <v>24</v>
      </c>
      <c r="N936" s="3" t="str" cm="1">
        <f t="array" ref="N936">_xlfn.IFS(G936&gt;=90,"Excellent",G936&gt;=80,"Good",G936&gt;=70,"Average",G936&lt;70,"Poor")</f>
        <v>Poor</v>
      </c>
    </row>
    <row r="937" spans="1:14" x14ac:dyDescent="0.35">
      <c r="A937" s="2">
        <v>936</v>
      </c>
      <c r="B937" s="2" t="s">
        <v>978</v>
      </c>
      <c r="C937" s="2" t="s">
        <v>64</v>
      </c>
      <c r="D937" s="2" t="s">
        <v>62</v>
      </c>
      <c r="E937" s="2" t="s">
        <v>20</v>
      </c>
      <c r="F937" s="2">
        <v>2017</v>
      </c>
      <c r="G937" s="2">
        <v>83</v>
      </c>
      <c r="H937" s="3">
        <v>0.13</v>
      </c>
      <c r="I937" s="3">
        <v>0.05</v>
      </c>
      <c r="J937" s="3">
        <v>0.03</v>
      </c>
      <c r="K937" s="3">
        <v>0.02</v>
      </c>
      <c r="L937" s="3">
        <v>0.03</v>
      </c>
      <c r="M937" s="2" t="s">
        <v>24</v>
      </c>
      <c r="N937" s="3" t="str" cm="1">
        <f t="array" ref="N937">_xlfn.IFS(G937&gt;=90,"Excellent",G937&gt;=80,"Good",G937&gt;=70,"Average",G937&lt;70,"Poor")</f>
        <v>Good</v>
      </c>
    </row>
    <row r="938" spans="1:14" x14ac:dyDescent="0.35">
      <c r="A938" s="2">
        <v>937</v>
      </c>
      <c r="B938" s="2" t="s">
        <v>979</v>
      </c>
      <c r="C938" s="2" t="s">
        <v>14</v>
      </c>
      <c r="D938" s="2" t="s">
        <v>2</v>
      </c>
      <c r="E938" s="2" t="s">
        <v>43</v>
      </c>
      <c r="F938" s="2">
        <v>2006</v>
      </c>
      <c r="G938" s="2">
        <v>68</v>
      </c>
      <c r="H938" s="3">
        <v>1.08</v>
      </c>
      <c r="I938" s="3">
        <v>0.56000000000000005</v>
      </c>
      <c r="J938" s="3">
        <v>0.28999999999999998</v>
      </c>
      <c r="K938" s="3">
        <v>0.12</v>
      </c>
      <c r="L938" s="3">
        <v>0.11</v>
      </c>
      <c r="M938" s="2" t="s">
        <v>17</v>
      </c>
      <c r="N938" s="3" t="str" cm="1">
        <f t="array" ref="N938">_xlfn.IFS(G938&gt;=90,"Excellent",G938&gt;=80,"Good",G938&gt;=70,"Average",G938&lt;70,"Poor")</f>
        <v>Poor</v>
      </c>
    </row>
    <row r="939" spans="1:14" x14ac:dyDescent="0.35">
      <c r="A939" s="2">
        <v>938</v>
      </c>
      <c r="B939" s="2" t="s">
        <v>980</v>
      </c>
      <c r="C939" s="2" t="s">
        <v>57</v>
      </c>
      <c r="D939" s="2" t="s">
        <v>33</v>
      </c>
      <c r="E939" s="2" t="s">
        <v>60</v>
      </c>
      <c r="F939" s="2">
        <v>2004</v>
      </c>
      <c r="G939" s="2">
        <v>89</v>
      </c>
      <c r="H939" s="3">
        <v>0.42</v>
      </c>
      <c r="I939" s="3">
        <v>0.19</v>
      </c>
      <c r="J939" s="3">
        <v>0.12</v>
      </c>
      <c r="K939" s="3">
        <v>0.03</v>
      </c>
      <c r="L939" s="3">
        <v>0.08</v>
      </c>
      <c r="M939" s="2" t="s">
        <v>24</v>
      </c>
      <c r="N939" s="3" t="str" cm="1">
        <f t="array" ref="N939">_xlfn.IFS(G939&gt;=90,"Excellent",G939&gt;=80,"Good",G939&gt;=70,"Average",G939&lt;70,"Poor")</f>
        <v>Good</v>
      </c>
    </row>
    <row r="940" spans="1:14" x14ac:dyDescent="0.35">
      <c r="A940" s="2">
        <v>939</v>
      </c>
      <c r="B940" s="2" t="s">
        <v>981</v>
      </c>
      <c r="C940" s="2" t="s">
        <v>19</v>
      </c>
      <c r="D940" s="2" t="s">
        <v>48</v>
      </c>
      <c r="E940" s="2" t="s">
        <v>54</v>
      </c>
      <c r="F940" s="2">
        <v>2020</v>
      </c>
      <c r="G940" s="2">
        <v>98</v>
      </c>
      <c r="H940" s="3">
        <v>0.35</v>
      </c>
      <c r="I940" s="3">
        <v>0.15</v>
      </c>
      <c r="J940" s="3">
        <v>0.09</v>
      </c>
      <c r="K940" s="3">
        <v>0.05</v>
      </c>
      <c r="L940" s="3">
        <v>0.06</v>
      </c>
      <c r="M940" s="2" t="s">
        <v>24</v>
      </c>
      <c r="N940" s="3" t="str" cm="1">
        <f t="array" ref="N940">_xlfn.IFS(G940&gt;=90,"Excellent",G940&gt;=80,"Good",G940&gt;=70,"Average",G940&lt;70,"Poor")</f>
        <v>Excellent</v>
      </c>
    </row>
    <row r="941" spans="1:14" x14ac:dyDescent="0.35">
      <c r="A941" s="2">
        <v>940</v>
      </c>
      <c r="B941" s="2" t="s">
        <v>982</v>
      </c>
      <c r="C941" s="2" t="s">
        <v>14</v>
      </c>
      <c r="D941" s="2" t="s">
        <v>51</v>
      </c>
      <c r="E941" s="2" t="s">
        <v>74</v>
      </c>
      <c r="F941" s="2">
        <v>2010</v>
      </c>
      <c r="G941" s="2">
        <v>74</v>
      </c>
      <c r="H941" s="3">
        <v>0.69</v>
      </c>
      <c r="I941" s="3">
        <v>0.28000000000000003</v>
      </c>
      <c r="J941" s="3">
        <v>0.16</v>
      </c>
      <c r="K941" s="3">
        <v>0.08</v>
      </c>
      <c r="L941" s="3">
        <v>0.17</v>
      </c>
      <c r="M941" s="2" t="s">
        <v>17</v>
      </c>
      <c r="N941" s="3" t="str" cm="1">
        <f t="array" ref="N941">_xlfn.IFS(G941&gt;=90,"Excellent",G941&gt;=80,"Good",G941&gt;=70,"Average",G941&lt;70,"Poor")</f>
        <v>Average</v>
      </c>
    </row>
    <row r="942" spans="1:14" x14ac:dyDescent="0.35">
      <c r="A942" s="2">
        <v>941</v>
      </c>
      <c r="B942" s="2" t="s">
        <v>983</v>
      </c>
      <c r="C942" s="2" t="s">
        <v>19</v>
      </c>
      <c r="D942" s="2" t="s">
        <v>62</v>
      </c>
      <c r="E942" s="2" t="s">
        <v>20</v>
      </c>
      <c r="F942" s="2">
        <v>2013</v>
      </c>
      <c r="G942" s="2">
        <v>95</v>
      </c>
      <c r="H942" s="3">
        <v>1.6</v>
      </c>
      <c r="I942" s="3">
        <v>0.57999999999999996</v>
      </c>
      <c r="J942" s="3">
        <v>0.55000000000000004</v>
      </c>
      <c r="K942" s="3">
        <v>0.15</v>
      </c>
      <c r="L942" s="3">
        <v>0.32</v>
      </c>
      <c r="M942" s="2" t="s">
        <v>17</v>
      </c>
      <c r="N942" s="3" t="str" cm="1">
        <f t="array" ref="N942">_xlfn.IFS(G942&gt;=90,"Excellent",G942&gt;=80,"Good",G942&gt;=70,"Average",G942&lt;70,"Poor")</f>
        <v>Excellent</v>
      </c>
    </row>
    <row r="943" spans="1:14" x14ac:dyDescent="0.35">
      <c r="A943" s="2">
        <v>942</v>
      </c>
      <c r="B943" s="2" t="s">
        <v>984</v>
      </c>
      <c r="C943" s="2" t="s">
        <v>23</v>
      </c>
      <c r="D943" s="2" t="s">
        <v>29</v>
      </c>
      <c r="E943" s="2" t="s">
        <v>49</v>
      </c>
      <c r="F943" s="2">
        <v>2024</v>
      </c>
      <c r="G943" s="2">
        <v>71</v>
      </c>
      <c r="H943" s="3">
        <v>1.3</v>
      </c>
      <c r="I943" s="3">
        <v>0.68</v>
      </c>
      <c r="J943" s="3">
        <v>0.28000000000000003</v>
      </c>
      <c r="K943" s="3">
        <v>0.19</v>
      </c>
      <c r="L943" s="3">
        <v>0.15</v>
      </c>
      <c r="M943" s="2" t="s">
        <v>17</v>
      </c>
      <c r="N943" s="3" t="str" cm="1">
        <f t="array" ref="N943">_xlfn.IFS(G943&gt;=90,"Excellent",G943&gt;=80,"Good",G943&gt;=70,"Average",G943&lt;70,"Poor")</f>
        <v>Average</v>
      </c>
    </row>
    <row r="944" spans="1:14" x14ac:dyDescent="0.35">
      <c r="A944" s="2">
        <v>943</v>
      </c>
      <c r="B944" s="2" t="s">
        <v>985</v>
      </c>
      <c r="C944" s="2" t="s">
        <v>31</v>
      </c>
      <c r="D944" s="2" t="s">
        <v>2</v>
      </c>
      <c r="E944" s="2" t="s">
        <v>20</v>
      </c>
      <c r="F944" s="2">
        <v>2006</v>
      </c>
      <c r="G944" s="2">
        <v>96</v>
      </c>
      <c r="H944" s="3">
        <v>2.5</v>
      </c>
      <c r="I944" s="3">
        <v>0.9</v>
      </c>
      <c r="J944" s="3">
        <v>0.77</v>
      </c>
      <c r="K944" s="3">
        <v>0.15</v>
      </c>
      <c r="L944" s="3">
        <v>0.68</v>
      </c>
      <c r="M944" s="2" t="s">
        <v>27</v>
      </c>
      <c r="N944" s="3" t="str" cm="1">
        <f t="array" ref="N944">_xlfn.IFS(G944&gt;=90,"Excellent",G944&gt;=80,"Good",G944&gt;=70,"Average",G944&lt;70,"Poor")</f>
        <v>Excellent</v>
      </c>
    </row>
    <row r="945" spans="1:14" x14ac:dyDescent="0.35">
      <c r="A945" s="2">
        <v>944</v>
      </c>
      <c r="B945" s="2" t="s">
        <v>986</v>
      </c>
      <c r="C945" s="2" t="s">
        <v>57</v>
      </c>
      <c r="D945" s="2" t="s">
        <v>51</v>
      </c>
      <c r="E945" s="2" t="s">
        <v>20</v>
      </c>
      <c r="F945" s="2">
        <v>2008</v>
      </c>
      <c r="G945" s="2">
        <v>57</v>
      </c>
      <c r="H945" s="3">
        <v>0.61</v>
      </c>
      <c r="I945" s="3">
        <v>0.22</v>
      </c>
      <c r="J945" s="3">
        <v>0.16</v>
      </c>
      <c r="K945" s="3">
        <v>0.08</v>
      </c>
      <c r="L945" s="3">
        <v>0.15</v>
      </c>
      <c r="M945" s="2" t="s">
        <v>17</v>
      </c>
      <c r="N945" s="3" t="str" cm="1">
        <f t="array" ref="N945">_xlfn.IFS(G945&gt;=90,"Excellent",G945&gt;=80,"Good",G945&gt;=70,"Average",G945&lt;70,"Poor")</f>
        <v>Poor</v>
      </c>
    </row>
    <row r="946" spans="1:14" x14ac:dyDescent="0.35">
      <c r="A946" s="2">
        <v>945</v>
      </c>
      <c r="B946" s="2" t="s">
        <v>987</v>
      </c>
      <c r="C946" s="2" t="s">
        <v>31</v>
      </c>
      <c r="D946" s="2" t="s">
        <v>29</v>
      </c>
      <c r="E946" s="2" t="s">
        <v>74</v>
      </c>
      <c r="F946" s="2">
        <v>2001</v>
      </c>
      <c r="G946" s="2">
        <v>59</v>
      </c>
      <c r="H946" s="3">
        <v>3.87</v>
      </c>
      <c r="I946" s="3">
        <v>1.47</v>
      </c>
      <c r="J946" s="3">
        <v>0.96</v>
      </c>
      <c r="K946" s="3">
        <v>0.65</v>
      </c>
      <c r="L946" s="3">
        <v>0.79</v>
      </c>
      <c r="M946" s="2" t="s">
        <v>27</v>
      </c>
      <c r="N946" s="3" t="str" cm="1">
        <f t="array" ref="N946">_xlfn.IFS(G946&gt;=90,"Excellent",G946&gt;=80,"Good",G946&gt;=70,"Average",G946&lt;70,"Poor")</f>
        <v>Poor</v>
      </c>
    </row>
    <row r="947" spans="1:14" x14ac:dyDescent="0.35">
      <c r="A947" s="2">
        <v>946</v>
      </c>
      <c r="B947" s="2" t="s">
        <v>988</v>
      </c>
      <c r="C947" s="2" t="s">
        <v>14</v>
      </c>
      <c r="D947" s="2" t="s">
        <v>29</v>
      </c>
      <c r="E947" s="2" t="s">
        <v>16</v>
      </c>
      <c r="F947" s="2">
        <v>2012</v>
      </c>
      <c r="G947" s="2">
        <v>56</v>
      </c>
      <c r="H947" s="3">
        <v>1.56</v>
      </c>
      <c r="I947" s="3">
        <v>0.79</v>
      </c>
      <c r="J947" s="3">
        <v>0.43</v>
      </c>
      <c r="K947" s="3">
        <v>0.21</v>
      </c>
      <c r="L947" s="3">
        <v>0.13</v>
      </c>
      <c r="M947" s="2" t="s">
        <v>17</v>
      </c>
      <c r="N947" s="3" t="str" cm="1">
        <f t="array" ref="N947">_xlfn.IFS(G947&gt;=90,"Excellent",G947&gt;=80,"Good",G947&gt;=70,"Average",G947&lt;70,"Poor")</f>
        <v>Poor</v>
      </c>
    </row>
    <row r="948" spans="1:14" x14ac:dyDescent="0.35">
      <c r="A948" s="2">
        <v>947</v>
      </c>
      <c r="B948" s="2" t="s">
        <v>989</v>
      </c>
      <c r="C948" s="2" t="s">
        <v>14</v>
      </c>
      <c r="D948" s="2" t="s">
        <v>45</v>
      </c>
      <c r="E948" s="2" t="s">
        <v>74</v>
      </c>
      <c r="F948" s="2">
        <v>2009</v>
      </c>
      <c r="G948" s="2">
        <v>79</v>
      </c>
      <c r="H948" s="3">
        <v>2.02</v>
      </c>
      <c r="I948" s="3">
        <v>1.01</v>
      </c>
      <c r="J948" s="3">
        <v>0.64</v>
      </c>
      <c r="K948" s="3">
        <v>0.37</v>
      </c>
      <c r="L948" s="3">
        <v>0</v>
      </c>
      <c r="M948" s="2" t="s">
        <v>27</v>
      </c>
      <c r="N948" s="3" t="str" cm="1">
        <f t="array" ref="N948">_xlfn.IFS(G948&gt;=90,"Excellent",G948&gt;=80,"Good",G948&gt;=70,"Average",G948&lt;70,"Poor")</f>
        <v>Average</v>
      </c>
    </row>
    <row r="949" spans="1:14" x14ac:dyDescent="0.35">
      <c r="A949" s="2">
        <v>948</v>
      </c>
      <c r="B949" s="2" t="s">
        <v>990</v>
      </c>
      <c r="C949" s="2" t="s">
        <v>23</v>
      </c>
      <c r="D949" s="2" t="s">
        <v>2</v>
      </c>
      <c r="E949" s="2" t="s">
        <v>60</v>
      </c>
      <c r="F949" s="2">
        <v>2024</v>
      </c>
      <c r="G949" s="2">
        <v>62</v>
      </c>
      <c r="H949" s="3">
        <v>2.2999999999999998</v>
      </c>
      <c r="I949" s="3">
        <v>0.83</v>
      </c>
      <c r="J949" s="3">
        <v>0.62</v>
      </c>
      <c r="K949" s="3">
        <v>0.3</v>
      </c>
      <c r="L949" s="3">
        <v>0.55000000000000004</v>
      </c>
      <c r="M949" s="2" t="s">
        <v>27</v>
      </c>
      <c r="N949" s="3" t="str" cm="1">
        <f t="array" ref="N949">_xlfn.IFS(G949&gt;=90,"Excellent",G949&gt;=80,"Good",G949&gt;=70,"Average",G949&lt;70,"Poor")</f>
        <v>Poor</v>
      </c>
    </row>
    <row r="950" spans="1:14" x14ac:dyDescent="0.35">
      <c r="A950" s="2">
        <v>949</v>
      </c>
      <c r="B950" s="2" t="s">
        <v>991</v>
      </c>
      <c r="C950" s="2" t="s">
        <v>19</v>
      </c>
      <c r="D950" s="2" t="s">
        <v>51</v>
      </c>
      <c r="E950" s="2" t="s">
        <v>52</v>
      </c>
      <c r="F950" s="2">
        <v>2018</v>
      </c>
      <c r="G950" s="2">
        <v>70</v>
      </c>
      <c r="H950" s="3">
        <v>0.22</v>
      </c>
      <c r="I950" s="3">
        <v>0.12</v>
      </c>
      <c r="J950" s="3">
        <v>0.05</v>
      </c>
      <c r="K950" s="3">
        <v>0.02</v>
      </c>
      <c r="L950" s="3">
        <v>0.03</v>
      </c>
      <c r="M950" s="2" t="s">
        <v>24</v>
      </c>
      <c r="N950" s="3" t="str" cm="1">
        <f t="array" ref="N950">_xlfn.IFS(G950&gt;=90,"Excellent",G950&gt;=80,"Good",G950&gt;=70,"Average",G950&lt;70,"Poor")</f>
        <v>Average</v>
      </c>
    </row>
    <row r="951" spans="1:14" x14ac:dyDescent="0.35">
      <c r="A951" s="2">
        <v>950</v>
      </c>
      <c r="B951" s="2" t="s">
        <v>992</v>
      </c>
      <c r="C951" s="2" t="s">
        <v>59</v>
      </c>
      <c r="D951" s="2" t="s">
        <v>48</v>
      </c>
      <c r="E951" s="2" t="s">
        <v>16</v>
      </c>
      <c r="F951" s="2">
        <v>2000</v>
      </c>
      <c r="G951" s="2">
        <v>60</v>
      </c>
      <c r="H951" s="3">
        <v>0.26</v>
      </c>
      <c r="I951" s="3">
        <v>0.14000000000000001</v>
      </c>
      <c r="J951" s="3">
        <v>0.08</v>
      </c>
      <c r="K951" s="3">
        <v>0.04</v>
      </c>
      <c r="L951" s="3">
        <v>0</v>
      </c>
      <c r="M951" s="2" t="s">
        <v>24</v>
      </c>
      <c r="N951" s="3" t="str" cm="1">
        <f t="array" ref="N951">_xlfn.IFS(G951&gt;=90,"Excellent",G951&gt;=80,"Good",G951&gt;=70,"Average",G951&lt;70,"Poor")</f>
        <v>Poor</v>
      </c>
    </row>
    <row r="952" spans="1:14" x14ac:dyDescent="0.35">
      <c r="A952" s="2">
        <v>951</v>
      </c>
      <c r="B952" s="2" t="s">
        <v>993</v>
      </c>
      <c r="C952" s="2" t="s">
        <v>19</v>
      </c>
      <c r="D952" s="2" t="s">
        <v>48</v>
      </c>
      <c r="E952" s="2" t="s">
        <v>74</v>
      </c>
      <c r="F952" s="2">
        <v>2019</v>
      </c>
      <c r="G952" s="2">
        <v>70</v>
      </c>
      <c r="H952" s="3">
        <v>1.67</v>
      </c>
      <c r="I952" s="3">
        <v>0.78</v>
      </c>
      <c r="J952" s="3">
        <v>0.37</v>
      </c>
      <c r="K952" s="3">
        <v>0.15</v>
      </c>
      <c r="L952" s="3">
        <v>0.37</v>
      </c>
      <c r="M952" s="2" t="s">
        <v>17</v>
      </c>
      <c r="N952" s="3" t="str" cm="1">
        <f t="array" ref="N952">_xlfn.IFS(G952&gt;=90,"Excellent",G952&gt;=80,"Good",G952&gt;=70,"Average",G952&lt;70,"Poor")</f>
        <v>Average</v>
      </c>
    </row>
    <row r="953" spans="1:14" x14ac:dyDescent="0.35">
      <c r="A953" s="2">
        <v>952</v>
      </c>
      <c r="B953" s="2" t="s">
        <v>994</v>
      </c>
      <c r="C953" s="2" t="s">
        <v>14</v>
      </c>
      <c r="D953" s="2" t="s">
        <v>29</v>
      </c>
      <c r="E953" s="2" t="s">
        <v>49</v>
      </c>
      <c r="F953" s="2">
        <v>2011</v>
      </c>
      <c r="G953" s="2">
        <v>81</v>
      </c>
      <c r="H953" s="3">
        <v>0.59</v>
      </c>
      <c r="I953" s="3">
        <v>0.26</v>
      </c>
      <c r="J953" s="3">
        <v>0.2</v>
      </c>
      <c r="K953" s="3">
        <v>0.05</v>
      </c>
      <c r="L953" s="3">
        <v>0.08</v>
      </c>
      <c r="M953" s="2" t="s">
        <v>17</v>
      </c>
      <c r="N953" s="3" t="str" cm="1">
        <f t="array" ref="N953">_xlfn.IFS(G953&gt;=90,"Excellent",G953&gt;=80,"Good",G953&gt;=70,"Average",G953&lt;70,"Poor")</f>
        <v>Good</v>
      </c>
    </row>
    <row r="954" spans="1:14" x14ac:dyDescent="0.35">
      <c r="A954" s="2">
        <v>953</v>
      </c>
      <c r="B954" s="2" t="s">
        <v>995</v>
      </c>
      <c r="C954" s="2" t="s">
        <v>31</v>
      </c>
      <c r="D954" s="2" t="s">
        <v>15</v>
      </c>
      <c r="E954" s="2" t="s">
        <v>54</v>
      </c>
      <c r="F954" s="2">
        <v>2003</v>
      </c>
      <c r="G954" s="2">
        <v>71</v>
      </c>
      <c r="H954" s="3">
        <v>2.74</v>
      </c>
      <c r="I954" s="3">
        <v>1.22</v>
      </c>
      <c r="J954" s="3">
        <v>0.59</v>
      </c>
      <c r="K954" s="3">
        <v>0.49</v>
      </c>
      <c r="L954" s="3">
        <v>0.44</v>
      </c>
      <c r="M954" s="2" t="s">
        <v>27</v>
      </c>
      <c r="N954" s="3" t="str" cm="1">
        <f t="array" ref="N954">_xlfn.IFS(G954&gt;=90,"Excellent",G954&gt;=80,"Good",G954&gt;=70,"Average",G954&lt;70,"Poor")</f>
        <v>Average</v>
      </c>
    </row>
    <row r="955" spans="1:14" x14ac:dyDescent="0.35">
      <c r="A955" s="2">
        <v>954</v>
      </c>
      <c r="B955" s="2" t="s">
        <v>996</v>
      </c>
      <c r="C955" s="2" t="s">
        <v>64</v>
      </c>
      <c r="D955" s="2" t="s">
        <v>15</v>
      </c>
      <c r="E955" s="2" t="s">
        <v>54</v>
      </c>
      <c r="F955" s="2">
        <v>2017</v>
      </c>
      <c r="G955" s="2">
        <v>87</v>
      </c>
      <c r="H955" s="3">
        <v>0.77</v>
      </c>
      <c r="I955" s="3">
        <v>0.33</v>
      </c>
      <c r="J955" s="3">
        <v>0.22</v>
      </c>
      <c r="K955" s="3">
        <v>0.12</v>
      </c>
      <c r="L955" s="3">
        <v>0.1</v>
      </c>
      <c r="M955" s="2" t="s">
        <v>17</v>
      </c>
      <c r="N955" s="3" t="str" cm="1">
        <f t="array" ref="N955">_xlfn.IFS(G955&gt;=90,"Excellent",G955&gt;=80,"Good",G955&gt;=70,"Average",G955&lt;70,"Poor")</f>
        <v>Good</v>
      </c>
    </row>
    <row r="956" spans="1:14" x14ac:dyDescent="0.35">
      <c r="A956" s="2">
        <v>955</v>
      </c>
      <c r="B956" s="2" t="s">
        <v>997</v>
      </c>
      <c r="C956" s="2" t="s">
        <v>59</v>
      </c>
      <c r="D956" s="2" t="s">
        <v>29</v>
      </c>
      <c r="E956" s="2" t="s">
        <v>74</v>
      </c>
      <c r="F956" s="2">
        <v>1997</v>
      </c>
      <c r="G956" s="2">
        <v>61</v>
      </c>
      <c r="H956" s="3">
        <v>0.72</v>
      </c>
      <c r="I956" s="3">
        <v>0.32</v>
      </c>
      <c r="J956" s="3">
        <v>0.19</v>
      </c>
      <c r="K956" s="3">
        <v>0.08</v>
      </c>
      <c r="L956" s="3">
        <v>0.13</v>
      </c>
      <c r="M956" s="2" t="s">
        <v>17</v>
      </c>
      <c r="N956" s="3" t="str" cm="1">
        <f t="array" ref="N956">_xlfn.IFS(G956&gt;=90,"Excellent",G956&gt;=80,"Good",G956&gt;=70,"Average",G956&lt;70,"Poor")</f>
        <v>Poor</v>
      </c>
    </row>
    <row r="957" spans="1:14" x14ac:dyDescent="0.35">
      <c r="A957" s="2">
        <v>956</v>
      </c>
      <c r="B957" s="2" t="s">
        <v>998</v>
      </c>
      <c r="C957" s="2" t="s">
        <v>64</v>
      </c>
      <c r="D957" s="2" t="s">
        <v>51</v>
      </c>
      <c r="E957" s="2" t="s">
        <v>16</v>
      </c>
      <c r="F957" s="2">
        <v>2017</v>
      </c>
      <c r="G957" s="2">
        <v>92</v>
      </c>
      <c r="H957" s="3">
        <v>0.37</v>
      </c>
      <c r="I957" s="3">
        <v>0.18</v>
      </c>
      <c r="J957" s="3">
        <v>0.1</v>
      </c>
      <c r="K957" s="3">
        <v>0.04</v>
      </c>
      <c r="L957" s="3">
        <v>0.05</v>
      </c>
      <c r="M957" s="2" t="s">
        <v>24</v>
      </c>
      <c r="N957" s="3" t="str" cm="1">
        <f t="array" ref="N957">_xlfn.IFS(G957&gt;=90,"Excellent",G957&gt;=80,"Good",G957&gt;=70,"Average",G957&lt;70,"Poor")</f>
        <v>Excellent</v>
      </c>
    </row>
    <row r="958" spans="1:14" x14ac:dyDescent="0.35">
      <c r="A958" s="2">
        <v>957</v>
      </c>
      <c r="B958" s="2" t="s">
        <v>999</v>
      </c>
      <c r="C958" s="2" t="s">
        <v>23</v>
      </c>
      <c r="D958" s="2" t="s">
        <v>2</v>
      </c>
      <c r="E958" s="2" t="s">
        <v>46</v>
      </c>
      <c r="F958" s="2">
        <v>2025</v>
      </c>
      <c r="G958" s="2">
        <v>74</v>
      </c>
      <c r="H958" s="3">
        <v>0.73</v>
      </c>
      <c r="I958" s="3">
        <v>0.33</v>
      </c>
      <c r="J958" s="3">
        <v>0.2</v>
      </c>
      <c r="K958" s="3">
        <v>0.09</v>
      </c>
      <c r="L958" s="3">
        <v>0.11</v>
      </c>
      <c r="M958" s="2" t="s">
        <v>17</v>
      </c>
      <c r="N958" s="3" t="str" cm="1">
        <f t="array" ref="N958">_xlfn.IFS(G958&gt;=90,"Excellent",G958&gt;=80,"Good",G958&gt;=70,"Average",G958&lt;70,"Poor")</f>
        <v>Average</v>
      </c>
    </row>
    <row r="959" spans="1:14" x14ac:dyDescent="0.35">
      <c r="A959" s="2">
        <v>958</v>
      </c>
      <c r="B959" s="2" t="s">
        <v>1000</v>
      </c>
      <c r="C959" s="2" t="s">
        <v>19</v>
      </c>
      <c r="D959" s="2" t="s">
        <v>29</v>
      </c>
      <c r="E959" s="2" t="s">
        <v>41</v>
      </c>
      <c r="F959" s="2">
        <v>2017</v>
      </c>
      <c r="G959" s="2">
        <v>64</v>
      </c>
      <c r="H959" s="3">
        <v>0.7</v>
      </c>
      <c r="I959" s="3">
        <v>0.37</v>
      </c>
      <c r="J959" s="3">
        <v>0.17</v>
      </c>
      <c r="K959" s="3">
        <v>7.0000000000000007E-2</v>
      </c>
      <c r="L959" s="3">
        <v>0.09</v>
      </c>
      <c r="M959" s="2" t="s">
        <v>17</v>
      </c>
      <c r="N959" s="3" t="str" cm="1">
        <f t="array" ref="N959">_xlfn.IFS(G959&gt;=90,"Excellent",G959&gt;=80,"Good",G959&gt;=70,"Average",G959&lt;70,"Poor")</f>
        <v>Poor</v>
      </c>
    </row>
    <row r="960" spans="1:14" x14ac:dyDescent="0.35">
      <c r="A960" s="2">
        <v>959</v>
      </c>
      <c r="B960" s="2" t="s">
        <v>1001</v>
      </c>
      <c r="C960" s="2" t="s">
        <v>31</v>
      </c>
      <c r="D960" s="2" t="s">
        <v>51</v>
      </c>
      <c r="E960" s="2" t="s">
        <v>46</v>
      </c>
      <c r="F960" s="2">
        <v>2000</v>
      </c>
      <c r="G960" s="2">
        <v>69</v>
      </c>
      <c r="H960" s="3">
        <v>1.6</v>
      </c>
      <c r="I960" s="3">
        <v>0.82</v>
      </c>
      <c r="J960" s="3">
        <v>0.53</v>
      </c>
      <c r="K960" s="3">
        <v>0.25</v>
      </c>
      <c r="L960" s="3">
        <v>0</v>
      </c>
      <c r="M960" s="2" t="s">
        <v>17</v>
      </c>
      <c r="N960" s="3" t="str" cm="1">
        <f t="array" ref="N960">_xlfn.IFS(G960&gt;=90,"Excellent",G960&gt;=80,"Good",G960&gt;=70,"Average",G960&lt;70,"Poor")</f>
        <v>Poor</v>
      </c>
    </row>
    <row r="961" spans="1:14" x14ac:dyDescent="0.35">
      <c r="A961" s="2">
        <v>960</v>
      </c>
      <c r="B961" s="2" t="s">
        <v>1002</v>
      </c>
      <c r="C961" s="2" t="s">
        <v>31</v>
      </c>
      <c r="D961" s="2" t="s">
        <v>51</v>
      </c>
      <c r="E961" s="2" t="s">
        <v>54</v>
      </c>
      <c r="F961" s="2">
        <v>2005</v>
      </c>
      <c r="G961" s="2">
        <v>90</v>
      </c>
      <c r="H961" s="3">
        <v>5.6</v>
      </c>
      <c r="I961" s="3">
        <v>1.99</v>
      </c>
      <c r="J961" s="3">
        <v>1.88</v>
      </c>
      <c r="K961" s="3">
        <v>1.0900000000000001</v>
      </c>
      <c r="L961" s="3">
        <v>0.64</v>
      </c>
      <c r="M961" s="2" t="s">
        <v>21</v>
      </c>
      <c r="N961" s="3" t="str" cm="1">
        <f t="array" ref="N961">_xlfn.IFS(G961&gt;=90,"Excellent",G961&gt;=80,"Good",G961&gt;=70,"Average",G961&lt;70,"Poor")</f>
        <v>Excellent</v>
      </c>
    </row>
    <row r="962" spans="1:14" x14ac:dyDescent="0.35">
      <c r="A962" s="2">
        <v>961</v>
      </c>
      <c r="B962" s="2" t="s">
        <v>1003</v>
      </c>
      <c r="C962" s="2" t="s">
        <v>23</v>
      </c>
      <c r="D962" s="2" t="s">
        <v>48</v>
      </c>
      <c r="E962" s="2" t="s">
        <v>20</v>
      </c>
      <c r="F962" s="2">
        <v>2024</v>
      </c>
      <c r="G962" s="2">
        <v>78</v>
      </c>
      <c r="H962" s="3">
        <v>1.1100000000000001</v>
      </c>
      <c r="I962" s="3">
        <v>0.5</v>
      </c>
      <c r="J962" s="3">
        <v>0.36</v>
      </c>
      <c r="K962" s="3">
        <v>0.1</v>
      </c>
      <c r="L962" s="3">
        <v>0.15</v>
      </c>
      <c r="M962" s="2" t="s">
        <v>17</v>
      </c>
      <c r="N962" s="3" t="str" cm="1">
        <f t="array" ref="N962">_xlfn.IFS(G962&gt;=90,"Excellent",G962&gt;=80,"Good",G962&gt;=70,"Average",G962&lt;70,"Poor")</f>
        <v>Average</v>
      </c>
    </row>
    <row r="963" spans="1:14" x14ac:dyDescent="0.35">
      <c r="A963" s="2">
        <v>962</v>
      </c>
      <c r="B963" s="2" t="s">
        <v>1004</v>
      </c>
      <c r="C963" s="2" t="s">
        <v>59</v>
      </c>
      <c r="D963" s="2" t="s">
        <v>33</v>
      </c>
      <c r="E963" s="2" t="s">
        <v>16</v>
      </c>
      <c r="F963" s="2">
        <v>2000</v>
      </c>
      <c r="G963" s="2">
        <v>71</v>
      </c>
      <c r="H963" s="3">
        <v>0.14000000000000001</v>
      </c>
      <c r="I963" s="3">
        <v>0.08</v>
      </c>
      <c r="J963" s="3">
        <v>0.04</v>
      </c>
      <c r="K963" s="3">
        <v>0.02</v>
      </c>
      <c r="L963" s="3">
        <v>0</v>
      </c>
      <c r="M963" s="2" t="s">
        <v>24</v>
      </c>
      <c r="N963" s="3" t="str" cm="1">
        <f t="array" ref="N963">_xlfn.IFS(G963&gt;=90,"Excellent",G963&gt;=80,"Good",G963&gt;=70,"Average",G963&lt;70,"Poor")</f>
        <v>Average</v>
      </c>
    </row>
    <row r="964" spans="1:14" x14ac:dyDescent="0.35">
      <c r="A964" s="2">
        <v>963</v>
      </c>
      <c r="B964" s="2" t="s">
        <v>1005</v>
      </c>
      <c r="C964" s="2" t="s">
        <v>31</v>
      </c>
      <c r="D964" s="2" t="s">
        <v>33</v>
      </c>
      <c r="E964" s="2" t="s">
        <v>43</v>
      </c>
      <c r="F964" s="2">
        <v>2005</v>
      </c>
      <c r="G964" s="2">
        <v>76</v>
      </c>
      <c r="H964" s="3">
        <v>0.26</v>
      </c>
      <c r="I964" s="3">
        <v>0.12</v>
      </c>
      <c r="J964" s="3">
        <v>0.08</v>
      </c>
      <c r="K964" s="3">
        <v>0.04</v>
      </c>
      <c r="L964" s="3">
        <v>0.02</v>
      </c>
      <c r="M964" s="2" t="s">
        <v>24</v>
      </c>
      <c r="N964" s="3" t="str" cm="1">
        <f t="array" ref="N964">_xlfn.IFS(G964&gt;=90,"Excellent",G964&gt;=80,"Good",G964&gt;=70,"Average",G964&lt;70,"Poor")</f>
        <v>Average</v>
      </c>
    </row>
    <row r="965" spans="1:14" x14ac:dyDescent="0.35">
      <c r="A965" s="2">
        <v>964</v>
      </c>
      <c r="B965" s="2" t="s">
        <v>1006</v>
      </c>
      <c r="C965" s="2" t="s">
        <v>14</v>
      </c>
      <c r="D965" s="2" t="s">
        <v>45</v>
      </c>
      <c r="E965" s="2" t="s">
        <v>49</v>
      </c>
      <c r="F965" s="2">
        <v>2006</v>
      </c>
      <c r="G965" s="2">
        <v>67</v>
      </c>
      <c r="H965" s="3">
        <v>2.79</v>
      </c>
      <c r="I965" s="3">
        <v>1.47</v>
      </c>
      <c r="J965" s="3">
        <v>0.56999999999999995</v>
      </c>
      <c r="K965" s="3">
        <v>0.41</v>
      </c>
      <c r="L965" s="3">
        <v>0.34</v>
      </c>
      <c r="M965" s="2" t="s">
        <v>27</v>
      </c>
      <c r="N965" s="3" t="str" cm="1">
        <f t="array" ref="N965">_xlfn.IFS(G965&gt;=90,"Excellent",G965&gt;=80,"Good",G965&gt;=70,"Average",G965&lt;70,"Poor")</f>
        <v>Poor</v>
      </c>
    </row>
    <row r="966" spans="1:14" x14ac:dyDescent="0.35">
      <c r="A966" s="2">
        <v>965</v>
      </c>
      <c r="B966" s="2" t="s">
        <v>1007</v>
      </c>
      <c r="C966" s="2" t="s">
        <v>59</v>
      </c>
      <c r="D966" s="2" t="s">
        <v>37</v>
      </c>
      <c r="E966" s="2" t="s">
        <v>74</v>
      </c>
      <c r="F966" s="2">
        <v>1996</v>
      </c>
      <c r="G966" s="2">
        <v>98</v>
      </c>
      <c r="H966" s="3">
        <v>0.17</v>
      </c>
      <c r="I966" s="3">
        <v>0.08</v>
      </c>
      <c r="J966" s="3">
        <v>0.04</v>
      </c>
      <c r="K966" s="3">
        <v>0.02</v>
      </c>
      <c r="L966" s="3">
        <v>0.03</v>
      </c>
      <c r="M966" s="2" t="s">
        <v>24</v>
      </c>
      <c r="N966" s="3" t="str" cm="1">
        <f t="array" ref="N966">_xlfn.IFS(G966&gt;=90,"Excellent",G966&gt;=80,"Good",G966&gt;=70,"Average",G966&lt;70,"Poor")</f>
        <v>Excellent</v>
      </c>
    </row>
    <row r="967" spans="1:14" x14ac:dyDescent="0.35">
      <c r="A967" s="2">
        <v>966</v>
      </c>
      <c r="B967" s="2" t="s">
        <v>1008</v>
      </c>
      <c r="C967" s="2" t="s">
        <v>31</v>
      </c>
      <c r="D967" s="2" t="s">
        <v>33</v>
      </c>
      <c r="E967" s="2" t="s">
        <v>60</v>
      </c>
      <c r="F967" s="2">
        <v>2001</v>
      </c>
      <c r="G967" s="2">
        <v>82</v>
      </c>
      <c r="H967" s="3">
        <v>0.15</v>
      </c>
      <c r="I967" s="3">
        <v>0.06</v>
      </c>
      <c r="J967" s="3">
        <v>0.03</v>
      </c>
      <c r="K967" s="3">
        <v>0.02</v>
      </c>
      <c r="L967" s="3">
        <v>0.04</v>
      </c>
      <c r="M967" s="2" t="s">
        <v>24</v>
      </c>
      <c r="N967" s="3" t="str" cm="1">
        <f t="array" ref="N967">_xlfn.IFS(G967&gt;=90,"Excellent",G967&gt;=80,"Good",G967&gt;=70,"Average",G967&lt;70,"Poor")</f>
        <v>Good</v>
      </c>
    </row>
    <row r="968" spans="1:14" x14ac:dyDescent="0.35">
      <c r="A968" s="2">
        <v>967</v>
      </c>
      <c r="B968" s="2" t="s">
        <v>1009</v>
      </c>
      <c r="C968" s="2" t="s">
        <v>14</v>
      </c>
      <c r="D968" s="2" t="s">
        <v>2</v>
      </c>
      <c r="E968" s="2" t="s">
        <v>52</v>
      </c>
      <c r="F968" s="2">
        <v>2012</v>
      </c>
      <c r="G968" s="2">
        <v>88</v>
      </c>
      <c r="H968" s="3">
        <v>0.79</v>
      </c>
      <c r="I968" s="3">
        <v>0.32</v>
      </c>
      <c r="J968" s="3">
        <v>0.19</v>
      </c>
      <c r="K968" s="3">
        <v>7.0000000000000007E-2</v>
      </c>
      <c r="L968" s="3">
        <v>0.21</v>
      </c>
      <c r="M968" s="2" t="s">
        <v>17</v>
      </c>
      <c r="N968" s="3" t="str" cm="1">
        <f t="array" ref="N968">_xlfn.IFS(G968&gt;=90,"Excellent",G968&gt;=80,"Good",G968&gt;=70,"Average",G968&lt;70,"Poor")</f>
        <v>Good</v>
      </c>
    </row>
    <row r="969" spans="1:14" x14ac:dyDescent="0.35">
      <c r="A969" s="2">
        <v>968</v>
      </c>
      <c r="B969" s="2" t="s">
        <v>1010</v>
      </c>
      <c r="C969" s="2" t="s">
        <v>19</v>
      </c>
      <c r="D969" s="2" t="s">
        <v>45</v>
      </c>
      <c r="E969" s="2" t="s">
        <v>74</v>
      </c>
      <c r="F969" s="2">
        <v>2020</v>
      </c>
      <c r="G969" s="2">
        <v>85</v>
      </c>
      <c r="H969" s="3">
        <v>0.56000000000000005</v>
      </c>
      <c r="I969" s="3">
        <v>0.28999999999999998</v>
      </c>
      <c r="J969" s="3">
        <v>0.18</v>
      </c>
      <c r="K969" s="3">
        <v>0.09</v>
      </c>
      <c r="L969" s="3">
        <v>0</v>
      </c>
      <c r="M969" s="2" t="s">
        <v>17</v>
      </c>
      <c r="N969" s="3" t="str" cm="1">
        <f t="array" ref="N969">_xlfn.IFS(G969&gt;=90,"Excellent",G969&gt;=80,"Good",G969&gt;=70,"Average",G969&lt;70,"Poor")</f>
        <v>Good</v>
      </c>
    </row>
    <row r="970" spans="1:14" x14ac:dyDescent="0.35">
      <c r="A970" s="2">
        <v>969</v>
      </c>
      <c r="B970" s="2" t="s">
        <v>1011</v>
      </c>
      <c r="C970" s="2" t="s">
        <v>19</v>
      </c>
      <c r="D970" s="2" t="s">
        <v>29</v>
      </c>
      <c r="E970" s="2" t="s">
        <v>52</v>
      </c>
      <c r="F970" s="2">
        <v>2020</v>
      </c>
      <c r="G970" s="2">
        <v>66</v>
      </c>
      <c r="H970" s="3">
        <v>0.75</v>
      </c>
      <c r="I970" s="3">
        <v>0.28000000000000003</v>
      </c>
      <c r="J970" s="3">
        <v>0.23</v>
      </c>
      <c r="K970" s="3">
        <v>0.12</v>
      </c>
      <c r="L970" s="3">
        <v>0.12</v>
      </c>
      <c r="M970" s="2" t="s">
        <v>17</v>
      </c>
      <c r="N970" s="3" t="str" cm="1">
        <f t="array" ref="N970">_xlfn.IFS(G970&gt;=90,"Excellent",G970&gt;=80,"Good",G970&gt;=70,"Average",G970&lt;70,"Poor")</f>
        <v>Poor</v>
      </c>
    </row>
    <row r="971" spans="1:14" x14ac:dyDescent="0.35">
      <c r="A971" s="2">
        <v>970</v>
      </c>
      <c r="B971" s="2" t="s">
        <v>1012</v>
      </c>
      <c r="C971" s="2" t="s">
        <v>64</v>
      </c>
      <c r="D971" s="2" t="s">
        <v>62</v>
      </c>
      <c r="E971" s="2" t="s">
        <v>74</v>
      </c>
      <c r="F971" s="2">
        <v>2018</v>
      </c>
      <c r="G971" s="2">
        <v>56</v>
      </c>
      <c r="H971" s="3">
        <v>0.15</v>
      </c>
      <c r="I971" s="3">
        <v>0.08</v>
      </c>
      <c r="J971" s="3">
        <v>0.05</v>
      </c>
      <c r="K971" s="3">
        <v>0.01</v>
      </c>
      <c r="L971" s="3">
        <v>0.01</v>
      </c>
      <c r="M971" s="2" t="s">
        <v>24</v>
      </c>
      <c r="N971" s="3" t="str" cm="1">
        <f t="array" ref="N971">_xlfn.IFS(G971&gt;=90,"Excellent",G971&gt;=80,"Good",G971&gt;=70,"Average",G971&lt;70,"Poor")</f>
        <v>Poor</v>
      </c>
    </row>
    <row r="972" spans="1:14" x14ac:dyDescent="0.35">
      <c r="A972" s="2">
        <v>971</v>
      </c>
      <c r="B972" s="2" t="s">
        <v>1013</v>
      </c>
      <c r="C972" s="2" t="s">
        <v>64</v>
      </c>
      <c r="D972" s="2" t="s">
        <v>51</v>
      </c>
      <c r="E972" s="2" t="s">
        <v>43</v>
      </c>
      <c r="F972" s="2">
        <v>2016</v>
      </c>
      <c r="G972" s="2">
        <v>83</v>
      </c>
      <c r="H972" s="3">
        <v>0.25</v>
      </c>
      <c r="I972" s="3">
        <v>0.09</v>
      </c>
      <c r="J972" s="3">
        <v>7.0000000000000007E-2</v>
      </c>
      <c r="K972" s="3">
        <v>0.02</v>
      </c>
      <c r="L972" s="3">
        <v>7.0000000000000007E-2</v>
      </c>
      <c r="M972" s="2" t="s">
        <v>24</v>
      </c>
      <c r="N972" s="3" t="str" cm="1">
        <f t="array" ref="N972">_xlfn.IFS(G972&gt;=90,"Excellent",G972&gt;=80,"Good",G972&gt;=70,"Average",G972&lt;70,"Poor")</f>
        <v>Good</v>
      </c>
    </row>
    <row r="973" spans="1:14" x14ac:dyDescent="0.35">
      <c r="A973" s="2">
        <v>972</v>
      </c>
      <c r="B973" s="2" t="s">
        <v>1014</v>
      </c>
      <c r="C973" s="2" t="s">
        <v>57</v>
      </c>
      <c r="D973" s="2" t="s">
        <v>51</v>
      </c>
      <c r="E973" s="2" t="s">
        <v>16</v>
      </c>
      <c r="F973" s="2">
        <v>2004</v>
      </c>
      <c r="G973" s="2">
        <v>91</v>
      </c>
      <c r="H973" s="3">
        <v>1.67</v>
      </c>
      <c r="I973" s="3">
        <v>0.84</v>
      </c>
      <c r="J973" s="3">
        <v>0.36</v>
      </c>
      <c r="K973" s="3">
        <v>0.33</v>
      </c>
      <c r="L973" s="3">
        <v>0.14000000000000001</v>
      </c>
      <c r="M973" s="2" t="s">
        <v>17</v>
      </c>
      <c r="N973" s="3" t="str" cm="1">
        <f t="array" ref="N973">_xlfn.IFS(G973&gt;=90,"Excellent",G973&gt;=80,"Good",G973&gt;=70,"Average",G973&lt;70,"Poor")</f>
        <v>Excellent</v>
      </c>
    </row>
    <row r="974" spans="1:14" x14ac:dyDescent="0.35">
      <c r="A974" s="2">
        <v>973</v>
      </c>
      <c r="B974" s="2" t="s">
        <v>1015</v>
      </c>
      <c r="C974" s="2" t="s">
        <v>23</v>
      </c>
      <c r="D974" s="2" t="s">
        <v>37</v>
      </c>
      <c r="E974" s="2" t="s">
        <v>74</v>
      </c>
      <c r="F974" s="2">
        <v>2022</v>
      </c>
      <c r="G974" s="2">
        <v>56</v>
      </c>
      <c r="H974" s="3">
        <v>1.23</v>
      </c>
      <c r="I974" s="3">
        <v>0.6</v>
      </c>
      <c r="J974" s="3">
        <v>0.41</v>
      </c>
      <c r="K974" s="3">
        <v>0.2</v>
      </c>
      <c r="L974" s="3">
        <v>0.02</v>
      </c>
      <c r="M974" s="2" t="s">
        <v>17</v>
      </c>
      <c r="N974" s="3" t="str" cm="1">
        <f t="array" ref="N974">_xlfn.IFS(G974&gt;=90,"Excellent",G974&gt;=80,"Good",G974&gt;=70,"Average",G974&lt;70,"Poor")</f>
        <v>Poor</v>
      </c>
    </row>
    <row r="975" spans="1:14" x14ac:dyDescent="0.35">
      <c r="A975" s="2">
        <v>974</v>
      </c>
      <c r="B975" s="2" t="s">
        <v>1016</v>
      </c>
      <c r="C975" s="2" t="s">
        <v>23</v>
      </c>
      <c r="D975" s="2" t="s">
        <v>15</v>
      </c>
      <c r="E975" s="2" t="s">
        <v>60</v>
      </c>
      <c r="F975" s="2">
        <v>2020</v>
      </c>
      <c r="G975" s="2">
        <v>89</v>
      </c>
      <c r="H975" s="3">
        <v>0.42</v>
      </c>
      <c r="I975" s="3">
        <v>0.19</v>
      </c>
      <c r="J975" s="3">
        <v>0.14000000000000001</v>
      </c>
      <c r="K975" s="3">
        <v>0.04</v>
      </c>
      <c r="L975" s="3">
        <v>0.05</v>
      </c>
      <c r="M975" s="2" t="s">
        <v>24</v>
      </c>
      <c r="N975" s="3" t="str" cm="1">
        <f t="array" ref="N975">_xlfn.IFS(G975&gt;=90,"Excellent",G975&gt;=80,"Good",G975&gt;=70,"Average",G975&lt;70,"Poor")</f>
        <v>Good</v>
      </c>
    </row>
    <row r="976" spans="1:14" x14ac:dyDescent="0.35">
      <c r="A976" s="2">
        <v>975</v>
      </c>
      <c r="B976" s="2" t="s">
        <v>1017</v>
      </c>
      <c r="C976" s="2" t="s">
        <v>64</v>
      </c>
      <c r="D976" s="2" t="s">
        <v>29</v>
      </c>
      <c r="E976" s="2" t="s">
        <v>43</v>
      </c>
      <c r="F976" s="2">
        <v>2013</v>
      </c>
      <c r="G976" s="2">
        <v>90</v>
      </c>
      <c r="H976" s="3">
        <v>0.22</v>
      </c>
      <c r="I976" s="3">
        <v>0.08</v>
      </c>
      <c r="J976" s="3">
        <v>0.05</v>
      </c>
      <c r="K976" s="3">
        <v>0.02</v>
      </c>
      <c r="L976" s="3">
        <v>7.0000000000000007E-2</v>
      </c>
      <c r="M976" s="2" t="s">
        <v>24</v>
      </c>
      <c r="N976" s="3" t="str" cm="1">
        <f t="array" ref="N976">_xlfn.IFS(G976&gt;=90,"Excellent",G976&gt;=80,"Good",G976&gt;=70,"Average",G976&lt;70,"Poor")</f>
        <v>Excellent</v>
      </c>
    </row>
    <row r="977" spans="1:14" x14ac:dyDescent="0.35">
      <c r="A977" s="2">
        <v>976</v>
      </c>
      <c r="B977" s="2" t="s">
        <v>1018</v>
      </c>
      <c r="C977" s="2" t="s">
        <v>64</v>
      </c>
      <c r="D977" s="2" t="s">
        <v>15</v>
      </c>
      <c r="E977" s="2" t="s">
        <v>46</v>
      </c>
      <c r="F977" s="2">
        <v>2014</v>
      </c>
      <c r="G977" s="2">
        <v>96</v>
      </c>
      <c r="H977" s="3">
        <v>0.13</v>
      </c>
      <c r="I977" s="3">
        <v>7.0000000000000007E-2</v>
      </c>
      <c r="J977" s="3">
        <v>0.04</v>
      </c>
      <c r="K977" s="3">
        <v>0.01</v>
      </c>
      <c r="L977" s="3">
        <v>0.01</v>
      </c>
      <c r="M977" s="2" t="s">
        <v>24</v>
      </c>
      <c r="N977" s="3" t="str" cm="1">
        <f t="array" ref="N977">_xlfn.IFS(G977&gt;=90,"Excellent",G977&gt;=80,"Good",G977&gt;=70,"Average",G977&lt;70,"Poor")</f>
        <v>Excellent</v>
      </c>
    </row>
    <row r="978" spans="1:14" x14ac:dyDescent="0.35">
      <c r="A978" s="2">
        <v>977</v>
      </c>
      <c r="B978" s="2" t="s">
        <v>1019</v>
      </c>
      <c r="C978" s="2" t="s">
        <v>23</v>
      </c>
      <c r="D978" s="2" t="s">
        <v>45</v>
      </c>
      <c r="E978" s="2" t="s">
        <v>20</v>
      </c>
      <c r="F978" s="2">
        <v>2025</v>
      </c>
      <c r="G978" s="2">
        <v>93</v>
      </c>
      <c r="H978" s="3">
        <v>0.92</v>
      </c>
      <c r="I978" s="3">
        <v>0.47</v>
      </c>
      <c r="J978" s="3">
        <v>0.3</v>
      </c>
      <c r="K978" s="3">
        <v>0.15</v>
      </c>
      <c r="L978" s="3">
        <v>0</v>
      </c>
      <c r="M978" s="2" t="s">
        <v>17</v>
      </c>
      <c r="N978" s="3" t="str" cm="1">
        <f t="array" ref="N978">_xlfn.IFS(G978&gt;=90,"Excellent",G978&gt;=80,"Good",G978&gt;=70,"Average",G978&lt;70,"Poor")</f>
        <v>Excellent</v>
      </c>
    </row>
    <row r="979" spans="1:14" x14ac:dyDescent="0.35">
      <c r="A979" s="2">
        <v>978</v>
      </c>
      <c r="B979" s="2" t="s">
        <v>1020</v>
      </c>
      <c r="C979" s="2" t="s">
        <v>19</v>
      </c>
      <c r="D979" s="2" t="s">
        <v>15</v>
      </c>
      <c r="E979" s="2" t="s">
        <v>46</v>
      </c>
      <c r="F979" s="2">
        <v>2021</v>
      </c>
      <c r="G979" s="2">
        <v>67</v>
      </c>
      <c r="H979" s="3">
        <v>0.98</v>
      </c>
      <c r="I979" s="3">
        <v>0.43</v>
      </c>
      <c r="J979" s="3">
        <v>0.23</v>
      </c>
      <c r="K979" s="3">
        <v>0.11</v>
      </c>
      <c r="L979" s="3">
        <v>0.21</v>
      </c>
      <c r="M979" s="2" t="s">
        <v>17</v>
      </c>
      <c r="N979" s="3" t="str" cm="1">
        <f t="array" ref="N979">_xlfn.IFS(G979&gt;=90,"Excellent",G979&gt;=80,"Good",G979&gt;=70,"Average",G979&lt;70,"Poor")</f>
        <v>Poor</v>
      </c>
    </row>
    <row r="980" spans="1:14" x14ac:dyDescent="0.35">
      <c r="A980" s="2">
        <v>979</v>
      </c>
      <c r="B980" s="2" t="s">
        <v>1021</v>
      </c>
      <c r="C980" s="2" t="s">
        <v>14</v>
      </c>
      <c r="D980" s="2" t="s">
        <v>51</v>
      </c>
      <c r="E980" s="2" t="s">
        <v>60</v>
      </c>
      <c r="F980" s="2">
        <v>2013</v>
      </c>
      <c r="G980" s="2">
        <v>79</v>
      </c>
      <c r="H980" s="3">
        <v>0.13</v>
      </c>
      <c r="I980" s="3">
        <v>0.06</v>
      </c>
      <c r="J980" s="3">
        <v>0.03</v>
      </c>
      <c r="K980" s="3">
        <v>0.02</v>
      </c>
      <c r="L980" s="3">
        <v>0.02</v>
      </c>
      <c r="M980" s="2" t="s">
        <v>24</v>
      </c>
      <c r="N980" s="3" t="str" cm="1">
        <f t="array" ref="N980">_xlfn.IFS(G980&gt;=90,"Excellent",G980&gt;=80,"Good",G980&gt;=70,"Average",G980&lt;70,"Poor")</f>
        <v>Average</v>
      </c>
    </row>
    <row r="981" spans="1:14" x14ac:dyDescent="0.35">
      <c r="A981" s="2">
        <v>980</v>
      </c>
      <c r="B981" s="2" t="s">
        <v>1022</v>
      </c>
      <c r="C981" s="2" t="s">
        <v>59</v>
      </c>
      <c r="D981" s="2" t="s">
        <v>48</v>
      </c>
      <c r="E981" s="2" t="s">
        <v>74</v>
      </c>
      <c r="F981" s="2">
        <v>1998</v>
      </c>
      <c r="G981" s="2">
        <v>69</v>
      </c>
      <c r="H981" s="3">
        <v>0.35</v>
      </c>
      <c r="I981" s="3">
        <v>0.13</v>
      </c>
      <c r="J981" s="3">
        <v>0.09</v>
      </c>
      <c r="K981" s="3">
        <v>0.03</v>
      </c>
      <c r="L981" s="3">
        <v>0.1</v>
      </c>
      <c r="M981" s="2" t="s">
        <v>24</v>
      </c>
      <c r="N981" s="3" t="str" cm="1">
        <f t="array" ref="N981">_xlfn.IFS(G981&gt;=90,"Excellent",G981&gt;=80,"Good",G981&gt;=70,"Average",G981&lt;70,"Poor")</f>
        <v>Poor</v>
      </c>
    </row>
    <row r="982" spans="1:14" x14ac:dyDescent="0.35">
      <c r="A982" s="2">
        <v>981</v>
      </c>
      <c r="B982" s="2" t="s">
        <v>1023</v>
      </c>
      <c r="C982" s="2" t="s">
        <v>57</v>
      </c>
      <c r="D982" s="2" t="s">
        <v>33</v>
      </c>
      <c r="E982" s="2" t="s">
        <v>60</v>
      </c>
      <c r="F982" s="2">
        <v>2005</v>
      </c>
      <c r="G982" s="2">
        <v>86</v>
      </c>
      <c r="H982" s="3">
        <v>0.56000000000000005</v>
      </c>
      <c r="I982" s="3">
        <v>0.24</v>
      </c>
      <c r="J982" s="3">
        <v>0.18</v>
      </c>
      <c r="K982" s="3">
        <v>7.0000000000000007E-2</v>
      </c>
      <c r="L982" s="3">
        <v>7.0000000000000007E-2</v>
      </c>
      <c r="M982" s="2" t="s">
        <v>17</v>
      </c>
      <c r="N982" s="3" t="str" cm="1">
        <f t="array" ref="N982">_xlfn.IFS(G982&gt;=90,"Excellent",G982&gt;=80,"Good",G982&gt;=70,"Average",G982&lt;70,"Poor")</f>
        <v>Good</v>
      </c>
    </row>
    <row r="983" spans="1:14" x14ac:dyDescent="0.35">
      <c r="A983" s="2">
        <v>982</v>
      </c>
      <c r="B983" s="2" t="s">
        <v>1024</v>
      </c>
      <c r="C983" s="2" t="s">
        <v>64</v>
      </c>
      <c r="D983" s="2" t="s">
        <v>15</v>
      </c>
      <c r="E983" s="2" t="s">
        <v>16</v>
      </c>
      <c r="F983" s="2">
        <v>2014</v>
      </c>
      <c r="G983" s="2">
        <v>74</v>
      </c>
      <c r="H983" s="3">
        <v>2.77</v>
      </c>
      <c r="I983" s="3">
        <v>0.99</v>
      </c>
      <c r="J983" s="3">
        <v>0.84</v>
      </c>
      <c r="K983" s="3">
        <v>0.39</v>
      </c>
      <c r="L983" s="3">
        <v>0.55000000000000004</v>
      </c>
      <c r="M983" s="2" t="s">
        <v>27</v>
      </c>
      <c r="N983" s="3" t="str" cm="1">
        <f t="array" ref="N983">_xlfn.IFS(G983&gt;=90,"Excellent",G983&gt;=80,"Good",G983&gt;=70,"Average",G983&lt;70,"Poor")</f>
        <v>Average</v>
      </c>
    </row>
    <row r="984" spans="1:14" x14ac:dyDescent="0.35">
      <c r="A984" s="2">
        <v>983</v>
      </c>
      <c r="B984" s="2" t="s">
        <v>1025</v>
      </c>
      <c r="C984" s="2" t="s">
        <v>64</v>
      </c>
      <c r="D984" s="2" t="s">
        <v>51</v>
      </c>
      <c r="E984" s="2" t="s">
        <v>52</v>
      </c>
      <c r="F984" s="2">
        <v>2011</v>
      </c>
      <c r="G984" s="2">
        <v>89</v>
      </c>
      <c r="H984" s="3">
        <v>0.28999999999999998</v>
      </c>
      <c r="I984" s="3">
        <v>0.12</v>
      </c>
      <c r="J984" s="3">
        <v>0.08</v>
      </c>
      <c r="K984" s="3">
        <v>0.04</v>
      </c>
      <c r="L984" s="3">
        <v>0.05</v>
      </c>
      <c r="M984" s="2" t="s">
        <v>24</v>
      </c>
      <c r="N984" s="3" t="str" cm="1">
        <f t="array" ref="N984">_xlfn.IFS(G984&gt;=90,"Excellent",G984&gt;=80,"Good",G984&gt;=70,"Average",G984&lt;70,"Poor")</f>
        <v>Good</v>
      </c>
    </row>
    <row r="985" spans="1:14" x14ac:dyDescent="0.35">
      <c r="A985" s="2">
        <v>984</v>
      </c>
      <c r="B985" s="2" t="s">
        <v>1026</v>
      </c>
      <c r="C985" s="2" t="s">
        <v>23</v>
      </c>
      <c r="D985" s="2" t="s">
        <v>33</v>
      </c>
      <c r="E985" s="2" t="s">
        <v>49</v>
      </c>
      <c r="F985" s="2">
        <v>2026</v>
      </c>
      <c r="G985" s="2">
        <v>79</v>
      </c>
      <c r="H985" s="3">
        <v>0.76</v>
      </c>
      <c r="I985" s="3">
        <v>0.3</v>
      </c>
      <c r="J985" s="3">
        <v>0.25</v>
      </c>
      <c r="K985" s="3">
        <v>0.05</v>
      </c>
      <c r="L985" s="3">
        <v>0.16</v>
      </c>
      <c r="M985" s="2" t="s">
        <v>17</v>
      </c>
      <c r="N985" s="3" t="str" cm="1">
        <f t="array" ref="N985">_xlfn.IFS(G985&gt;=90,"Excellent",G985&gt;=80,"Good",G985&gt;=70,"Average",G985&lt;70,"Poor")</f>
        <v>Average</v>
      </c>
    </row>
    <row r="986" spans="1:14" x14ac:dyDescent="0.35">
      <c r="A986" s="2">
        <v>985</v>
      </c>
      <c r="B986" s="2" t="s">
        <v>1027</v>
      </c>
      <c r="C986" s="2" t="s">
        <v>19</v>
      </c>
      <c r="D986" s="2" t="s">
        <v>37</v>
      </c>
      <c r="E986" s="2" t="s">
        <v>60</v>
      </c>
      <c r="F986" s="2">
        <v>2020</v>
      </c>
      <c r="G986" s="2">
        <v>90</v>
      </c>
      <c r="H986" s="3">
        <v>0.71</v>
      </c>
      <c r="I986" s="3">
        <v>0.27</v>
      </c>
      <c r="J986" s="3">
        <v>0.25</v>
      </c>
      <c r="K986" s="3">
        <v>0.11</v>
      </c>
      <c r="L986" s="3">
        <v>0.08</v>
      </c>
      <c r="M986" s="2" t="s">
        <v>17</v>
      </c>
      <c r="N986" s="3" t="str" cm="1">
        <f t="array" ref="N986">_xlfn.IFS(G986&gt;=90,"Excellent",G986&gt;=80,"Good",G986&gt;=70,"Average",G986&lt;70,"Poor")</f>
        <v>Excellent</v>
      </c>
    </row>
    <row r="987" spans="1:14" x14ac:dyDescent="0.35">
      <c r="A987" s="2">
        <v>986</v>
      </c>
      <c r="B987" s="2" t="s">
        <v>1028</v>
      </c>
      <c r="C987" s="2" t="s">
        <v>57</v>
      </c>
      <c r="D987" s="2" t="s">
        <v>65</v>
      </c>
      <c r="E987" s="2" t="s">
        <v>43</v>
      </c>
      <c r="F987" s="2">
        <v>2008</v>
      </c>
      <c r="G987" s="2">
        <v>91</v>
      </c>
      <c r="H987" s="3">
        <v>0.63</v>
      </c>
      <c r="I987" s="3">
        <v>0.28999999999999998</v>
      </c>
      <c r="J987" s="3">
        <v>0.15</v>
      </c>
      <c r="K987" s="3">
        <v>0.09</v>
      </c>
      <c r="L987" s="3">
        <v>0.1</v>
      </c>
      <c r="M987" s="2" t="s">
        <v>17</v>
      </c>
      <c r="N987" s="3" t="str" cm="1">
        <f t="array" ref="N987">_xlfn.IFS(G987&gt;=90,"Excellent",G987&gt;=80,"Good",G987&gt;=70,"Average",G987&lt;70,"Poor")</f>
        <v>Excellent</v>
      </c>
    </row>
    <row r="988" spans="1:14" x14ac:dyDescent="0.35">
      <c r="A988" s="2">
        <v>987</v>
      </c>
      <c r="B988" s="2" t="s">
        <v>1029</v>
      </c>
      <c r="C988" s="2" t="s">
        <v>57</v>
      </c>
      <c r="D988" s="2" t="s">
        <v>65</v>
      </c>
      <c r="E988" s="2" t="s">
        <v>74</v>
      </c>
      <c r="F988" s="2">
        <v>2009</v>
      </c>
      <c r="G988" s="2">
        <v>84</v>
      </c>
      <c r="H988" s="3">
        <v>0.26</v>
      </c>
      <c r="I988" s="3">
        <v>0.12</v>
      </c>
      <c r="J988" s="3">
        <v>0.09</v>
      </c>
      <c r="K988" s="3">
        <v>0.05</v>
      </c>
      <c r="L988" s="3">
        <v>0</v>
      </c>
      <c r="M988" s="2" t="s">
        <v>24</v>
      </c>
      <c r="N988" s="3" t="str" cm="1">
        <f t="array" ref="N988">_xlfn.IFS(G988&gt;=90,"Excellent",G988&gt;=80,"Good",G988&gt;=70,"Average",G988&lt;70,"Poor")</f>
        <v>Good</v>
      </c>
    </row>
    <row r="989" spans="1:14" x14ac:dyDescent="0.35">
      <c r="A989" s="2">
        <v>988</v>
      </c>
      <c r="B989" s="2" t="s">
        <v>1030</v>
      </c>
      <c r="C989" s="2" t="s">
        <v>31</v>
      </c>
      <c r="D989" s="2" t="s">
        <v>62</v>
      </c>
      <c r="E989" s="2" t="s">
        <v>20</v>
      </c>
      <c r="F989" s="2">
        <v>2004</v>
      </c>
      <c r="G989" s="2">
        <v>66</v>
      </c>
      <c r="H989" s="3">
        <v>1.93</v>
      </c>
      <c r="I989" s="3">
        <v>0.75</v>
      </c>
      <c r="J989" s="3">
        <v>0.59</v>
      </c>
      <c r="K989" s="3">
        <v>0.25</v>
      </c>
      <c r="L989" s="3">
        <v>0.34</v>
      </c>
      <c r="M989" s="2" t="s">
        <v>17</v>
      </c>
      <c r="N989" s="3" t="str" cm="1">
        <f t="array" ref="N989">_xlfn.IFS(G989&gt;=90,"Excellent",G989&gt;=80,"Good",G989&gt;=70,"Average",G989&lt;70,"Poor")</f>
        <v>Poor</v>
      </c>
    </row>
    <row r="990" spans="1:14" x14ac:dyDescent="0.35">
      <c r="A990" s="2">
        <v>989</v>
      </c>
      <c r="B990" s="2" t="s">
        <v>1031</v>
      </c>
      <c r="C990" s="2" t="s">
        <v>14</v>
      </c>
      <c r="D990" s="2" t="s">
        <v>15</v>
      </c>
      <c r="E990" s="2" t="s">
        <v>74</v>
      </c>
      <c r="F990" s="2">
        <v>2007</v>
      </c>
      <c r="G990" s="2">
        <v>65</v>
      </c>
      <c r="H990" s="3">
        <v>1.45</v>
      </c>
      <c r="I990" s="3">
        <v>0.51</v>
      </c>
      <c r="J990" s="3">
        <v>0.33</v>
      </c>
      <c r="K990" s="3">
        <v>0.13</v>
      </c>
      <c r="L990" s="3">
        <v>0.48</v>
      </c>
      <c r="M990" s="2" t="s">
        <v>17</v>
      </c>
      <c r="N990" s="3" t="str" cm="1">
        <f t="array" ref="N990">_xlfn.IFS(G990&gt;=90,"Excellent",G990&gt;=80,"Good",G990&gt;=70,"Average",G990&lt;70,"Poor")</f>
        <v>Poor</v>
      </c>
    </row>
    <row r="991" spans="1:14" x14ac:dyDescent="0.35">
      <c r="A991" s="2">
        <v>990</v>
      </c>
      <c r="B991" s="2" t="s">
        <v>1032</v>
      </c>
      <c r="C991" s="2" t="s">
        <v>64</v>
      </c>
      <c r="D991" s="2" t="s">
        <v>2</v>
      </c>
      <c r="E991" s="2" t="s">
        <v>46</v>
      </c>
      <c r="F991" s="2">
        <v>2017</v>
      </c>
      <c r="G991" s="2">
        <v>80</v>
      </c>
      <c r="H991" s="3">
        <v>1.36</v>
      </c>
      <c r="I991" s="3">
        <v>0.65</v>
      </c>
      <c r="J991" s="3">
        <v>0.31</v>
      </c>
      <c r="K991" s="3">
        <v>0.19</v>
      </c>
      <c r="L991" s="3">
        <v>0.21</v>
      </c>
      <c r="M991" s="2" t="s">
        <v>17</v>
      </c>
      <c r="N991" s="3" t="str" cm="1">
        <f t="array" ref="N991">_xlfn.IFS(G991&gt;=90,"Excellent",G991&gt;=80,"Good",G991&gt;=70,"Average",G991&lt;70,"Poor")</f>
        <v>Good</v>
      </c>
    </row>
    <row r="992" spans="1:14" x14ac:dyDescent="0.35">
      <c r="A992" s="2">
        <v>991</v>
      </c>
      <c r="B992" s="2" t="s">
        <v>1033</v>
      </c>
      <c r="C992" s="2" t="s">
        <v>59</v>
      </c>
      <c r="D992" s="2" t="s">
        <v>48</v>
      </c>
      <c r="E992" s="2" t="s">
        <v>46</v>
      </c>
      <c r="F992" s="2">
        <v>2000</v>
      </c>
      <c r="G992" s="2">
        <v>91</v>
      </c>
      <c r="H992" s="3">
        <v>0.72</v>
      </c>
      <c r="I992" s="3">
        <v>0.3</v>
      </c>
      <c r="J992" s="3">
        <v>0.23</v>
      </c>
      <c r="K992" s="3">
        <v>0.1</v>
      </c>
      <c r="L992" s="3">
        <v>0.09</v>
      </c>
      <c r="M992" s="2" t="s">
        <v>17</v>
      </c>
      <c r="N992" s="3" t="str" cm="1">
        <f t="array" ref="N992">_xlfn.IFS(G992&gt;=90,"Excellent",G992&gt;=80,"Good",G992&gt;=70,"Average",G992&lt;70,"Poor")</f>
        <v>Excellent</v>
      </c>
    </row>
    <row r="993" spans="1:14" x14ac:dyDescent="0.35">
      <c r="A993" s="2">
        <v>992</v>
      </c>
      <c r="B993" s="2" t="s">
        <v>1034</v>
      </c>
      <c r="C993" s="2" t="s">
        <v>14</v>
      </c>
      <c r="D993" s="2" t="s">
        <v>48</v>
      </c>
      <c r="E993" s="2" t="s">
        <v>54</v>
      </c>
      <c r="F993" s="2">
        <v>2013</v>
      </c>
      <c r="G993" s="2">
        <v>68</v>
      </c>
      <c r="H993" s="3">
        <v>0.31</v>
      </c>
      <c r="I993" s="3">
        <v>0.16</v>
      </c>
      <c r="J993" s="3">
        <v>0.08</v>
      </c>
      <c r="K993" s="3">
        <v>0.06</v>
      </c>
      <c r="L993" s="3">
        <v>0.01</v>
      </c>
      <c r="M993" s="2" t="s">
        <v>24</v>
      </c>
      <c r="N993" s="3" t="str" cm="1">
        <f t="array" ref="N993">_xlfn.IFS(G993&gt;=90,"Excellent",G993&gt;=80,"Good",G993&gt;=70,"Average",G993&lt;70,"Poor")</f>
        <v>Poor</v>
      </c>
    </row>
    <row r="994" spans="1:14" x14ac:dyDescent="0.35">
      <c r="A994" s="2">
        <v>993</v>
      </c>
      <c r="B994" s="2" t="s">
        <v>1035</v>
      </c>
      <c r="C994" s="2" t="s">
        <v>59</v>
      </c>
      <c r="D994" s="2" t="s">
        <v>65</v>
      </c>
      <c r="E994" s="2" t="s">
        <v>16</v>
      </c>
      <c r="F994" s="2">
        <v>1996</v>
      </c>
      <c r="G994" s="2">
        <v>75</v>
      </c>
      <c r="H994" s="3">
        <v>0.11</v>
      </c>
      <c r="I994" s="3">
        <v>0.04</v>
      </c>
      <c r="J994" s="3">
        <v>0.03</v>
      </c>
      <c r="K994" s="3">
        <v>0.02</v>
      </c>
      <c r="L994" s="3">
        <v>0.02</v>
      </c>
      <c r="M994" s="2" t="s">
        <v>24</v>
      </c>
      <c r="N994" s="3" t="str" cm="1">
        <f t="array" ref="N994">_xlfn.IFS(G994&gt;=90,"Excellent",G994&gt;=80,"Good",G994&gt;=70,"Average",G994&lt;70,"Poor")</f>
        <v>Average</v>
      </c>
    </row>
    <row r="995" spans="1:14" x14ac:dyDescent="0.35">
      <c r="A995" s="2">
        <v>994</v>
      </c>
      <c r="B995" s="2" t="s">
        <v>1036</v>
      </c>
      <c r="C995" s="2" t="s">
        <v>57</v>
      </c>
      <c r="D995" s="2" t="s">
        <v>29</v>
      </c>
      <c r="E995" s="2" t="s">
        <v>46</v>
      </c>
      <c r="F995" s="2">
        <v>2011</v>
      </c>
      <c r="G995" s="2">
        <v>88</v>
      </c>
      <c r="H995" s="3">
        <v>0.09</v>
      </c>
      <c r="I995" s="3">
        <v>0.04</v>
      </c>
      <c r="J995" s="3">
        <v>0.02</v>
      </c>
      <c r="K995" s="3">
        <v>0.01</v>
      </c>
      <c r="L995" s="3">
        <v>0.02</v>
      </c>
      <c r="M995" s="2" t="s">
        <v>24</v>
      </c>
      <c r="N995" s="3" t="str" cm="1">
        <f t="array" ref="N995">_xlfn.IFS(G995&gt;=90,"Excellent",G995&gt;=80,"Good",G995&gt;=70,"Average",G995&lt;70,"Poor")</f>
        <v>Good</v>
      </c>
    </row>
    <row r="996" spans="1:14" x14ac:dyDescent="0.35">
      <c r="A996" s="2">
        <v>995</v>
      </c>
      <c r="B996" s="2" t="s">
        <v>1037</v>
      </c>
      <c r="C996" s="2" t="s">
        <v>14</v>
      </c>
      <c r="D996" s="2" t="s">
        <v>45</v>
      </c>
      <c r="E996" s="2" t="s">
        <v>60</v>
      </c>
      <c r="F996" s="2">
        <v>2008</v>
      </c>
      <c r="G996" s="2">
        <v>71</v>
      </c>
      <c r="H996" s="3">
        <v>1.1299999999999999</v>
      </c>
      <c r="I996" s="3">
        <v>0.49</v>
      </c>
      <c r="J996" s="3">
        <v>0.28999999999999998</v>
      </c>
      <c r="K996" s="3">
        <v>0.06</v>
      </c>
      <c r="L996" s="3">
        <v>0.28999999999999998</v>
      </c>
      <c r="M996" s="2" t="s">
        <v>17</v>
      </c>
      <c r="N996" s="3" t="str" cm="1">
        <f t="array" ref="N996">_xlfn.IFS(G996&gt;=90,"Excellent",G996&gt;=80,"Good",G996&gt;=70,"Average",G996&lt;70,"Poor")</f>
        <v>Average</v>
      </c>
    </row>
    <row r="997" spans="1:14" x14ac:dyDescent="0.35">
      <c r="A997" s="2">
        <v>996</v>
      </c>
      <c r="B997" s="2" t="s">
        <v>1038</v>
      </c>
      <c r="C997" s="2" t="s">
        <v>14</v>
      </c>
      <c r="D997" s="2" t="s">
        <v>29</v>
      </c>
      <c r="E997" s="2" t="s">
        <v>41</v>
      </c>
      <c r="F997" s="2">
        <v>2013</v>
      </c>
      <c r="G997" s="2">
        <v>90</v>
      </c>
      <c r="H997" s="3">
        <v>0.27</v>
      </c>
      <c r="I997" s="3">
        <v>0.14000000000000001</v>
      </c>
      <c r="J997" s="3">
        <v>0.09</v>
      </c>
      <c r="K997" s="3">
        <v>0.02</v>
      </c>
      <c r="L997" s="3">
        <v>0.02</v>
      </c>
      <c r="M997" s="2" t="s">
        <v>24</v>
      </c>
      <c r="N997" s="3" t="str" cm="1">
        <f t="array" ref="N997">_xlfn.IFS(G997&gt;=90,"Excellent",G997&gt;=80,"Good",G997&gt;=70,"Average",G997&lt;70,"Poor")</f>
        <v>Excellent</v>
      </c>
    </row>
    <row r="998" spans="1:14" x14ac:dyDescent="0.35">
      <c r="A998" s="2">
        <v>997</v>
      </c>
      <c r="B998" s="2" t="s">
        <v>1039</v>
      </c>
      <c r="C998" s="2" t="s">
        <v>14</v>
      </c>
      <c r="D998" s="2" t="s">
        <v>15</v>
      </c>
      <c r="E998" s="2" t="s">
        <v>74</v>
      </c>
      <c r="F998" s="2">
        <v>2009</v>
      </c>
      <c r="G998" s="2">
        <v>61</v>
      </c>
      <c r="H998" s="3">
        <v>0.59</v>
      </c>
      <c r="I998" s="3">
        <v>0.24</v>
      </c>
      <c r="J998" s="3">
        <v>0.18</v>
      </c>
      <c r="K998" s="3">
        <v>0.09</v>
      </c>
      <c r="L998" s="3">
        <v>0.08</v>
      </c>
      <c r="M998" s="2" t="s">
        <v>17</v>
      </c>
      <c r="N998" s="3" t="str" cm="1">
        <f t="array" ref="N998">_xlfn.IFS(G998&gt;=90,"Excellent",G998&gt;=80,"Good",G998&gt;=70,"Average",G998&lt;70,"Poor")</f>
        <v>Poor</v>
      </c>
    </row>
    <row r="999" spans="1:14" x14ac:dyDescent="0.35">
      <c r="A999" s="2">
        <v>998</v>
      </c>
      <c r="B999" s="2" t="s">
        <v>1040</v>
      </c>
      <c r="C999" s="2" t="s">
        <v>19</v>
      </c>
      <c r="D999" s="2" t="s">
        <v>51</v>
      </c>
      <c r="E999" s="2" t="s">
        <v>46</v>
      </c>
      <c r="F999" s="2">
        <v>2013</v>
      </c>
      <c r="G999" s="2">
        <v>56</v>
      </c>
      <c r="H999" s="3">
        <v>0.8</v>
      </c>
      <c r="I999" s="3">
        <v>0.41</v>
      </c>
      <c r="J999" s="3">
        <v>0.25</v>
      </c>
      <c r="K999" s="3">
        <v>0.14000000000000001</v>
      </c>
      <c r="L999" s="3">
        <v>0</v>
      </c>
      <c r="M999" s="2" t="s">
        <v>17</v>
      </c>
      <c r="N999" s="3" t="str" cm="1">
        <f t="array" ref="N999">_xlfn.IFS(G999&gt;=90,"Excellent",G999&gt;=80,"Good",G999&gt;=70,"Average",G999&lt;70,"Poor")</f>
        <v>Poor</v>
      </c>
    </row>
    <row r="1000" spans="1:14" x14ac:dyDescent="0.35">
      <c r="A1000" s="2">
        <v>999</v>
      </c>
      <c r="B1000" s="2" t="s">
        <v>1041</v>
      </c>
      <c r="C1000" s="2" t="s">
        <v>59</v>
      </c>
      <c r="D1000" s="2" t="s">
        <v>15</v>
      </c>
      <c r="E1000" s="2" t="s">
        <v>74</v>
      </c>
      <c r="F1000" s="2">
        <v>1997</v>
      </c>
      <c r="G1000" s="2">
        <v>63</v>
      </c>
      <c r="H1000" s="3">
        <v>0.14000000000000001</v>
      </c>
      <c r="I1000" s="3">
        <v>7.0000000000000007E-2</v>
      </c>
      <c r="J1000" s="3">
        <v>0.03</v>
      </c>
      <c r="K1000" s="3">
        <v>0.03</v>
      </c>
      <c r="L1000" s="3">
        <v>0.01</v>
      </c>
      <c r="M1000" s="2" t="s">
        <v>24</v>
      </c>
      <c r="N1000" s="3" t="str" cm="1">
        <f t="array" ref="N1000">_xlfn.IFS(G1000&gt;=90,"Excellent",G1000&gt;=80,"Good",G1000&gt;=70,"Average",G1000&lt;70,"Poor")</f>
        <v>Poor</v>
      </c>
    </row>
    <row r="1001" spans="1:14" x14ac:dyDescent="0.35">
      <c r="A1001" s="2">
        <v>1000</v>
      </c>
      <c r="B1001" s="2" t="s">
        <v>1042</v>
      </c>
      <c r="C1001" s="2" t="s">
        <v>14</v>
      </c>
      <c r="D1001" s="2" t="s">
        <v>2</v>
      </c>
      <c r="E1001" s="2" t="s">
        <v>20</v>
      </c>
      <c r="F1001" s="2">
        <v>2009</v>
      </c>
      <c r="G1001" s="2">
        <v>65</v>
      </c>
      <c r="H1001" s="3">
        <v>2.69</v>
      </c>
      <c r="I1001" s="3">
        <v>1.44</v>
      </c>
      <c r="J1001" s="3">
        <v>0.74</v>
      </c>
      <c r="K1001" s="3">
        <v>0.51</v>
      </c>
      <c r="L1001" s="3">
        <v>0</v>
      </c>
      <c r="M1001" s="2" t="s">
        <v>27</v>
      </c>
      <c r="N1001" s="3" t="str" cm="1">
        <f t="array" ref="N1001">_xlfn.IFS(G1001&gt;=90,"Excellent",G1001&gt;=80,"Good",G1001&gt;=70,"Average",G1001&lt;70,"Poor")</f>
        <v>Poor</v>
      </c>
    </row>
  </sheetData>
  <conditionalFormatting sqref="A1:A1048576">
    <cfRule type="duplicateValues" dxfId="4" priority="5"/>
  </conditionalFormatting>
  <conditionalFormatting sqref="E1:E1048576">
    <cfRule type="containsText" dxfId="3" priority="4" operator="containsText" text="sony">
      <formula>NOT(ISERROR(SEARCH("sony",E1)))</formula>
    </cfRule>
  </conditionalFormatting>
  <conditionalFormatting sqref="M1:M1048576">
    <cfRule type="containsText" dxfId="2" priority="1" operator="containsText" text="blo">
      <formula>NOT(ISERROR(SEARCH("blo",M1)))</formula>
    </cfRule>
  </conditionalFormatting>
  <conditionalFormatting sqref="N1:N1048576">
    <cfRule type="containsText" dxfId="1" priority="2" operator="containsText" text="exc">
      <formula>NOT(ISERROR(SEARCH("exc",N1)))</formula>
    </cfRule>
    <cfRule type="containsText" dxfId="0" priority="3" operator="containsText" text="poo">
      <formula>NOT(ISERROR(SEARCH("poo",N1)))</formula>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2D76D-7564-4A41-A4E1-A8A8C7596F23}">
  <dimension ref="A1:N1001"/>
  <sheetViews>
    <sheetView workbookViewId="0">
      <selection activeCell="Q12" sqref="Q12"/>
    </sheetView>
  </sheetViews>
  <sheetFormatPr defaultRowHeight="14.5" x14ac:dyDescent="0.35"/>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1067</v>
      </c>
    </row>
    <row r="2" spans="1:14" x14ac:dyDescent="0.35">
      <c r="A2">
        <v>1</v>
      </c>
      <c r="B2" t="s">
        <v>13</v>
      </c>
      <c r="C2" t="s">
        <v>14</v>
      </c>
      <c r="D2" t="s">
        <v>15</v>
      </c>
      <c r="E2" t="s">
        <v>16</v>
      </c>
      <c r="F2">
        <v>2013</v>
      </c>
      <c r="G2">
        <v>97</v>
      </c>
      <c r="H2">
        <v>0.74</v>
      </c>
      <c r="I2">
        <v>0.3</v>
      </c>
      <c r="J2">
        <v>0.17</v>
      </c>
      <c r="K2">
        <v>0.12</v>
      </c>
      <c r="L2">
        <v>0.15</v>
      </c>
      <c r="M2" t="s">
        <v>17</v>
      </c>
      <c r="N2" t="s">
        <v>1068</v>
      </c>
    </row>
    <row r="3" spans="1:14" x14ac:dyDescent="0.35">
      <c r="A3">
        <v>2</v>
      </c>
      <c r="B3" t="s">
        <v>18</v>
      </c>
      <c r="C3" t="s">
        <v>19</v>
      </c>
      <c r="D3" t="s">
        <v>15</v>
      </c>
      <c r="E3" t="s">
        <v>20</v>
      </c>
      <c r="F3">
        <v>2018</v>
      </c>
      <c r="G3">
        <v>94</v>
      </c>
      <c r="H3">
        <v>10.18</v>
      </c>
      <c r="I3">
        <v>3.74</v>
      </c>
      <c r="J3">
        <v>2.68</v>
      </c>
      <c r="K3">
        <v>0.55000000000000004</v>
      </c>
      <c r="L3">
        <v>3.21</v>
      </c>
      <c r="M3" t="s">
        <v>21</v>
      </c>
      <c r="N3" t="s">
        <v>1068</v>
      </c>
    </row>
    <row r="4" spans="1:14" x14ac:dyDescent="0.35">
      <c r="A4">
        <v>3</v>
      </c>
      <c r="B4" t="s">
        <v>22</v>
      </c>
      <c r="C4" t="s">
        <v>23</v>
      </c>
      <c r="D4" t="s">
        <v>15</v>
      </c>
      <c r="E4" t="s">
        <v>20</v>
      </c>
      <c r="F4">
        <v>2022</v>
      </c>
      <c r="G4">
        <v>94</v>
      </c>
      <c r="H4">
        <v>0.31</v>
      </c>
      <c r="I4">
        <v>0.11</v>
      </c>
      <c r="J4">
        <v>7.0000000000000007E-2</v>
      </c>
      <c r="K4">
        <v>0.05</v>
      </c>
      <c r="L4">
        <v>0.08</v>
      </c>
      <c r="M4" t="s">
        <v>24</v>
      </c>
      <c r="N4" t="s">
        <v>1068</v>
      </c>
    </row>
    <row r="5" spans="1:14" x14ac:dyDescent="0.35">
      <c r="A5">
        <v>4</v>
      </c>
      <c r="B5" t="s">
        <v>25</v>
      </c>
      <c r="C5" t="s">
        <v>14</v>
      </c>
      <c r="D5" t="s">
        <v>15</v>
      </c>
      <c r="E5" t="s">
        <v>20</v>
      </c>
      <c r="F5">
        <v>2013</v>
      </c>
      <c r="G5">
        <v>95</v>
      </c>
      <c r="H5">
        <v>0.64</v>
      </c>
      <c r="I5">
        <v>0.3</v>
      </c>
      <c r="J5">
        <v>0.21</v>
      </c>
      <c r="K5">
        <v>0.03</v>
      </c>
      <c r="L5">
        <v>0.1</v>
      </c>
      <c r="M5" t="s">
        <v>17</v>
      </c>
      <c r="N5" t="s">
        <v>1068</v>
      </c>
    </row>
    <row r="6" spans="1:14" x14ac:dyDescent="0.35">
      <c r="A6">
        <v>5</v>
      </c>
      <c r="B6" t="s">
        <v>26</v>
      </c>
      <c r="C6" t="s">
        <v>19</v>
      </c>
      <c r="D6" t="s">
        <v>15</v>
      </c>
      <c r="E6" t="s">
        <v>20</v>
      </c>
      <c r="F6">
        <v>2020</v>
      </c>
      <c r="G6">
        <v>93</v>
      </c>
      <c r="H6">
        <v>3.87</v>
      </c>
      <c r="I6">
        <v>1.62</v>
      </c>
      <c r="J6">
        <v>0.86</v>
      </c>
      <c r="K6">
        <v>0.75</v>
      </c>
      <c r="L6">
        <v>0.64</v>
      </c>
      <c r="M6" t="s">
        <v>27</v>
      </c>
      <c r="N6" t="s">
        <v>1068</v>
      </c>
    </row>
    <row r="7" spans="1:14" x14ac:dyDescent="0.35">
      <c r="A7">
        <v>6</v>
      </c>
      <c r="B7" t="s">
        <v>28</v>
      </c>
      <c r="C7" t="s">
        <v>23</v>
      </c>
      <c r="D7" t="s">
        <v>29</v>
      </c>
      <c r="E7" t="s">
        <v>20</v>
      </c>
      <c r="F7">
        <v>2022</v>
      </c>
      <c r="G7">
        <v>87</v>
      </c>
      <c r="H7">
        <v>0.56000000000000005</v>
      </c>
      <c r="I7">
        <v>0.21</v>
      </c>
      <c r="J7">
        <v>0.18</v>
      </c>
      <c r="K7">
        <v>0.08</v>
      </c>
      <c r="L7">
        <v>0.09</v>
      </c>
      <c r="M7" t="s">
        <v>17</v>
      </c>
      <c r="N7" t="s">
        <v>1069</v>
      </c>
    </row>
    <row r="8" spans="1:14" x14ac:dyDescent="0.35">
      <c r="A8">
        <v>7</v>
      </c>
      <c r="B8" t="s">
        <v>30</v>
      </c>
      <c r="C8" t="s">
        <v>31</v>
      </c>
      <c r="D8" t="s">
        <v>29</v>
      </c>
      <c r="E8" t="s">
        <v>20</v>
      </c>
      <c r="F8">
        <v>2004</v>
      </c>
      <c r="G8">
        <v>89</v>
      </c>
      <c r="H8">
        <v>3.83</v>
      </c>
      <c r="I8">
        <v>1.75</v>
      </c>
      <c r="J8">
        <v>1.33</v>
      </c>
      <c r="K8">
        <v>0.41</v>
      </c>
      <c r="L8">
        <v>0.34</v>
      </c>
      <c r="M8" t="s">
        <v>27</v>
      </c>
      <c r="N8" t="s">
        <v>1069</v>
      </c>
    </row>
    <row r="9" spans="1:14" x14ac:dyDescent="0.35">
      <c r="A9">
        <v>8</v>
      </c>
      <c r="B9" t="s">
        <v>32</v>
      </c>
      <c r="C9" t="s">
        <v>19</v>
      </c>
      <c r="D9" t="s">
        <v>33</v>
      </c>
      <c r="E9" t="s">
        <v>20</v>
      </c>
      <c r="F9">
        <v>2016</v>
      </c>
      <c r="G9">
        <v>93</v>
      </c>
      <c r="H9">
        <v>1.3</v>
      </c>
      <c r="I9">
        <v>0.62</v>
      </c>
      <c r="J9">
        <v>0.43</v>
      </c>
      <c r="K9">
        <v>0.18</v>
      </c>
      <c r="L9">
        <v>7.0000000000000007E-2</v>
      </c>
      <c r="M9" t="s">
        <v>17</v>
      </c>
      <c r="N9" t="s">
        <v>1068</v>
      </c>
    </row>
    <row r="10" spans="1:14" x14ac:dyDescent="0.35">
      <c r="A10">
        <v>9</v>
      </c>
      <c r="B10" t="s">
        <v>34</v>
      </c>
      <c r="C10" t="s">
        <v>19</v>
      </c>
      <c r="D10" t="s">
        <v>15</v>
      </c>
      <c r="E10" t="s">
        <v>20</v>
      </c>
      <c r="F10">
        <v>2018</v>
      </c>
      <c r="G10">
        <v>87</v>
      </c>
      <c r="H10">
        <v>1.1299999999999999</v>
      </c>
      <c r="I10">
        <v>0.45</v>
      </c>
      <c r="J10">
        <v>0.28000000000000003</v>
      </c>
      <c r="K10">
        <v>7.0000000000000007E-2</v>
      </c>
      <c r="L10">
        <v>0.33</v>
      </c>
      <c r="M10" t="s">
        <v>17</v>
      </c>
      <c r="N10" t="s">
        <v>1069</v>
      </c>
    </row>
    <row r="11" spans="1:14" x14ac:dyDescent="0.35">
      <c r="A11">
        <v>10</v>
      </c>
      <c r="B11" t="s">
        <v>35</v>
      </c>
      <c r="C11" t="s">
        <v>23</v>
      </c>
      <c r="D11" t="s">
        <v>15</v>
      </c>
      <c r="E11" t="s">
        <v>20</v>
      </c>
      <c r="F11">
        <v>2020</v>
      </c>
      <c r="G11">
        <v>85</v>
      </c>
      <c r="H11">
        <v>0.47</v>
      </c>
      <c r="I11">
        <v>0.19</v>
      </c>
      <c r="J11">
        <v>0.14000000000000001</v>
      </c>
      <c r="K11">
        <v>0.05</v>
      </c>
      <c r="L11">
        <v>0.09</v>
      </c>
      <c r="M11" t="s">
        <v>24</v>
      </c>
      <c r="N11" t="s">
        <v>1069</v>
      </c>
    </row>
    <row r="12" spans="1:14" x14ac:dyDescent="0.35">
      <c r="A12">
        <v>11</v>
      </c>
      <c r="B12" t="s">
        <v>36</v>
      </c>
      <c r="C12" t="s">
        <v>19</v>
      </c>
      <c r="D12" t="s">
        <v>37</v>
      </c>
      <c r="E12" t="s">
        <v>20</v>
      </c>
      <c r="F12">
        <v>2017</v>
      </c>
      <c r="G12">
        <v>89</v>
      </c>
      <c r="H12">
        <v>0.63</v>
      </c>
      <c r="I12">
        <v>0.25</v>
      </c>
      <c r="J12">
        <v>0.21</v>
      </c>
      <c r="K12">
        <v>0.09</v>
      </c>
      <c r="L12">
        <v>0.08</v>
      </c>
      <c r="M12" t="s">
        <v>17</v>
      </c>
      <c r="N12" t="s">
        <v>1069</v>
      </c>
    </row>
    <row r="13" spans="1:14" x14ac:dyDescent="0.35">
      <c r="A13">
        <v>12</v>
      </c>
      <c r="B13" t="s">
        <v>38</v>
      </c>
      <c r="C13" t="s">
        <v>19</v>
      </c>
      <c r="D13" t="s">
        <v>15</v>
      </c>
      <c r="E13" t="s">
        <v>20</v>
      </c>
      <c r="F13">
        <v>2020</v>
      </c>
      <c r="G13">
        <v>83</v>
      </c>
      <c r="H13">
        <v>0.99</v>
      </c>
      <c r="I13">
        <v>0.49</v>
      </c>
      <c r="J13">
        <v>0.22</v>
      </c>
      <c r="K13">
        <v>0.11</v>
      </c>
      <c r="L13">
        <v>0.17</v>
      </c>
      <c r="M13" t="s">
        <v>17</v>
      </c>
      <c r="N13" t="s">
        <v>1069</v>
      </c>
    </row>
    <row r="14" spans="1:14" x14ac:dyDescent="0.35">
      <c r="A14">
        <v>13</v>
      </c>
      <c r="B14" t="s">
        <v>39</v>
      </c>
      <c r="C14" t="s">
        <v>19</v>
      </c>
      <c r="D14" t="s">
        <v>37</v>
      </c>
      <c r="E14" t="s">
        <v>20</v>
      </c>
      <c r="F14">
        <v>2015</v>
      </c>
      <c r="G14">
        <v>92</v>
      </c>
      <c r="H14">
        <v>1.07</v>
      </c>
      <c r="I14">
        <v>0.55000000000000004</v>
      </c>
      <c r="J14">
        <v>0.34</v>
      </c>
      <c r="K14">
        <v>0.09</v>
      </c>
      <c r="L14">
        <v>0.09</v>
      </c>
      <c r="M14" t="s">
        <v>17</v>
      </c>
      <c r="N14" t="s">
        <v>1068</v>
      </c>
    </row>
    <row r="15" spans="1:14" x14ac:dyDescent="0.35">
      <c r="A15">
        <v>14</v>
      </c>
      <c r="B15" t="s">
        <v>40</v>
      </c>
      <c r="C15" t="s">
        <v>19</v>
      </c>
      <c r="D15" t="s">
        <v>37</v>
      </c>
      <c r="E15" t="s">
        <v>41</v>
      </c>
      <c r="F15">
        <v>2020</v>
      </c>
      <c r="G15">
        <v>87</v>
      </c>
      <c r="H15">
        <v>0.28000000000000003</v>
      </c>
      <c r="I15">
        <v>0.11</v>
      </c>
      <c r="J15">
        <v>0.06</v>
      </c>
      <c r="K15">
        <v>0.05</v>
      </c>
      <c r="L15">
        <v>0.06</v>
      </c>
      <c r="M15" t="s">
        <v>24</v>
      </c>
      <c r="N15" t="s">
        <v>1069</v>
      </c>
    </row>
    <row r="16" spans="1:14" x14ac:dyDescent="0.35">
      <c r="A16">
        <v>15</v>
      </c>
      <c r="B16" t="s">
        <v>42</v>
      </c>
      <c r="C16" t="s">
        <v>19</v>
      </c>
      <c r="D16" t="s">
        <v>15</v>
      </c>
      <c r="E16" t="s">
        <v>43</v>
      </c>
      <c r="F16">
        <v>2019</v>
      </c>
      <c r="G16">
        <v>91</v>
      </c>
      <c r="H16">
        <v>1.89</v>
      </c>
      <c r="I16">
        <v>0.91</v>
      </c>
      <c r="J16">
        <v>0.49</v>
      </c>
      <c r="K16">
        <v>0.35</v>
      </c>
      <c r="L16">
        <v>0.14000000000000001</v>
      </c>
      <c r="M16" t="s">
        <v>17</v>
      </c>
      <c r="N16" t="s">
        <v>1068</v>
      </c>
    </row>
    <row r="17" spans="1:14" x14ac:dyDescent="0.35">
      <c r="A17">
        <v>16</v>
      </c>
      <c r="B17" t="s">
        <v>44</v>
      </c>
      <c r="C17" t="s">
        <v>19</v>
      </c>
      <c r="D17" t="s">
        <v>45</v>
      </c>
      <c r="E17" t="s">
        <v>46</v>
      </c>
      <c r="F17">
        <v>2017</v>
      </c>
      <c r="G17">
        <v>82</v>
      </c>
      <c r="H17">
        <v>0.74</v>
      </c>
      <c r="I17">
        <v>0.3</v>
      </c>
      <c r="J17">
        <v>0.21</v>
      </c>
      <c r="K17">
        <v>7.0000000000000007E-2</v>
      </c>
      <c r="L17">
        <v>0.16</v>
      </c>
      <c r="M17" t="s">
        <v>17</v>
      </c>
      <c r="N17" t="s">
        <v>1069</v>
      </c>
    </row>
    <row r="18" spans="1:14" x14ac:dyDescent="0.35">
      <c r="A18">
        <v>17</v>
      </c>
      <c r="B18" t="s">
        <v>47</v>
      </c>
      <c r="C18" t="s">
        <v>23</v>
      </c>
      <c r="D18" t="s">
        <v>48</v>
      </c>
      <c r="E18" t="s">
        <v>49</v>
      </c>
      <c r="F18">
        <v>2022</v>
      </c>
      <c r="G18">
        <v>78</v>
      </c>
      <c r="H18">
        <v>2.65</v>
      </c>
      <c r="I18">
        <v>1.1399999999999999</v>
      </c>
      <c r="J18">
        <v>0.62</v>
      </c>
      <c r="K18">
        <v>0.53</v>
      </c>
      <c r="L18">
        <v>0.36</v>
      </c>
      <c r="M18" t="s">
        <v>27</v>
      </c>
      <c r="N18" t="s">
        <v>1070</v>
      </c>
    </row>
    <row r="19" spans="1:14" x14ac:dyDescent="0.35">
      <c r="A19">
        <v>18</v>
      </c>
      <c r="B19" t="s">
        <v>50</v>
      </c>
      <c r="C19" t="s">
        <v>19</v>
      </c>
      <c r="D19" t="s">
        <v>51</v>
      </c>
      <c r="E19" t="s">
        <v>52</v>
      </c>
      <c r="F19">
        <v>2019</v>
      </c>
      <c r="G19">
        <v>80</v>
      </c>
      <c r="H19">
        <v>0.82</v>
      </c>
      <c r="I19">
        <v>0.28999999999999998</v>
      </c>
      <c r="J19">
        <v>0.18</v>
      </c>
      <c r="K19">
        <v>0.12</v>
      </c>
      <c r="L19">
        <v>0.23</v>
      </c>
      <c r="M19" t="s">
        <v>17</v>
      </c>
      <c r="N19" t="s">
        <v>1069</v>
      </c>
    </row>
    <row r="20" spans="1:14" x14ac:dyDescent="0.35">
      <c r="A20">
        <v>19</v>
      </c>
      <c r="B20" t="s">
        <v>53</v>
      </c>
      <c r="C20" t="s">
        <v>19</v>
      </c>
      <c r="D20" t="s">
        <v>15</v>
      </c>
      <c r="E20" t="s">
        <v>54</v>
      </c>
      <c r="F20">
        <v>2018</v>
      </c>
      <c r="G20">
        <v>86</v>
      </c>
      <c r="H20">
        <v>1.77</v>
      </c>
      <c r="I20">
        <v>0.64</v>
      </c>
      <c r="J20">
        <v>0.46</v>
      </c>
      <c r="K20">
        <v>0.35</v>
      </c>
      <c r="L20">
        <v>0.32</v>
      </c>
      <c r="M20" t="s">
        <v>17</v>
      </c>
      <c r="N20" t="s">
        <v>1069</v>
      </c>
    </row>
    <row r="21" spans="1:14" x14ac:dyDescent="0.35">
      <c r="A21">
        <v>20</v>
      </c>
      <c r="B21" t="s">
        <v>55</v>
      </c>
      <c r="C21" t="s">
        <v>19</v>
      </c>
      <c r="D21" t="s">
        <v>15</v>
      </c>
      <c r="E21" t="s">
        <v>16</v>
      </c>
      <c r="F21">
        <v>2018</v>
      </c>
      <c r="G21">
        <v>97</v>
      </c>
      <c r="H21">
        <v>3.83</v>
      </c>
      <c r="I21">
        <v>2</v>
      </c>
      <c r="J21">
        <v>0.77</v>
      </c>
      <c r="K21">
        <v>0.61</v>
      </c>
      <c r="L21">
        <v>0.45</v>
      </c>
      <c r="M21" t="s">
        <v>27</v>
      </c>
      <c r="N21" t="s">
        <v>1068</v>
      </c>
    </row>
    <row r="22" spans="1:14" x14ac:dyDescent="0.35">
      <c r="A22">
        <v>21</v>
      </c>
      <c r="B22" t="s">
        <v>56</v>
      </c>
      <c r="C22" t="s">
        <v>57</v>
      </c>
      <c r="D22" t="s">
        <v>51</v>
      </c>
      <c r="E22" t="s">
        <v>43</v>
      </c>
      <c r="F22">
        <v>2012</v>
      </c>
      <c r="G22">
        <v>82</v>
      </c>
      <c r="H22">
        <v>1.63</v>
      </c>
      <c r="I22">
        <v>0.89</v>
      </c>
      <c r="J22">
        <v>0.51</v>
      </c>
      <c r="K22">
        <v>0.21</v>
      </c>
      <c r="L22">
        <v>0.02</v>
      </c>
      <c r="M22" t="s">
        <v>17</v>
      </c>
      <c r="N22" t="s">
        <v>1069</v>
      </c>
    </row>
    <row r="23" spans="1:14" x14ac:dyDescent="0.35">
      <c r="A23">
        <v>22</v>
      </c>
      <c r="B23" t="s">
        <v>58</v>
      </c>
      <c r="C23" t="s">
        <v>59</v>
      </c>
      <c r="D23" t="s">
        <v>51</v>
      </c>
      <c r="E23" t="s">
        <v>60</v>
      </c>
      <c r="F23">
        <v>2000</v>
      </c>
      <c r="G23">
        <v>64</v>
      </c>
      <c r="H23">
        <v>0.34</v>
      </c>
      <c r="I23">
        <v>0.17</v>
      </c>
      <c r="J23">
        <v>0.11</v>
      </c>
      <c r="K23">
        <v>0.06</v>
      </c>
      <c r="L23">
        <v>0</v>
      </c>
      <c r="M23" t="s">
        <v>24</v>
      </c>
      <c r="N23" t="s">
        <v>1071</v>
      </c>
    </row>
    <row r="24" spans="1:14" x14ac:dyDescent="0.35">
      <c r="A24">
        <v>23</v>
      </c>
      <c r="B24" t="s">
        <v>61</v>
      </c>
      <c r="C24" t="s">
        <v>23</v>
      </c>
      <c r="D24" t="s">
        <v>62</v>
      </c>
      <c r="E24" t="s">
        <v>20</v>
      </c>
      <c r="F24">
        <v>2022</v>
      </c>
      <c r="G24">
        <v>74</v>
      </c>
      <c r="H24">
        <v>0.43</v>
      </c>
      <c r="I24">
        <v>0.2</v>
      </c>
      <c r="J24">
        <v>0.09</v>
      </c>
      <c r="K24">
        <v>7.0000000000000007E-2</v>
      </c>
      <c r="L24">
        <v>7.0000000000000007E-2</v>
      </c>
      <c r="M24" t="s">
        <v>24</v>
      </c>
      <c r="N24" t="s">
        <v>1070</v>
      </c>
    </row>
    <row r="25" spans="1:14" x14ac:dyDescent="0.35">
      <c r="A25">
        <v>24</v>
      </c>
      <c r="B25" t="s">
        <v>63</v>
      </c>
      <c r="C25" t="s">
        <v>64</v>
      </c>
      <c r="D25" t="s">
        <v>65</v>
      </c>
      <c r="E25" t="s">
        <v>54</v>
      </c>
      <c r="F25">
        <v>2012</v>
      </c>
      <c r="G25">
        <v>90</v>
      </c>
      <c r="H25">
        <v>0.1</v>
      </c>
      <c r="I25">
        <v>0.05</v>
      </c>
      <c r="J25">
        <v>0.03</v>
      </c>
      <c r="K25">
        <v>0.02</v>
      </c>
      <c r="L25">
        <v>0</v>
      </c>
      <c r="M25" t="s">
        <v>24</v>
      </c>
      <c r="N25" t="s">
        <v>1068</v>
      </c>
    </row>
    <row r="26" spans="1:14" x14ac:dyDescent="0.35">
      <c r="A26">
        <v>25</v>
      </c>
      <c r="B26" t="s">
        <v>66</v>
      </c>
      <c r="C26" t="s">
        <v>64</v>
      </c>
      <c r="D26" t="s">
        <v>51</v>
      </c>
      <c r="E26" t="s">
        <v>41</v>
      </c>
      <c r="F26">
        <v>2014</v>
      </c>
      <c r="G26">
        <v>88</v>
      </c>
      <c r="H26">
        <v>0.27</v>
      </c>
      <c r="I26">
        <v>0.1</v>
      </c>
      <c r="J26">
        <v>0.05</v>
      </c>
      <c r="K26">
        <v>0.04</v>
      </c>
      <c r="L26">
        <v>0.08</v>
      </c>
      <c r="M26" t="s">
        <v>24</v>
      </c>
      <c r="N26" t="s">
        <v>1069</v>
      </c>
    </row>
    <row r="27" spans="1:14" x14ac:dyDescent="0.35">
      <c r="A27">
        <v>26</v>
      </c>
      <c r="B27" t="s">
        <v>67</v>
      </c>
      <c r="C27" t="s">
        <v>23</v>
      </c>
      <c r="D27" t="s">
        <v>15</v>
      </c>
      <c r="E27" t="s">
        <v>49</v>
      </c>
      <c r="F27">
        <v>2021</v>
      </c>
      <c r="G27">
        <v>59</v>
      </c>
      <c r="H27">
        <v>0.31</v>
      </c>
      <c r="I27">
        <v>0.15</v>
      </c>
      <c r="J27">
        <v>7.0000000000000007E-2</v>
      </c>
      <c r="K27">
        <v>0.02</v>
      </c>
      <c r="L27">
        <v>7.0000000000000007E-2</v>
      </c>
      <c r="M27" t="s">
        <v>24</v>
      </c>
      <c r="N27" t="s">
        <v>1071</v>
      </c>
    </row>
    <row r="28" spans="1:14" x14ac:dyDescent="0.35">
      <c r="A28">
        <v>27</v>
      </c>
      <c r="B28" t="s">
        <v>68</v>
      </c>
      <c r="C28" t="s">
        <v>23</v>
      </c>
      <c r="D28" t="s">
        <v>62</v>
      </c>
      <c r="E28" t="s">
        <v>52</v>
      </c>
      <c r="F28">
        <v>2024</v>
      </c>
      <c r="G28">
        <v>67</v>
      </c>
      <c r="H28">
        <v>0.12</v>
      </c>
      <c r="I28">
        <v>0.05</v>
      </c>
      <c r="J28">
        <v>0.03</v>
      </c>
      <c r="K28">
        <v>0.02</v>
      </c>
      <c r="L28">
        <v>0.02</v>
      </c>
      <c r="M28" t="s">
        <v>24</v>
      </c>
      <c r="N28" t="s">
        <v>1071</v>
      </c>
    </row>
    <row r="29" spans="1:14" x14ac:dyDescent="0.35">
      <c r="A29">
        <v>28</v>
      </c>
      <c r="B29" t="s">
        <v>69</v>
      </c>
      <c r="C29" t="s">
        <v>59</v>
      </c>
      <c r="D29" t="s">
        <v>33</v>
      </c>
      <c r="E29" t="s">
        <v>20</v>
      </c>
      <c r="F29">
        <v>2000</v>
      </c>
      <c r="G29">
        <v>61</v>
      </c>
      <c r="H29">
        <v>0.25</v>
      </c>
      <c r="I29">
        <v>0.11</v>
      </c>
      <c r="J29">
        <v>7.0000000000000007E-2</v>
      </c>
      <c r="K29">
        <v>0.02</v>
      </c>
      <c r="L29">
        <v>0.05</v>
      </c>
      <c r="M29" t="s">
        <v>24</v>
      </c>
      <c r="N29" t="s">
        <v>1071</v>
      </c>
    </row>
    <row r="30" spans="1:14" x14ac:dyDescent="0.35">
      <c r="A30">
        <v>29</v>
      </c>
      <c r="B30" t="s">
        <v>70</v>
      </c>
      <c r="C30" t="s">
        <v>31</v>
      </c>
      <c r="D30" t="s">
        <v>33</v>
      </c>
      <c r="E30" t="s">
        <v>16</v>
      </c>
      <c r="F30">
        <v>2006</v>
      </c>
      <c r="G30">
        <v>58</v>
      </c>
      <c r="H30">
        <v>1.1100000000000001</v>
      </c>
      <c r="I30">
        <v>0.39</v>
      </c>
      <c r="J30">
        <v>0.24</v>
      </c>
      <c r="K30">
        <v>0.18</v>
      </c>
      <c r="L30">
        <v>0.3</v>
      </c>
      <c r="M30" t="s">
        <v>17</v>
      </c>
      <c r="N30" t="s">
        <v>1071</v>
      </c>
    </row>
    <row r="31" spans="1:14" x14ac:dyDescent="0.35">
      <c r="A31">
        <v>30</v>
      </c>
      <c r="B31" t="s">
        <v>71</v>
      </c>
      <c r="C31" t="s">
        <v>31</v>
      </c>
      <c r="D31" t="s">
        <v>45</v>
      </c>
      <c r="E31" t="s">
        <v>16</v>
      </c>
      <c r="F31">
        <v>2001</v>
      </c>
      <c r="G31">
        <v>80</v>
      </c>
      <c r="H31">
        <v>1.4</v>
      </c>
      <c r="I31">
        <v>0.49</v>
      </c>
      <c r="J31">
        <v>0.36</v>
      </c>
      <c r="K31">
        <v>0.26</v>
      </c>
      <c r="L31">
        <v>0.28999999999999998</v>
      </c>
      <c r="M31" t="s">
        <v>17</v>
      </c>
      <c r="N31" t="s">
        <v>1069</v>
      </c>
    </row>
    <row r="32" spans="1:14" x14ac:dyDescent="0.35">
      <c r="A32">
        <v>31</v>
      </c>
      <c r="B32" t="s">
        <v>72</v>
      </c>
      <c r="C32" t="s">
        <v>64</v>
      </c>
      <c r="D32" t="s">
        <v>51</v>
      </c>
      <c r="E32" t="s">
        <v>41</v>
      </c>
      <c r="F32">
        <v>2018</v>
      </c>
      <c r="G32">
        <v>64</v>
      </c>
      <c r="H32">
        <v>0.16</v>
      </c>
      <c r="I32">
        <v>0.06</v>
      </c>
      <c r="J32">
        <v>0.05</v>
      </c>
      <c r="K32">
        <v>0.01</v>
      </c>
      <c r="L32">
        <v>0.04</v>
      </c>
      <c r="M32" t="s">
        <v>24</v>
      </c>
      <c r="N32" t="s">
        <v>1071</v>
      </c>
    </row>
    <row r="33" spans="1:14" x14ac:dyDescent="0.35">
      <c r="A33">
        <v>32</v>
      </c>
      <c r="B33" t="s">
        <v>73</v>
      </c>
      <c r="C33" t="s">
        <v>14</v>
      </c>
      <c r="D33" t="s">
        <v>15</v>
      </c>
      <c r="E33" t="s">
        <v>74</v>
      </c>
      <c r="F33">
        <v>2006</v>
      </c>
      <c r="G33">
        <v>88</v>
      </c>
      <c r="H33">
        <v>0.27</v>
      </c>
      <c r="I33">
        <v>0.13</v>
      </c>
      <c r="J33">
        <v>0.08</v>
      </c>
      <c r="K33">
        <v>0.02</v>
      </c>
      <c r="L33">
        <v>0.04</v>
      </c>
      <c r="M33" t="s">
        <v>24</v>
      </c>
      <c r="N33" t="s">
        <v>1069</v>
      </c>
    </row>
    <row r="34" spans="1:14" x14ac:dyDescent="0.35">
      <c r="A34">
        <v>33</v>
      </c>
      <c r="B34" t="s">
        <v>75</v>
      </c>
      <c r="C34" t="s">
        <v>59</v>
      </c>
      <c r="D34" t="s">
        <v>48</v>
      </c>
      <c r="E34" t="s">
        <v>74</v>
      </c>
      <c r="F34">
        <v>1999</v>
      </c>
      <c r="G34">
        <v>94</v>
      </c>
      <c r="H34">
        <v>0.47</v>
      </c>
      <c r="I34">
        <v>0.19</v>
      </c>
      <c r="J34">
        <v>0.14000000000000001</v>
      </c>
      <c r="K34">
        <v>0.05</v>
      </c>
      <c r="L34">
        <v>0.09</v>
      </c>
      <c r="M34" t="s">
        <v>24</v>
      </c>
      <c r="N34" t="s">
        <v>1068</v>
      </c>
    </row>
    <row r="35" spans="1:14" x14ac:dyDescent="0.35">
      <c r="A35">
        <v>34</v>
      </c>
      <c r="B35" t="s">
        <v>76</v>
      </c>
      <c r="C35" t="s">
        <v>14</v>
      </c>
      <c r="D35" t="s">
        <v>37</v>
      </c>
      <c r="E35" t="s">
        <v>46</v>
      </c>
      <c r="F35">
        <v>2012</v>
      </c>
      <c r="G35">
        <v>59</v>
      </c>
      <c r="H35">
        <v>0.66</v>
      </c>
      <c r="I35">
        <v>0.3</v>
      </c>
      <c r="J35">
        <v>0.18</v>
      </c>
      <c r="K35">
        <v>0.05</v>
      </c>
      <c r="L35">
        <v>0.13</v>
      </c>
      <c r="M35" t="s">
        <v>17</v>
      </c>
      <c r="N35" t="s">
        <v>1071</v>
      </c>
    </row>
    <row r="36" spans="1:14" x14ac:dyDescent="0.35">
      <c r="A36">
        <v>35</v>
      </c>
      <c r="B36" t="s">
        <v>77</v>
      </c>
      <c r="C36" t="s">
        <v>14</v>
      </c>
      <c r="D36" t="s">
        <v>48</v>
      </c>
      <c r="E36" t="s">
        <v>43</v>
      </c>
      <c r="F36">
        <v>2007</v>
      </c>
      <c r="G36">
        <v>83</v>
      </c>
      <c r="H36">
        <v>3.35</v>
      </c>
      <c r="I36">
        <v>1.58</v>
      </c>
      <c r="J36">
        <v>1.17</v>
      </c>
      <c r="K36">
        <v>0.5</v>
      </c>
      <c r="L36">
        <v>0.1</v>
      </c>
      <c r="M36" t="s">
        <v>27</v>
      </c>
      <c r="N36" t="s">
        <v>1069</v>
      </c>
    </row>
    <row r="37" spans="1:14" x14ac:dyDescent="0.35">
      <c r="A37">
        <v>36</v>
      </c>
      <c r="B37" t="s">
        <v>78</v>
      </c>
      <c r="C37" t="s">
        <v>59</v>
      </c>
      <c r="D37" t="s">
        <v>65</v>
      </c>
      <c r="E37" t="s">
        <v>46</v>
      </c>
      <c r="F37">
        <v>2000</v>
      </c>
      <c r="G37">
        <v>71</v>
      </c>
      <c r="H37">
        <v>0.45</v>
      </c>
      <c r="I37">
        <v>0.21</v>
      </c>
      <c r="J37">
        <v>0.14000000000000001</v>
      </c>
      <c r="K37">
        <v>0.04</v>
      </c>
      <c r="L37">
        <v>0.06</v>
      </c>
      <c r="M37" t="s">
        <v>24</v>
      </c>
      <c r="N37" t="s">
        <v>1070</v>
      </c>
    </row>
    <row r="38" spans="1:14" x14ac:dyDescent="0.35">
      <c r="A38">
        <v>37</v>
      </c>
      <c r="B38" t="s">
        <v>79</v>
      </c>
      <c r="C38" t="s">
        <v>57</v>
      </c>
      <c r="D38" t="s">
        <v>65</v>
      </c>
      <c r="E38" t="s">
        <v>16</v>
      </c>
      <c r="F38">
        <v>2008</v>
      </c>
      <c r="G38">
        <v>60</v>
      </c>
      <c r="H38">
        <v>1.61</v>
      </c>
      <c r="I38">
        <v>0.57999999999999996</v>
      </c>
      <c r="J38">
        <v>0.4</v>
      </c>
      <c r="K38">
        <v>0.11</v>
      </c>
      <c r="L38">
        <v>0.52</v>
      </c>
      <c r="M38" t="s">
        <v>17</v>
      </c>
      <c r="N38" t="s">
        <v>1071</v>
      </c>
    </row>
    <row r="39" spans="1:14" x14ac:dyDescent="0.35">
      <c r="A39">
        <v>38</v>
      </c>
      <c r="B39" t="s">
        <v>80</v>
      </c>
      <c r="C39" t="s">
        <v>14</v>
      </c>
      <c r="D39" t="s">
        <v>62</v>
      </c>
      <c r="E39" t="s">
        <v>60</v>
      </c>
      <c r="F39">
        <v>2008</v>
      </c>
      <c r="G39">
        <v>55</v>
      </c>
      <c r="H39">
        <v>0.83</v>
      </c>
      <c r="I39">
        <v>0.3</v>
      </c>
      <c r="J39">
        <v>0.21</v>
      </c>
      <c r="K39">
        <v>0.11</v>
      </c>
      <c r="L39">
        <v>0.21</v>
      </c>
      <c r="M39" t="s">
        <v>17</v>
      </c>
      <c r="N39" t="s">
        <v>1071</v>
      </c>
    </row>
    <row r="40" spans="1:14" x14ac:dyDescent="0.35">
      <c r="A40">
        <v>39</v>
      </c>
      <c r="B40" t="s">
        <v>81</v>
      </c>
      <c r="C40" t="s">
        <v>19</v>
      </c>
      <c r="D40" t="s">
        <v>15</v>
      </c>
      <c r="E40" t="s">
        <v>46</v>
      </c>
      <c r="F40">
        <v>2015</v>
      </c>
      <c r="G40">
        <v>77</v>
      </c>
      <c r="H40">
        <v>0.45</v>
      </c>
      <c r="I40">
        <v>0.17</v>
      </c>
      <c r="J40">
        <v>0.14000000000000001</v>
      </c>
      <c r="K40">
        <v>0.08</v>
      </c>
      <c r="L40">
        <v>0.06</v>
      </c>
      <c r="M40" t="s">
        <v>24</v>
      </c>
      <c r="N40" t="s">
        <v>1070</v>
      </c>
    </row>
    <row r="41" spans="1:14" x14ac:dyDescent="0.35">
      <c r="A41">
        <v>40</v>
      </c>
      <c r="B41" t="s">
        <v>82</v>
      </c>
      <c r="C41" t="s">
        <v>19</v>
      </c>
      <c r="D41" t="s">
        <v>48</v>
      </c>
      <c r="E41" t="s">
        <v>54</v>
      </c>
      <c r="F41">
        <v>2015</v>
      </c>
      <c r="G41">
        <v>56</v>
      </c>
      <c r="H41">
        <v>1.7</v>
      </c>
      <c r="I41">
        <v>0.82</v>
      </c>
      <c r="J41">
        <v>0.53</v>
      </c>
      <c r="K41">
        <v>0.15</v>
      </c>
      <c r="L41">
        <v>0.2</v>
      </c>
      <c r="M41" t="s">
        <v>17</v>
      </c>
      <c r="N41" t="s">
        <v>1071</v>
      </c>
    </row>
    <row r="42" spans="1:14" x14ac:dyDescent="0.35">
      <c r="A42">
        <v>41</v>
      </c>
      <c r="B42" t="s">
        <v>83</v>
      </c>
      <c r="C42" t="s">
        <v>31</v>
      </c>
      <c r="D42" t="s">
        <v>33</v>
      </c>
      <c r="E42" t="s">
        <v>41</v>
      </c>
      <c r="F42">
        <v>2006</v>
      </c>
      <c r="G42">
        <v>69</v>
      </c>
      <c r="H42">
        <v>0.18</v>
      </c>
      <c r="I42">
        <v>0.09</v>
      </c>
      <c r="J42">
        <v>0.04</v>
      </c>
      <c r="K42">
        <v>0.03</v>
      </c>
      <c r="L42">
        <v>0.02</v>
      </c>
      <c r="M42" t="s">
        <v>24</v>
      </c>
      <c r="N42" t="s">
        <v>1071</v>
      </c>
    </row>
    <row r="43" spans="1:14" x14ac:dyDescent="0.35">
      <c r="A43">
        <v>42</v>
      </c>
      <c r="B43" t="s">
        <v>84</v>
      </c>
      <c r="C43" t="s">
        <v>19</v>
      </c>
      <c r="D43" t="s">
        <v>51</v>
      </c>
      <c r="E43" t="s">
        <v>49</v>
      </c>
      <c r="F43">
        <v>2018</v>
      </c>
      <c r="G43">
        <v>96</v>
      </c>
      <c r="H43">
        <v>0.85</v>
      </c>
      <c r="I43">
        <v>0.44</v>
      </c>
      <c r="J43">
        <v>0.21</v>
      </c>
      <c r="K43">
        <v>0.05</v>
      </c>
      <c r="L43">
        <v>0.15</v>
      </c>
      <c r="M43" t="s">
        <v>17</v>
      </c>
      <c r="N43" t="s">
        <v>1068</v>
      </c>
    </row>
    <row r="44" spans="1:14" x14ac:dyDescent="0.35">
      <c r="A44">
        <v>43</v>
      </c>
      <c r="B44" t="s">
        <v>85</v>
      </c>
      <c r="C44" t="s">
        <v>14</v>
      </c>
      <c r="D44" t="s">
        <v>2</v>
      </c>
      <c r="E44" t="s">
        <v>46</v>
      </c>
      <c r="F44">
        <v>2008</v>
      </c>
      <c r="G44">
        <v>93</v>
      </c>
      <c r="H44">
        <v>0.41</v>
      </c>
      <c r="I44">
        <v>0.17</v>
      </c>
      <c r="J44">
        <v>0.12</v>
      </c>
      <c r="K44">
        <v>0.05</v>
      </c>
      <c r="L44">
        <v>7.0000000000000007E-2</v>
      </c>
      <c r="M44" t="s">
        <v>24</v>
      </c>
      <c r="N44" t="s">
        <v>1068</v>
      </c>
    </row>
    <row r="45" spans="1:14" x14ac:dyDescent="0.35">
      <c r="A45">
        <v>44</v>
      </c>
      <c r="B45" t="s">
        <v>86</v>
      </c>
      <c r="C45" t="s">
        <v>19</v>
      </c>
      <c r="D45" t="s">
        <v>51</v>
      </c>
      <c r="E45" t="s">
        <v>20</v>
      </c>
      <c r="F45">
        <v>2016</v>
      </c>
      <c r="G45">
        <v>88</v>
      </c>
      <c r="H45">
        <v>3.37</v>
      </c>
      <c r="I45">
        <v>1.66</v>
      </c>
      <c r="J45">
        <v>1.05</v>
      </c>
      <c r="K45">
        <v>0.51</v>
      </c>
      <c r="L45">
        <v>0.15</v>
      </c>
      <c r="M45" t="s">
        <v>27</v>
      </c>
      <c r="N45" t="s">
        <v>1069</v>
      </c>
    </row>
    <row r="46" spans="1:14" x14ac:dyDescent="0.35">
      <c r="A46">
        <v>45</v>
      </c>
      <c r="B46" t="s">
        <v>87</v>
      </c>
      <c r="C46" t="s">
        <v>14</v>
      </c>
      <c r="D46" t="s">
        <v>33</v>
      </c>
      <c r="E46" t="s">
        <v>43</v>
      </c>
      <c r="F46">
        <v>2012</v>
      </c>
      <c r="G46">
        <v>97</v>
      </c>
      <c r="H46">
        <v>4.01</v>
      </c>
      <c r="I46">
        <v>1.64</v>
      </c>
      <c r="J46">
        <v>0.99</v>
      </c>
      <c r="K46">
        <v>0.45</v>
      </c>
      <c r="L46">
        <v>0.93</v>
      </c>
      <c r="M46" t="s">
        <v>27</v>
      </c>
      <c r="N46" t="s">
        <v>1068</v>
      </c>
    </row>
    <row r="47" spans="1:14" x14ac:dyDescent="0.35">
      <c r="A47">
        <v>46</v>
      </c>
      <c r="B47" t="s">
        <v>88</v>
      </c>
      <c r="C47" t="s">
        <v>19</v>
      </c>
      <c r="D47" t="s">
        <v>65</v>
      </c>
      <c r="E47" t="s">
        <v>54</v>
      </c>
      <c r="F47">
        <v>2017</v>
      </c>
      <c r="G47">
        <v>97</v>
      </c>
      <c r="H47">
        <v>4.09</v>
      </c>
      <c r="I47">
        <v>1.68</v>
      </c>
      <c r="J47">
        <v>1.1499999999999999</v>
      </c>
      <c r="K47">
        <v>0.2</v>
      </c>
      <c r="L47">
        <v>1.06</v>
      </c>
      <c r="M47" t="s">
        <v>27</v>
      </c>
      <c r="N47" t="s">
        <v>1068</v>
      </c>
    </row>
    <row r="48" spans="1:14" x14ac:dyDescent="0.35">
      <c r="A48">
        <v>47</v>
      </c>
      <c r="B48" t="s">
        <v>89</v>
      </c>
      <c r="C48" t="s">
        <v>14</v>
      </c>
      <c r="D48" t="s">
        <v>45</v>
      </c>
      <c r="E48" t="s">
        <v>74</v>
      </c>
      <c r="F48">
        <v>2009</v>
      </c>
      <c r="G48">
        <v>84</v>
      </c>
      <c r="H48">
        <v>0.45</v>
      </c>
      <c r="I48">
        <v>0.2</v>
      </c>
      <c r="J48">
        <v>0.14000000000000001</v>
      </c>
      <c r="K48">
        <v>0.09</v>
      </c>
      <c r="L48">
        <v>0.02</v>
      </c>
      <c r="M48" t="s">
        <v>24</v>
      </c>
      <c r="N48" t="s">
        <v>1069</v>
      </c>
    </row>
    <row r="49" spans="1:14" x14ac:dyDescent="0.35">
      <c r="A49">
        <v>48</v>
      </c>
      <c r="B49" t="s">
        <v>90</v>
      </c>
      <c r="C49" t="s">
        <v>57</v>
      </c>
      <c r="D49" t="s">
        <v>33</v>
      </c>
      <c r="E49" t="s">
        <v>46</v>
      </c>
      <c r="F49">
        <v>2006</v>
      </c>
      <c r="G49">
        <v>76</v>
      </c>
      <c r="H49">
        <v>0.26</v>
      </c>
      <c r="I49">
        <v>0.13</v>
      </c>
      <c r="J49">
        <v>0.06</v>
      </c>
      <c r="K49">
        <v>0.01</v>
      </c>
      <c r="L49">
        <v>0.06</v>
      </c>
      <c r="M49" t="s">
        <v>24</v>
      </c>
      <c r="N49" t="s">
        <v>1070</v>
      </c>
    </row>
    <row r="50" spans="1:14" x14ac:dyDescent="0.35">
      <c r="A50">
        <v>49</v>
      </c>
      <c r="B50" t="s">
        <v>91</v>
      </c>
      <c r="C50" t="s">
        <v>19</v>
      </c>
      <c r="D50" t="s">
        <v>62</v>
      </c>
      <c r="E50" t="s">
        <v>41</v>
      </c>
      <c r="F50">
        <v>2014</v>
      </c>
      <c r="G50">
        <v>79</v>
      </c>
      <c r="H50">
        <v>0.8</v>
      </c>
      <c r="I50">
        <v>0.38</v>
      </c>
      <c r="J50">
        <v>0.16</v>
      </c>
      <c r="K50">
        <v>0.13</v>
      </c>
      <c r="L50">
        <v>0.13</v>
      </c>
      <c r="M50" t="s">
        <v>17</v>
      </c>
      <c r="N50" t="s">
        <v>1070</v>
      </c>
    </row>
    <row r="51" spans="1:14" x14ac:dyDescent="0.35">
      <c r="A51">
        <v>50</v>
      </c>
      <c r="B51" t="s">
        <v>92</v>
      </c>
      <c r="C51" t="s">
        <v>64</v>
      </c>
      <c r="D51" t="s">
        <v>45</v>
      </c>
      <c r="E51" t="s">
        <v>52</v>
      </c>
      <c r="F51">
        <v>2012</v>
      </c>
      <c r="G51">
        <v>84</v>
      </c>
      <c r="H51">
        <v>0.12</v>
      </c>
      <c r="I51">
        <v>0.06</v>
      </c>
      <c r="J51">
        <v>0.03</v>
      </c>
      <c r="K51">
        <v>0.02</v>
      </c>
      <c r="L51">
        <v>0.01</v>
      </c>
      <c r="M51" t="s">
        <v>24</v>
      </c>
      <c r="N51" t="s">
        <v>1069</v>
      </c>
    </row>
    <row r="52" spans="1:14" x14ac:dyDescent="0.35">
      <c r="A52">
        <v>51</v>
      </c>
      <c r="B52" t="s">
        <v>93</v>
      </c>
      <c r="C52" t="s">
        <v>57</v>
      </c>
      <c r="D52" t="s">
        <v>65</v>
      </c>
      <c r="E52" t="s">
        <v>74</v>
      </c>
      <c r="F52">
        <v>2012</v>
      </c>
      <c r="G52">
        <v>94</v>
      </c>
      <c r="H52">
        <v>0.14000000000000001</v>
      </c>
      <c r="I52">
        <v>0.06</v>
      </c>
      <c r="J52">
        <v>0.03</v>
      </c>
      <c r="K52">
        <v>0.03</v>
      </c>
      <c r="L52">
        <v>0.02</v>
      </c>
      <c r="M52" t="s">
        <v>24</v>
      </c>
      <c r="N52" t="s">
        <v>1068</v>
      </c>
    </row>
    <row r="53" spans="1:14" x14ac:dyDescent="0.35">
      <c r="A53">
        <v>52</v>
      </c>
      <c r="B53" t="s">
        <v>94</v>
      </c>
      <c r="C53" t="s">
        <v>19</v>
      </c>
      <c r="D53" t="s">
        <v>48</v>
      </c>
      <c r="E53" t="s">
        <v>46</v>
      </c>
      <c r="F53">
        <v>2017</v>
      </c>
      <c r="G53">
        <v>95</v>
      </c>
      <c r="H53">
        <v>0.39</v>
      </c>
      <c r="I53">
        <v>0.19</v>
      </c>
      <c r="J53">
        <v>0.09</v>
      </c>
      <c r="K53">
        <v>0.04</v>
      </c>
      <c r="L53">
        <v>7.0000000000000007E-2</v>
      </c>
      <c r="M53" t="s">
        <v>24</v>
      </c>
      <c r="N53" t="s">
        <v>1068</v>
      </c>
    </row>
    <row r="54" spans="1:14" x14ac:dyDescent="0.35">
      <c r="A54">
        <v>53</v>
      </c>
      <c r="B54" t="s">
        <v>95</v>
      </c>
      <c r="C54" t="s">
        <v>23</v>
      </c>
      <c r="D54" t="s">
        <v>37</v>
      </c>
      <c r="E54" t="s">
        <v>54</v>
      </c>
      <c r="F54">
        <v>2020</v>
      </c>
      <c r="G54">
        <v>64</v>
      </c>
      <c r="H54">
        <v>1.04</v>
      </c>
      <c r="I54">
        <v>0.45</v>
      </c>
      <c r="J54">
        <v>0.28999999999999998</v>
      </c>
      <c r="K54">
        <v>0.12</v>
      </c>
      <c r="L54">
        <v>0.18</v>
      </c>
      <c r="M54" t="s">
        <v>17</v>
      </c>
      <c r="N54" t="s">
        <v>1071</v>
      </c>
    </row>
    <row r="55" spans="1:14" x14ac:dyDescent="0.35">
      <c r="A55">
        <v>54</v>
      </c>
      <c r="B55" t="s">
        <v>96</v>
      </c>
      <c r="C55" t="s">
        <v>31</v>
      </c>
      <c r="D55" t="s">
        <v>45</v>
      </c>
      <c r="E55" t="s">
        <v>41</v>
      </c>
      <c r="F55">
        <v>2006</v>
      </c>
      <c r="G55">
        <v>91</v>
      </c>
      <c r="H55">
        <v>0.26</v>
      </c>
      <c r="I55">
        <v>0.14000000000000001</v>
      </c>
      <c r="J55">
        <v>0.09</v>
      </c>
      <c r="K55">
        <v>0.03</v>
      </c>
      <c r="L55">
        <v>0</v>
      </c>
      <c r="M55" t="s">
        <v>24</v>
      </c>
      <c r="N55" t="s">
        <v>1068</v>
      </c>
    </row>
    <row r="56" spans="1:14" x14ac:dyDescent="0.35">
      <c r="A56">
        <v>55</v>
      </c>
      <c r="B56" t="s">
        <v>97</v>
      </c>
      <c r="C56" t="s">
        <v>57</v>
      </c>
      <c r="D56" t="s">
        <v>2</v>
      </c>
      <c r="E56" t="s">
        <v>52</v>
      </c>
      <c r="F56">
        <v>2012</v>
      </c>
      <c r="G56">
        <v>72</v>
      </c>
      <c r="H56">
        <v>0.43</v>
      </c>
      <c r="I56">
        <v>0.18</v>
      </c>
      <c r="J56">
        <v>0.13</v>
      </c>
      <c r="K56">
        <v>0.05</v>
      </c>
      <c r="L56">
        <v>7.0000000000000007E-2</v>
      </c>
      <c r="M56" t="s">
        <v>24</v>
      </c>
      <c r="N56" t="s">
        <v>1070</v>
      </c>
    </row>
    <row r="57" spans="1:14" x14ac:dyDescent="0.35">
      <c r="A57">
        <v>56</v>
      </c>
      <c r="B57" t="s">
        <v>98</v>
      </c>
      <c r="C57" t="s">
        <v>31</v>
      </c>
      <c r="D57" t="s">
        <v>62</v>
      </c>
      <c r="E57" t="s">
        <v>54</v>
      </c>
      <c r="F57">
        <v>2006</v>
      </c>
      <c r="G57">
        <v>56</v>
      </c>
      <c r="H57">
        <v>3.09</v>
      </c>
      <c r="I57">
        <v>1.49</v>
      </c>
      <c r="J57">
        <v>0.66</v>
      </c>
      <c r="K57">
        <v>0.35</v>
      </c>
      <c r="L57">
        <v>0.59</v>
      </c>
      <c r="M57" t="s">
        <v>27</v>
      </c>
      <c r="N57" t="s">
        <v>1071</v>
      </c>
    </row>
    <row r="58" spans="1:14" x14ac:dyDescent="0.35">
      <c r="A58">
        <v>57</v>
      </c>
      <c r="B58" t="s">
        <v>99</v>
      </c>
      <c r="C58" t="s">
        <v>64</v>
      </c>
      <c r="D58" t="s">
        <v>37</v>
      </c>
      <c r="E58" t="s">
        <v>20</v>
      </c>
      <c r="F58">
        <v>2018</v>
      </c>
      <c r="G58">
        <v>75</v>
      </c>
      <c r="H58">
        <v>0.15</v>
      </c>
      <c r="I58">
        <v>0.08</v>
      </c>
      <c r="J58">
        <v>0.04</v>
      </c>
      <c r="K58">
        <v>0.02</v>
      </c>
      <c r="L58">
        <v>0.01</v>
      </c>
      <c r="M58" t="s">
        <v>24</v>
      </c>
      <c r="N58" t="s">
        <v>1070</v>
      </c>
    </row>
    <row r="59" spans="1:14" x14ac:dyDescent="0.35">
      <c r="A59">
        <v>58</v>
      </c>
      <c r="B59" t="s">
        <v>100</v>
      </c>
      <c r="C59" t="s">
        <v>64</v>
      </c>
      <c r="D59" t="s">
        <v>51</v>
      </c>
      <c r="E59" t="s">
        <v>49</v>
      </c>
      <c r="F59">
        <v>2017</v>
      </c>
      <c r="G59">
        <v>89</v>
      </c>
      <c r="H59">
        <v>0.19</v>
      </c>
      <c r="I59">
        <v>0.1</v>
      </c>
      <c r="J59">
        <v>0.04</v>
      </c>
      <c r="K59">
        <v>0.01</v>
      </c>
      <c r="L59">
        <v>0.04</v>
      </c>
      <c r="M59" t="s">
        <v>24</v>
      </c>
      <c r="N59" t="s">
        <v>1069</v>
      </c>
    </row>
    <row r="60" spans="1:14" x14ac:dyDescent="0.35">
      <c r="A60">
        <v>59</v>
      </c>
      <c r="B60" t="s">
        <v>101</v>
      </c>
      <c r="C60" t="s">
        <v>31</v>
      </c>
      <c r="D60" t="s">
        <v>15</v>
      </c>
      <c r="E60" t="s">
        <v>74</v>
      </c>
      <c r="F60">
        <v>2001</v>
      </c>
      <c r="G60">
        <v>63</v>
      </c>
      <c r="H60">
        <v>0.63</v>
      </c>
      <c r="I60">
        <v>0.34</v>
      </c>
      <c r="J60">
        <v>0.17</v>
      </c>
      <c r="K60">
        <v>0.06</v>
      </c>
      <c r="L60">
        <v>0.06</v>
      </c>
      <c r="M60" t="s">
        <v>17</v>
      </c>
      <c r="N60" t="s">
        <v>1071</v>
      </c>
    </row>
    <row r="61" spans="1:14" x14ac:dyDescent="0.35">
      <c r="A61">
        <v>60</v>
      </c>
      <c r="B61" t="s">
        <v>102</v>
      </c>
      <c r="C61" t="s">
        <v>14</v>
      </c>
      <c r="D61" t="s">
        <v>2</v>
      </c>
      <c r="E61" t="s">
        <v>74</v>
      </c>
      <c r="F61">
        <v>2008</v>
      </c>
      <c r="G61">
        <v>74</v>
      </c>
      <c r="H61">
        <v>0.24</v>
      </c>
      <c r="I61">
        <v>0.13</v>
      </c>
      <c r="J61">
        <v>0.06</v>
      </c>
      <c r="K61">
        <v>0.04</v>
      </c>
      <c r="L61">
        <v>0.01</v>
      </c>
      <c r="M61" t="s">
        <v>24</v>
      </c>
      <c r="N61" t="s">
        <v>1070</v>
      </c>
    </row>
    <row r="62" spans="1:14" x14ac:dyDescent="0.35">
      <c r="A62">
        <v>61</v>
      </c>
      <c r="B62" t="s">
        <v>103</v>
      </c>
      <c r="C62" t="s">
        <v>59</v>
      </c>
      <c r="D62" t="s">
        <v>48</v>
      </c>
      <c r="E62" t="s">
        <v>49</v>
      </c>
      <c r="F62">
        <v>1999</v>
      </c>
      <c r="G62">
        <v>62</v>
      </c>
      <c r="H62">
        <v>1.1599999999999999</v>
      </c>
      <c r="I62">
        <v>0.42</v>
      </c>
      <c r="J62">
        <v>0.32</v>
      </c>
      <c r="K62">
        <v>0.17</v>
      </c>
      <c r="L62">
        <v>0.25</v>
      </c>
      <c r="M62" t="s">
        <v>17</v>
      </c>
      <c r="N62" t="s">
        <v>1071</v>
      </c>
    </row>
    <row r="63" spans="1:14" x14ac:dyDescent="0.35">
      <c r="A63">
        <v>62</v>
      </c>
      <c r="B63" t="s">
        <v>104</v>
      </c>
      <c r="C63" t="s">
        <v>59</v>
      </c>
      <c r="D63" t="s">
        <v>29</v>
      </c>
      <c r="E63" t="s">
        <v>20</v>
      </c>
      <c r="F63">
        <v>1999</v>
      </c>
      <c r="G63">
        <v>61</v>
      </c>
      <c r="H63">
        <v>0.34</v>
      </c>
      <c r="I63">
        <v>0.18</v>
      </c>
      <c r="J63">
        <v>0.09</v>
      </c>
      <c r="K63">
        <v>0.02</v>
      </c>
      <c r="L63">
        <v>0.05</v>
      </c>
      <c r="M63" t="s">
        <v>24</v>
      </c>
      <c r="N63" t="s">
        <v>1071</v>
      </c>
    </row>
    <row r="64" spans="1:14" x14ac:dyDescent="0.35">
      <c r="A64">
        <v>63</v>
      </c>
      <c r="B64" t="s">
        <v>105</v>
      </c>
      <c r="C64" t="s">
        <v>31</v>
      </c>
      <c r="D64" t="s">
        <v>65</v>
      </c>
      <c r="E64" t="s">
        <v>46</v>
      </c>
      <c r="F64">
        <v>2005</v>
      </c>
      <c r="G64">
        <v>85</v>
      </c>
      <c r="H64">
        <v>0.49</v>
      </c>
      <c r="I64">
        <v>0.23</v>
      </c>
      <c r="J64">
        <v>0.12</v>
      </c>
      <c r="K64">
        <v>0.04</v>
      </c>
      <c r="L64">
        <v>0.1</v>
      </c>
      <c r="M64" t="s">
        <v>24</v>
      </c>
      <c r="N64" t="s">
        <v>1069</v>
      </c>
    </row>
    <row r="65" spans="1:14" x14ac:dyDescent="0.35">
      <c r="A65">
        <v>64</v>
      </c>
      <c r="B65" t="s">
        <v>106</v>
      </c>
      <c r="C65" t="s">
        <v>59</v>
      </c>
      <c r="D65" t="s">
        <v>62</v>
      </c>
      <c r="E65" t="s">
        <v>52</v>
      </c>
      <c r="F65">
        <v>1997</v>
      </c>
      <c r="G65">
        <v>94</v>
      </c>
      <c r="H65">
        <v>0.6</v>
      </c>
      <c r="I65">
        <v>0.27</v>
      </c>
      <c r="J65">
        <v>0.15</v>
      </c>
      <c r="K65">
        <v>7.0000000000000007E-2</v>
      </c>
      <c r="L65">
        <v>0.11</v>
      </c>
      <c r="M65" t="s">
        <v>17</v>
      </c>
      <c r="N65" t="s">
        <v>1068</v>
      </c>
    </row>
    <row r="66" spans="1:14" x14ac:dyDescent="0.35">
      <c r="A66">
        <v>65</v>
      </c>
      <c r="B66" t="s">
        <v>107</v>
      </c>
      <c r="C66" t="s">
        <v>14</v>
      </c>
      <c r="D66" t="s">
        <v>29</v>
      </c>
      <c r="E66" t="s">
        <v>46</v>
      </c>
      <c r="F66">
        <v>2010</v>
      </c>
      <c r="G66">
        <v>90</v>
      </c>
      <c r="H66">
        <v>0.55000000000000004</v>
      </c>
      <c r="I66">
        <v>0.27</v>
      </c>
      <c r="J66">
        <v>0.16</v>
      </c>
      <c r="K66">
        <v>7.0000000000000007E-2</v>
      </c>
      <c r="L66">
        <v>0.05</v>
      </c>
      <c r="M66" t="s">
        <v>17</v>
      </c>
      <c r="N66" t="s">
        <v>1068</v>
      </c>
    </row>
    <row r="67" spans="1:14" x14ac:dyDescent="0.35">
      <c r="A67">
        <v>66</v>
      </c>
      <c r="B67" t="s">
        <v>108</v>
      </c>
      <c r="C67" t="s">
        <v>64</v>
      </c>
      <c r="D67" t="s">
        <v>33</v>
      </c>
      <c r="E67" t="s">
        <v>46</v>
      </c>
      <c r="F67">
        <v>2011</v>
      </c>
      <c r="G67">
        <v>70</v>
      </c>
      <c r="H67">
        <v>0.14000000000000001</v>
      </c>
      <c r="I67">
        <v>0.06</v>
      </c>
      <c r="J67">
        <v>0.04</v>
      </c>
      <c r="K67">
        <v>0.02</v>
      </c>
      <c r="L67">
        <v>0.02</v>
      </c>
      <c r="M67" t="s">
        <v>24</v>
      </c>
      <c r="N67" t="s">
        <v>1070</v>
      </c>
    </row>
    <row r="68" spans="1:14" x14ac:dyDescent="0.35">
      <c r="A68">
        <v>67</v>
      </c>
      <c r="B68" t="s">
        <v>109</v>
      </c>
      <c r="C68" t="s">
        <v>57</v>
      </c>
      <c r="D68" t="s">
        <v>29</v>
      </c>
      <c r="E68" t="s">
        <v>43</v>
      </c>
      <c r="F68">
        <v>2012</v>
      </c>
      <c r="G68">
        <v>74</v>
      </c>
      <c r="H68">
        <v>0.31</v>
      </c>
      <c r="I68">
        <v>0.12</v>
      </c>
      <c r="J68">
        <v>7.0000000000000007E-2</v>
      </c>
      <c r="K68">
        <v>0.04</v>
      </c>
      <c r="L68">
        <v>0.08</v>
      </c>
      <c r="M68" t="s">
        <v>24</v>
      </c>
      <c r="N68" t="s">
        <v>1070</v>
      </c>
    </row>
    <row r="69" spans="1:14" x14ac:dyDescent="0.35">
      <c r="A69">
        <v>68</v>
      </c>
      <c r="B69" t="s">
        <v>110</v>
      </c>
      <c r="C69" t="s">
        <v>64</v>
      </c>
      <c r="D69" t="s">
        <v>48</v>
      </c>
      <c r="E69" t="s">
        <v>52</v>
      </c>
      <c r="F69">
        <v>2013</v>
      </c>
      <c r="G69">
        <v>92</v>
      </c>
      <c r="H69">
        <v>1.39</v>
      </c>
      <c r="I69">
        <v>0.56999999999999995</v>
      </c>
      <c r="J69">
        <v>0.3</v>
      </c>
      <c r="K69">
        <v>0.11</v>
      </c>
      <c r="L69">
        <v>0.41</v>
      </c>
      <c r="M69" t="s">
        <v>17</v>
      </c>
      <c r="N69" t="s">
        <v>1068</v>
      </c>
    </row>
    <row r="70" spans="1:14" x14ac:dyDescent="0.35">
      <c r="A70">
        <v>69</v>
      </c>
      <c r="B70" t="s">
        <v>111</v>
      </c>
      <c r="C70" t="s">
        <v>31</v>
      </c>
      <c r="D70" t="s">
        <v>37</v>
      </c>
      <c r="E70" t="s">
        <v>46</v>
      </c>
      <c r="F70">
        <v>2002</v>
      </c>
      <c r="G70">
        <v>63</v>
      </c>
      <c r="H70">
        <v>0.87</v>
      </c>
      <c r="I70">
        <v>0.33</v>
      </c>
      <c r="J70">
        <v>0.28999999999999998</v>
      </c>
      <c r="K70">
        <v>0.11</v>
      </c>
      <c r="L70">
        <v>0.14000000000000001</v>
      </c>
      <c r="M70" t="s">
        <v>17</v>
      </c>
      <c r="N70" t="s">
        <v>1071</v>
      </c>
    </row>
    <row r="71" spans="1:14" x14ac:dyDescent="0.35">
      <c r="A71">
        <v>70</v>
      </c>
      <c r="B71" t="s">
        <v>112</v>
      </c>
      <c r="C71" t="s">
        <v>64</v>
      </c>
      <c r="D71" t="s">
        <v>2</v>
      </c>
      <c r="E71" t="s">
        <v>46</v>
      </c>
      <c r="F71">
        <v>2011</v>
      </c>
      <c r="G71">
        <v>83</v>
      </c>
      <c r="H71">
        <v>0.28999999999999998</v>
      </c>
      <c r="I71">
        <v>0.14000000000000001</v>
      </c>
      <c r="J71">
        <v>0.06</v>
      </c>
      <c r="K71">
        <v>0.05</v>
      </c>
      <c r="L71">
        <v>0.04</v>
      </c>
      <c r="M71" t="s">
        <v>24</v>
      </c>
      <c r="N71" t="s">
        <v>1069</v>
      </c>
    </row>
    <row r="72" spans="1:14" x14ac:dyDescent="0.35">
      <c r="A72">
        <v>71</v>
      </c>
      <c r="B72" t="s">
        <v>113</v>
      </c>
      <c r="C72" t="s">
        <v>14</v>
      </c>
      <c r="D72" t="s">
        <v>48</v>
      </c>
      <c r="E72" t="s">
        <v>49</v>
      </c>
      <c r="F72">
        <v>2007</v>
      </c>
      <c r="G72">
        <v>93</v>
      </c>
      <c r="H72">
        <v>0.87</v>
      </c>
      <c r="I72">
        <v>0.44</v>
      </c>
      <c r="J72">
        <v>0.22</v>
      </c>
      <c r="K72">
        <v>0.16</v>
      </c>
      <c r="L72">
        <v>0.05</v>
      </c>
      <c r="M72" t="s">
        <v>17</v>
      </c>
      <c r="N72" t="s">
        <v>1068</v>
      </c>
    </row>
    <row r="73" spans="1:14" x14ac:dyDescent="0.35">
      <c r="A73">
        <v>72</v>
      </c>
      <c r="B73" t="s">
        <v>114</v>
      </c>
      <c r="C73" t="s">
        <v>14</v>
      </c>
      <c r="D73" t="s">
        <v>51</v>
      </c>
      <c r="E73" t="s">
        <v>74</v>
      </c>
      <c r="F73">
        <v>2012</v>
      </c>
      <c r="G73">
        <v>94</v>
      </c>
      <c r="H73">
        <v>1.74</v>
      </c>
      <c r="I73">
        <v>0.7</v>
      </c>
      <c r="J73">
        <v>0.37</v>
      </c>
      <c r="K73">
        <v>0.15</v>
      </c>
      <c r="L73">
        <v>0.52</v>
      </c>
      <c r="M73" t="s">
        <v>17</v>
      </c>
      <c r="N73" t="s">
        <v>1068</v>
      </c>
    </row>
    <row r="74" spans="1:14" x14ac:dyDescent="0.35">
      <c r="A74">
        <v>73</v>
      </c>
      <c r="B74" t="s">
        <v>115</v>
      </c>
      <c r="C74" t="s">
        <v>23</v>
      </c>
      <c r="D74" t="s">
        <v>37</v>
      </c>
      <c r="E74" t="s">
        <v>20</v>
      </c>
      <c r="F74">
        <v>2020</v>
      </c>
      <c r="G74">
        <v>93</v>
      </c>
      <c r="H74">
        <v>0.7</v>
      </c>
      <c r="I74">
        <v>0.28999999999999998</v>
      </c>
      <c r="J74">
        <v>0.17</v>
      </c>
      <c r="K74">
        <v>0.13</v>
      </c>
      <c r="L74">
        <v>0.11</v>
      </c>
      <c r="M74" t="s">
        <v>17</v>
      </c>
      <c r="N74" t="s">
        <v>1068</v>
      </c>
    </row>
    <row r="75" spans="1:14" x14ac:dyDescent="0.35">
      <c r="A75">
        <v>74</v>
      </c>
      <c r="B75" t="s">
        <v>116</v>
      </c>
      <c r="C75" t="s">
        <v>59</v>
      </c>
      <c r="D75" t="s">
        <v>48</v>
      </c>
      <c r="E75" t="s">
        <v>46</v>
      </c>
      <c r="F75">
        <v>2000</v>
      </c>
      <c r="G75">
        <v>82</v>
      </c>
      <c r="H75">
        <v>0.19</v>
      </c>
      <c r="I75">
        <v>7.0000000000000007E-2</v>
      </c>
      <c r="J75">
        <v>0.05</v>
      </c>
      <c r="K75">
        <v>0.01</v>
      </c>
      <c r="L75">
        <v>0.06</v>
      </c>
      <c r="M75" t="s">
        <v>24</v>
      </c>
      <c r="N75" t="s">
        <v>1069</v>
      </c>
    </row>
    <row r="76" spans="1:14" x14ac:dyDescent="0.35">
      <c r="A76">
        <v>75</v>
      </c>
      <c r="B76" t="s">
        <v>117</v>
      </c>
      <c r="C76" t="s">
        <v>59</v>
      </c>
      <c r="D76" t="s">
        <v>51</v>
      </c>
      <c r="E76" t="s">
        <v>74</v>
      </c>
      <c r="F76">
        <v>1996</v>
      </c>
      <c r="G76">
        <v>83</v>
      </c>
      <c r="H76">
        <v>0.06</v>
      </c>
      <c r="I76">
        <v>0.03</v>
      </c>
      <c r="J76">
        <v>0.02</v>
      </c>
      <c r="K76">
        <v>0.01</v>
      </c>
      <c r="L76">
        <v>0</v>
      </c>
      <c r="M76" t="s">
        <v>24</v>
      </c>
      <c r="N76" t="s">
        <v>1069</v>
      </c>
    </row>
    <row r="77" spans="1:14" x14ac:dyDescent="0.35">
      <c r="A77">
        <v>76</v>
      </c>
      <c r="B77" t="s">
        <v>118</v>
      </c>
      <c r="C77" t="s">
        <v>19</v>
      </c>
      <c r="D77" t="s">
        <v>33</v>
      </c>
      <c r="E77" t="s">
        <v>74</v>
      </c>
      <c r="F77">
        <v>2020</v>
      </c>
      <c r="G77">
        <v>75</v>
      </c>
      <c r="H77">
        <v>0.96</v>
      </c>
      <c r="I77">
        <v>0.38</v>
      </c>
      <c r="J77">
        <v>0.28999999999999998</v>
      </c>
      <c r="K77">
        <v>0.17</v>
      </c>
      <c r="L77">
        <v>0.12</v>
      </c>
      <c r="M77" t="s">
        <v>17</v>
      </c>
      <c r="N77" t="s">
        <v>1070</v>
      </c>
    </row>
    <row r="78" spans="1:14" x14ac:dyDescent="0.35">
      <c r="A78">
        <v>77</v>
      </c>
      <c r="B78" t="s">
        <v>119</v>
      </c>
      <c r="C78" t="s">
        <v>23</v>
      </c>
      <c r="D78" t="s">
        <v>51</v>
      </c>
      <c r="E78" t="s">
        <v>74</v>
      </c>
      <c r="F78">
        <v>2020</v>
      </c>
      <c r="G78">
        <v>85</v>
      </c>
      <c r="H78">
        <v>0.78</v>
      </c>
      <c r="I78">
        <v>0.32</v>
      </c>
      <c r="J78">
        <v>0.27</v>
      </c>
      <c r="K78">
        <v>0.09</v>
      </c>
      <c r="L78">
        <v>0.1</v>
      </c>
      <c r="M78" t="s">
        <v>17</v>
      </c>
      <c r="N78" t="s">
        <v>1069</v>
      </c>
    </row>
    <row r="79" spans="1:14" x14ac:dyDescent="0.35">
      <c r="A79">
        <v>78</v>
      </c>
      <c r="B79" t="s">
        <v>120</v>
      </c>
      <c r="C79" t="s">
        <v>64</v>
      </c>
      <c r="D79" t="s">
        <v>33</v>
      </c>
      <c r="E79" t="s">
        <v>16</v>
      </c>
      <c r="F79">
        <v>2018</v>
      </c>
      <c r="G79">
        <v>76</v>
      </c>
      <c r="H79">
        <v>0.22</v>
      </c>
      <c r="I79">
        <v>0.08</v>
      </c>
      <c r="J79">
        <v>0.06</v>
      </c>
      <c r="K79">
        <v>0.03</v>
      </c>
      <c r="L79">
        <v>0.05</v>
      </c>
      <c r="M79" t="s">
        <v>24</v>
      </c>
      <c r="N79" t="s">
        <v>1070</v>
      </c>
    </row>
    <row r="80" spans="1:14" x14ac:dyDescent="0.35">
      <c r="A80">
        <v>79</v>
      </c>
      <c r="B80" t="s">
        <v>121</v>
      </c>
      <c r="C80" t="s">
        <v>57</v>
      </c>
      <c r="D80" t="s">
        <v>65</v>
      </c>
      <c r="E80" t="s">
        <v>20</v>
      </c>
      <c r="F80">
        <v>2010</v>
      </c>
      <c r="G80">
        <v>75</v>
      </c>
      <c r="H80">
        <v>0.31</v>
      </c>
      <c r="I80">
        <v>0.16</v>
      </c>
      <c r="J80">
        <v>0.1</v>
      </c>
      <c r="K80">
        <v>0.05</v>
      </c>
      <c r="L80">
        <v>0</v>
      </c>
      <c r="M80" t="s">
        <v>24</v>
      </c>
      <c r="N80" t="s">
        <v>1070</v>
      </c>
    </row>
    <row r="81" spans="1:14" x14ac:dyDescent="0.35">
      <c r="A81">
        <v>80</v>
      </c>
      <c r="B81" t="s">
        <v>122</v>
      </c>
      <c r="C81" t="s">
        <v>59</v>
      </c>
      <c r="D81" t="s">
        <v>65</v>
      </c>
      <c r="E81" t="s">
        <v>16</v>
      </c>
      <c r="F81">
        <v>2000</v>
      </c>
      <c r="G81">
        <v>67</v>
      </c>
      <c r="H81">
        <v>0.44</v>
      </c>
      <c r="I81">
        <v>0.2</v>
      </c>
      <c r="J81">
        <v>0.12</v>
      </c>
      <c r="K81">
        <v>0.03</v>
      </c>
      <c r="L81">
        <v>0.09</v>
      </c>
      <c r="M81" t="s">
        <v>24</v>
      </c>
      <c r="N81" t="s">
        <v>1071</v>
      </c>
    </row>
    <row r="82" spans="1:14" x14ac:dyDescent="0.35">
      <c r="A82">
        <v>81</v>
      </c>
      <c r="B82" t="s">
        <v>123</v>
      </c>
      <c r="C82" t="s">
        <v>14</v>
      </c>
      <c r="D82" t="s">
        <v>51</v>
      </c>
      <c r="E82" t="s">
        <v>16</v>
      </c>
      <c r="F82">
        <v>2008</v>
      </c>
      <c r="G82">
        <v>56</v>
      </c>
      <c r="H82">
        <v>0.37</v>
      </c>
      <c r="I82">
        <v>0.17</v>
      </c>
      <c r="J82">
        <v>0.1</v>
      </c>
      <c r="K82">
        <v>0.02</v>
      </c>
      <c r="L82">
        <v>0.08</v>
      </c>
      <c r="M82" t="s">
        <v>24</v>
      </c>
      <c r="N82" t="s">
        <v>1071</v>
      </c>
    </row>
    <row r="83" spans="1:14" x14ac:dyDescent="0.35">
      <c r="A83">
        <v>82</v>
      </c>
      <c r="B83" t="s">
        <v>124</v>
      </c>
      <c r="C83" t="s">
        <v>64</v>
      </c>
      <c r="D83" t="s">
        <v>62</v>
      </c>
      <c r="E83" t="s">
        <v>49</v>
      </c>
      <c r="F83">
        <v>2012</v>
      </c>
      <c r="G83">
        <v>73</v>
      </c>
      <c r="H83">
        <v>0.3</v>
      </c>
      <c r="I83">
        <v>0.16</v>
      </c>
      <c r="J83">
        <v>0.1</v>
      </c>
      <c r="K83">
        <v>0.03</v>
      </c>
      <c r="L83">
        <v>0.01</v>
      </c>
      <c r="M83" t="s">
        <v>24</v>
      </c>
      <c r="N83" t="s">
        <v>1070</v>
      </c>
    </row>
    <row r="84" spans="1:14" x14ac:dyDescent="0.35">
      <c r="A84">
        <v>83</v>
      </c>
      <c r="B84" t="s">
        <v>125</v>
      </c>
      <c r="C84" t="s">
        <v>23</v>
      </c>
      <c r="D84" t="s">
        <v>45</v>
      </c>
      <c r="E84" t="s">
        <v>52</v>
      </c>
      <c r="F84">
        <v>2021</v>
      </c>
      <c r="G84">
        <v>63</v>
      </c>
      <c r="H84">
        <v>1.6</v>
      </c>
      <c r="I84">
        <v>0.81</v>
      </c>
      <c r="J84">
        <v>0.42</v>
      </c>
      <c r="K84">
        <v>0.3</v>
      </c>
      <c r="L84">
        <v>7.0000000000000007E-2</v>
      </c>
      <c r="M84" t="s">
        <v>17</v>
      </c>
      <c r="N84" t="s">
        <v>1071</v>
      </c>
    </row>
    <row r="85" spans="1:14" x14ac:dyDescent="0.35">
      <c r="A85">
        <v>84</v>
      </c>
      <c r="B85" t="s">
        <v>126</v>
      </c>
      <c r="C85" t="s">
        <v>23</v>
      </c>
      <c r="D85" t="s">
        <v>15</v>
      </c>
      <c r="E85" t="s">
        <v>46</v>
      </c>
      <c r="F85">
        <v>2022</v>
      </c>
      <c r="G85">
        <v>92</v>
      </c>
      <c r="H85">
        <v>0.23</v>
      </c>
      <c r="I85">
        <v>0.1</v>
      </c>
      <c r="J85">
        <v>7.0000000000000007E-2</v>
      </c>
      <c r="K85">
        <v>0.03</v>
      </c>
      <c r="L85">
        <v>0.03</v>
      </c>
      <c r="M85" t="s">
        <v>24</v>
      </c>
      <c r="N85" t="s">
        <v>1068</v>
      </c>
    </row>
    <row r="86" spans="1:14" x14ac:dyDescent="0.35">
      <c r="A86">
        <v>85</v>
      </c>
      <c r="B86" t="s">
        <v>127</v>
      </c>
      <c r="C86" t="s">
        <v>19</v>
      </c>
      <c r="D86" t="s">
        <v>48</v>
      </c>
      <c r="E86" t="s">
        <v>52</v>
      </c>
      <c r="F86">
        <v>2018</v>
      </c>
      <c r="G86">
        <v>69</v>
      </c>
      <c r="H86">
        <v>2.06</v>
      </c>
      <c r="I86">
        <v>0.85</v>
      </c>
      <c r="J86">
        <v>0.56000000000000005</v>
      </c>
      <c r="K86">
        <v>0.39</v>
      </c>
      <c r="L86">
        <v>0.26</v>
      </c>
      <c r="M86" t="s">
        <v>27</v>
      </c>
      <c r="N86" t="s">
        <v>1071</v>
      </c>
    </row>
    <row r="87" spans="1:14" x14ac:dyDescent="0.35">
      <c r="A87">
        <v>86</v>
      </c>
      <c r="B87" t="s">
        <v>128</v>
      </c>
      <c r="C87" t="s">
        <v>19</v>
      </c>
      <c r="D87" t="s">
        <v>37</v>
      </c>
      <c r="E87" t="s">
        <v>16</v>
      </c>
      <c r="F87">
        <v>2019</v>
      </c>
      <c r="G87">
        <v>87</v>
      </c>
      <c r="H87">
        <v>2.38</v>
      </c>
      <c r="I87">
        <v>0.88</v>
      </c>
      <c r="J87">
        <v>0.78</v>
      </c>
      <c r="K87">
        <v>0.15</v>
      </c>
      <c r="L87">
        <v>0.56999999999999995</v>
      </c>
      <c r="M87" t="s">
        <v>27</v>
      </c>
      <c r="N87" t="s">
        <v>1069</v>
      </c>
    </row>
    <row r="88" spans="1:14" x14ac:dyDescent="0.35">
      <c r="A88">
        <v>87</v>
      </c>
      <c r="B88" t="s">
        <v>129</v>
      </c>
      <c r="C88" t="s">
        <v>19</v>
      </c>
      <c r="D88" t="s">
        <v>37</v>
      </c>
      <c r="E88" t="s">
        <v>41</v>
      </c>
      <c r="F88">
        <v>2013</v>
      </c>
      <c r="G88">
        <v>85</v>
      </c>
      <c r="H88">
        <v>1.46</v>
      </c>
      <c r="I88">
        <v>0.69</v>
      </c>
      <c r="J88">
        <v>0.38</v>
      </c>
      <c r="K88">
        <v>0.09</v>
      </c>
      <c r="L88">
        <v>0.3</v>
      </c>
      <c r="M88" t="s">
        <v>17</v>
      </c>
      <c r="N88" t="s">
        <v>1069</v>
      </c>
    </row>
    <row r="89" spans="1:14" x14ac:dyDescent="0.35">
      <c r="A89">
        <v>88</v>
      </c>
      <c r="B89" t="s">
        <v>130</v>
      </c>
      <c r="C89" t="s">
        <v>14</v>
      </c>
      <c r="D89" t="s">
        <v>29</v>
      </c>
      <c r="E89" t="s">
        <v>16</v>
      </c>
      <c r="F89">
        <v>2012</v>
      </c>
      <c r="G89">
        <v>94</v>
      </c>
      <c r="H89">
        <v>1.1599999999999999</v>
      </c>
      <c r="I89">
        <v>0.43</v>
      </c>
      <c r="J89">
        <v>0.34</v>
      </c>
      <c r="K89">
        <v>0.21</v>
      </c>
      <c r="L89">
        <v>0.18</v>
      </c>
      <c r="M89" t="s">
        <v>17</v>
      </c>
      <c r="N89" t="s">
        <v>1068</v>
      </c>
    </row>
    <row r="90" spans="1:14" x14ac:dyDescent="0.35">
      <c r="A90">
        <v>89</v>
      </c>
      <c r="B90" t="s">
        <v>131</v>
      </c>
      <c r="C90" t="s">
        <v>19</v>
      </c>
      <c r="D90" t="s">
        <v>51</v>
      </c>
      <c r="E90" t="s">
        <v>20</v>
      </c>
      <c r="F90">
        <v>2015</v>
      </c>
      <c r="G90">
        <v>58</v>
      </c>
      <c r="H90">
        <v>0.49</v>
      </c>
      <c r="I90">
        <v>0.19</v>
      </c>
      <c r="J90">
        <v>0.14000000000000001</v>
      </c>
      <c r="K90">
        <v>7.0000000000000007E-2</v>
      </c>
      <c r="L90">
        <v>0.09</v>
      </c>
      <c r="M90" t="s">
        <v>24</v>
      </c>
      <c r="N90" t="s">
        <v>1071</v>
      </c>
    </row>
    <row r="91" spans="1:14" x14ac:dyDescent="0.35">
      <c r="A91">
        <v>90</v>
      </c>
      <c r="B91" t="s">
        <v>132</v>
      </c>
      <c r="C91" t="s">
        <v>64</v>
      </c>
      <c r="D91" t="s">
        <v>37</v>
      </c>
      <c r="E91" t="s">
        <v>54</v>
      </c>
      <c r="F91">
        <v>2013</v>
      </c>
      <c r="G91">
        <v>79</v>
      </c>
      <c r="H91">
        <v>0.38</v>
      </c>
      <c r="I91">
        <v>0.2</v>
      </c>
      <c r="J91">
        <v>0.08</v>
      </c>
      <c r="K91">
        <v>0.05</v>
      </c>
      <c r="L91">
        <v>0.05</v>
      </c>
      <c r="M91" t="s">
        <v>24</v>
      </c>
      <c r="N91" t="s">
        <v>1070</v>
      </c>
    </row>
    <row r="92" spans="1:14" x14ac:dyDescent="0.35">
      <c r="A92">
        <v>91</v>
      </c>
      <c r="B92" t="s">
        <v>133</v>
      </c>
      <c r="C92" t="s">
        <v>14</v>
      </c>
      <c r="D92" t="s">
        <v>51</v>
      </c>
      <c r="E92" t="s">
        <v>20</v>
      </c>
      <c r="F92">
        <v>2013</v>
      </c>
      <c r="G92">
        <v>98</v>
      </c>
      <c r="H92">
        <v>0.64</v>
      </c>
      <c r="I92">
        <v>0.34</v>
      </c>
      <c r="J92">
        <v>0.22</v>
      </c>
      <c r="K92">
        <v>0.06</v>
      </c>
      <c r="L92">
        <v>0.02</v>
      </c>
      <c r="M92" t="s">
        <v>17</v>
      </c>
      <c r="N92" t="s">
        <v>1068</v>
      </c>
    </row>
    <row r="93" spans="1:14" x14ac:dyDescent="0.35">
      <c r="A93">
        <v>92</v>
      </c>
      <c r="B93" t="s">
        <v>134</v>
      </c>
      <c r="C93" t="s">
        <v>19</v>
      </c>
      <c r="D93" t="s">
        <v>62</v>
      </c>
      <c r="E93" t="s">
        <v>46</v>
      </c>
      <c r="F93">
        <v>2017</v>
      </c>
      <c r="G93">
        <v>85</v>
      </c>
      <c r="H93">
        <v>0.3</v>
      </c>
      <c r="I93">
        <v>0.13</v>
      </c>
      <c r="J93">
        <v>7.0000000000000007E-2</v>
      </c>
      <c r="K93">
        <v>0.05</v>
      </c>
      <c r="L93">
        <v>0.05</v>
      </c>
      <c r="M93" t="s">
        <v>24</v>
      </c>
      <c r="N93" t="s">
        <v>1069</v>
      </c>
    </row>
    <row r="94" spans="1:14" x14ac:dyDescent="0.35">
      <c r="A94">
        <v>93</v>
      </c>
      <c r="B94" t="s">
        <v>135</v>
      </c>
      <c r="C94" t="s">
        <v>59</v>
      </c>
      <c r="D94" t="s">
        <v>45</v>
      </c>
      <c r="E94" t="s">
        <v>46</v>
      </c>
      <c r="F94">
        <v>2000</v>
      </c>
      <c r="G94">
        <v>98</v>
      </c>
      <c r="H94">
        <v>0.7</v>
      </c>
      <c r="I94">
        <v>0.36</v>
      </c>
      <c r="J94">
        <v>0.16</v>
      </c>
      <c r="K94">
        <v>0.05</v>
      </c>
      <c r="L94">
        <v>0.13</v>
      </c>
      <c r="M94" t="s">
        <v>17</v>
      </c>
      <c r="N94" t="s">
        <v>1068</v>
      </c>
    </row>
    <row r="95" spans="1:14" x14ac:dyDescent="0.35">
      <c r="A95">
        <v>94</v>
      </c>
      <c r="B95" t="s">
        <v>136</v>
      </c>
      <c r="C95" t="s">
        <v>14</v>
      </c>
      <c r="D95" t="s">
        <v>33</v>
      </c>
      <c r="E95" t="s">
        <v>20</v>
      </c>
      <c r="F95">
        <v>2008</v>
      </c>
      <c r="G95">
        <v>57</v>
      </c>
      <c r="H95">
        <v>0.93</v>
      </c>
      <c r="I95">
        <v>0.34</v>
      </c>
      <c r="J95">
        <v>0.23</v>
      </c>
      <c r="K95">
        <v>0.15</v>
      </c>
      <c r="L95">
        <v>0.21</v>
      </c>
      <c r="M95" t="s">
        <v>17</v>
      </c>
      <c r="N95" t="s">
        <v>1071</v>
      </c>
    </row>
    <row r="96" spans="1:14" x14ac:dyDescent="0.35">
      <c r="A96">
        <v>95</v>
      </c>
      <c r="B96" t="s">
        <v>137</v>
      </c>
      <c r="C96" t="s">
        <v>31</v>
      </c>
      <c r="D96" t="s">
        <v>37</v>
      </c>
      <c r="E96" t="s">
        <v>60</v>
      </c>
      <c r="F96">
        <v>2001</v>
      </c>
      <c r="G96">
        <v>87</v>
      </c>
      <c r="H96">
        <v>0.08</v>
      </c>
      <c r="I96">
        <v>0.04</v>
      </c>
      <c r="J96">
        <v>0.03</v>
      </c>
      <c r="K96">
        <v>0.01</v>
      </c>
      <c r="L96">
        <v>0</v>
      </c>
      <c r="M96" t="s">
        <v>24</v>
      </c>
      <c r="N96" t="s">
        <v>1069</v>
      </c>
    </row>
    <row r="97" spans="1:14" x14ac:dyDescent="0.35">
      <c r="A97">
        <v>96</v>
      </c>
      <c r="B97" t="s">
        <v>138</v>
      </c>
      <c r="C97" t="s">
        <v>14</v>
      </c>
      <c r="D97" t="s">
        <v>62</v>
      </c>
      <c r="E97" t="s">
        <v>49</v>
      </c>
      <c r="F97">
        <v>2007</v>
      </c>
      <c r="G97">
        <v>98</v>
      </c>
      <c r="H97">
        <v>0.22</v>
      </c>
      <c r="I97">
        <v>0.08</v>
      </c>
      <c r="J97">
        <v>0.06</v>
      </c>
      <c r="K97">
        <v>0.03</v>
      </c>
      <c r="L97">
        <v>0.05</v>
      </c>
      <c r="M97" t="s">
        <v>24</v>
      </c>
      <c r="N97" t="s">
        <v>1068</v>
      </c>
    </row>
    <row r="98" spans="1:14" x14ac:dyDescent="0.35">
      <c r="A98">
        <v>97</v>
      </c>
      <c r="B98" t="s">
        <v>139</v>
      </c>
      <c r="C98" t="s">
        <v>57</v>
      </c>
      <c r="D98" t="s">
        <v>51</v>
      </c>
      <c r="E98" t="s">
        <v>74</v>
      </c>
      <c r="F98">
        <v>2014</v>
      </c>
      <c r="G98">
        <v>61</v>
      </c>
      <c r="H98">
        <v>0.8</v>
      </c>
      <c r="I98">
        <v>0.38</v>
      </c>
      <c r="J98">
        <v>0.27</v>
      </c>
      <c r="K98">
        <v>0.08</v>
      </c>
      <c r="L98">
        <v>7.0000000000000007E-2</v>
      </c>
      <c r="M98" t="s">
        <v>17</v>
      </c>
      <c r="N98" t="s">
        <v>1071</v>
      </c>
    </row>
    <row r="99" spans="1:14" x14ac:dyDescent="0.35">
      <c r="A99">
        <v>98</v>
      </c>
      <c r="B99" t="s">
        <v>140</v>
      </c>
      <c r="C99" t="s">
        <v>23</v>
      </c>
      <c r="D99" t="s">
        <v>33</v>
      </c>
      <c r="E99" t="s">
        <v>16</v>
      </c>
      <c r="F99">
        <v>2021</v>
      </c>
      <c r="G99">
        <v>62</v>
      </c>
      <c r="H99">
        <v>0.41</v>
      </c>
      <c r="I99">
        <v>0.15</v>
      </c>
      <c r="J99">
        <v>0.14000000000000001</v>
      </c>
      <c r="K99">
        <v>0.03</v>
      </c>
      <c r="L99">
        <v>0.09</v>
      </c>
      <c r="M99" t="s">
        <v>24</v>
      </c>
      <c r="N99" t="s">
        <v>1071</v>
      </c>
    </row>
    <row r="100" spans="1:14" x14ac:dyDescent="0.35">
      <c r="A100">
        <v>99</v>
      </c>
      <c r="B100" t="s">
        <v>141</v>
      </c>
      <c r="C100" t="s">
        <v>19</v>
      </c>
      <c r="D100" t="s">
        <v>65</v>
      </c>
      <c r="E100" t="s">
        <v>41</v>
      </c>
      <c r="F100">
        <v>2018</v>
      </c>
      <c r="G100">
        <v>81</v>
      </c>
      <c r="H100">
        <v>3.41</v>
      </c>
      <c r="I100">
        <v>1.61</v>
      </c>
      <c r="J100">
        <v>1.1599999999999999</v>
      </c>
      <c r="K100">
        <v>0.31</v>
      </c>
      <c r="L100">
        <v>0.33</v>
      </c>
      <c r="M100" t="s">
        <v>27</v>
      </c>
      <c r="N100" t="s">
        <v>1069</v>
      </c>
    </row>
    <row r="101" spans="1:14" x14ac:dyDescent="0.35">
      <c r="A101">
        <v>100</v>
      </c>
      <c r="B101" t="s">
        <v>142</v>
      </c>
      <c r="C101" t="s">
        <v>57</v>
      </c>
      <c r="D101" t="s">
        <v>48</v>
      </c>
      <c r="E101" t="s">
        <v>16</v>
      </c>
      <c r="F101">
        <v>2009</v>
      </c>
      <c r="G101">
        <v>78</v>
      </c>
      <c r="H101">
        <v>10.61</v>
      </c>
      <c r="I101">
        <v>4.47</v>
      </c>
      <c r="J101">
        <v>2.76</v>
      </c>
      <c r="K101">
        <v>0.83</v>
      </c>
      <c r="L101">
        <v>2.5499999999999998</v>
      </c>
      <c r="M101" t="s">
        <v>21</v>
      </c>
      <c r="N101" t="s">
        <v>1070</v>
      </c>
    </row>
    <row r="102" spans="1:14" x14ac:dyDescent="0.35">
      <c r="A102">
        <v>101</v>
      </c>
      <c r="B102" t="s">
        <v>143</v>
      </c>
      <c r="C102" t="s">
        <v>59</v>
      </c>
      <c r="D102" t="s">
        <v>33</v>
      </c>
      <c r="E102" t="s">
        <v>52</v>
      </c>
      <c r="F102">
        <v>1998</v>
      </c>
      <c r="G102">
        <v>58</v>
      </c>
      <c r="H102">
        <v>0.73</v>
      </c>
      <c r="I102">
        <v>0.27</v>
      </c>
      <c r="J102">
        <v>0.21</v>
      </c>
      <c r="K102">
        <v>0.04</v>
      </c>
      <c r="L102">
        <v>0.21</v>
      </c>
      <c r="M102" t="s">
        <v>17</v>
      </c>
      <c r="N102" t="s">
        <v>1071</v>
      </c>
    </row>
    <row r="103" spans="1:14" x14ac:dyDescent="0.35">
      <c r="A103">
        <v>102</v>
      </c>
      <c r="B103" t="s">
        <v>144</v>
      </c>
      <c r="C103" t="s">
        <v>64</v>
      </c>
      <c r="D103" t="s">
        <v>48</v>
      </c>
      <c r="E103" t="s">
        <v>74</v>
      </c>
      <c r="F103">
        <v>2019</v>
      </c>
      <c r="G103">
        <v>76</v>
      </c>
      <c r="H103">
        <v>2.19</v>
      </c>
      <c r="I103">
        <v>1.03</v>
      </c>
      <c r="J103">
        <v>0.53</v>
      </c>
      <c r="K103">
        <v>0.43</v>
      </c>
      <c r="L103">
        <v>0.2</v>
      </c>
      <c r="M103" t="s">
        <v>27</v>
      </c>
      <c r="N103" t="s">
        <v>1070</v>
      </c>
    </row>
    <row r="104" spans="1:14" x14ac:dyDescent="0.35">
      <c r="A104">
        <v>103</v>
      </c>
      <c r="B104" t="s">
        <v>145</v>
      </c>
      <c r="C104" t="s">
        <v>31</v>
      </c>
      <c r="D104" t="s">
        <v>51</v>
      </c>
      <c r="E104" t="s">
        <v>54</v>
      </c>
      <c r="F104">
        <v>2004</v>
      </c>
      <c r="G104">
        <v>63</v>
      </c>
      <c r="H104">
        <v>0.36</v>
      </c>
      <c r="I104">
        <v>0.14000000000000001</v>
      </c>
      <c r="J104">
        <v>7.0000000000000007E-2</v>
      </c>
      <c r="K104">
        <v>0.06</v>
      </c>
      <c r="L104">
        <v>0.09</v>
      </c>
      <c r="M104" t="s">
        <v>24</v>
      </c>
      <c r="N104" t="s">
        <v>1071</v>
      </c>
    </row>
    <row r="105" spans="1:14" x14ac:dyDescent="0.35">
      <c r="A105">
        <v>104</v>
      </c>
      <c r="B105" t="s">
        <v>146</v>
      </c>
      <c r="C105" t="s">
        <v>23</v>
      </c>
      <c r="D105" t="s">
        <v>33</v>
      </c>
      <c r="E105" t="s">
        <v>16</v>
      </c>
      <c r="F105">
        <v>2020</v>
      </c>
      <c r="G105">
        <v>87</v>
      </c>
      <c r="H105">
        <v>0.96</v>
      </c>
      <c r="I105">
        <v>0.38</v>
      </c>
      <c r="J105">
        <v>0.28000000000000003</v>
      </c>
      <c r="K105">
        <v>0.15</v>
      </c>
      <c r="L105">
        <v>0.15</v>
      </c>
      <c r="M105" t="s">
        <v>17</v>
      </c>
      <c r="N105" t="s">
        <v>1069</v>
      </c>
    </row>
    <row r="106" spans="1:14" x14ac:dyDescent="0.35">
      <c r="A106">
        <v>105</v>
      </c>
      <c r="B106" t="s">
        <v>147</v>
      </c>
      <c r="C106" t="s">
        <v>64</v>
      </c>
      <c r="D106" t="s">
        <v>51</v>
      </c>
      <c r="E106" t="s">
        <v>16</v>
      </c>
      <c r="F106">
        <v>2019</v>
      </c>
      <c r="G106">
        <v>85</v>
      </c>
      <c r="H106">
        <v>0.75</v>
      </c>
      <c r="I106">
        <v>0.28000000000000003</v>
      </c>
      <c r="J106">
        <v>0.23</v>
      </c>
      <c r="K106">
        <v>0.09</v>
      </c>
      <c r="L106">
        <v>0.15</v>
      </c>
      <c r="M106" t="s">
        <v>17</v>
      </c>
      <c r="N106" t="s">
        <v>1069</v>
      </c>
    </row>
    <row r="107" spans="1:14" x14ac:dyDescent="0.35">
      <c r="A107">
        <v>106</v>
      </c>
      <c r="B107" t="s">
        <v>148</v>
      </c>
      <c r="C107" t="s">
        <v>59</v>
      </c>
      <c r="D107" t="s">
        <v>2</v>
      </c>
      <c r="E107" t="s">
        <v>54</v>
      </c>
      <c r="F107">
        <v>1997</v>
      </c>
      <c r="G107">
        <v>72</v>
      </c>
      <c r="H107">
        <v>0.64</v>
      </c>
      <c r="I107">
        <v>0.32</v>
      </c>
      <c r="J107">
        <v>0.16</v>
      </c>
      <c r="K107">
        <v>0.09</v>
      </c>
      <c r="L107">
        <v>7.0000000000000007E-2</v>
      </c>
      <c r="M107" t="s">
        <v>17</v>
      </c>
      <c r="N107" t="s">
        <v>1070</v>
      </c>
    </row>
    <row r="108" spans="1:14" x14ac:dyDescent="0.35">
      <c r="A108">
        <v>107</v>
      </c>
      <c r="B108" t="s">
        <v>149</v>
      </c>
      <c r="C108" t="s">
        <v>14</v>
      </c>
      <c r="D108" t="s">
        <v>65</v>
      </c>
      <c r="E108" t="s">
        <v>74</v>
      </c>
      <c r="F108">
        <v>2013</v>
      </c>
      <c r="G108">
        <v>62</v>
      </c>
      <c r="H108">
        <v>2.81</v>
      </c>
      <c r="I108">
        <v>1.42</v>
      </c>
      <c r="J108">
        <v>0.87</v>
      </c>
      <c r="K108">
        <v>0.23</v>
      </c>
      <c r="L108">
        <v>0.28999999999999998</v>
      </c>
      <c r="M108" t="s">
        <v>27</v>
      </c>
      <c r="N108" t="s">
        <v>1071</v>
      </c>
    </row>
    <row r="109" spans="1:14" x14ac:dyDescent="0.35">
      <c r="A109">
        <v>108</v>
      </c>
      <c r="B109" t="s">
        <v>150</v>
      </c>
      <c r="C109" t="s">
        <v>19</v>
      </c>
      <c r="D109" t="s">
        <v>45</v>
      </c>
      <c r="E109" t="s">
        <v>43</v>
      </c>
      <c r="F109">
        <v>2016</v>
      </c>
      <c r="G109">
        <v>81</v>
      </c>
      <c r="H109">
        <v>1.36</v>
      </c>
      <c r="I109">
        <v>0.56000000000000005</v>
      </c>
      <c r="J109">
        <v>0.32</v>
      </c>
      <c r="K109">
        <v>0.26</v>
      </c>
      <c r="L109">
        <v>0.22</v>
      </c>
      <c r="M109" t="s">
        <v>17</v>
      </c>
      <c r="N109" t="s">
        <v>1069</v>
      </c>
    </row>
    <row r="110" spans="1:14" x14ac:dyDescent="0.35">
      <c r="A110">
        <v>109</v>
      </c>
      <c r="B110" t="s">
        <v>151</v>
      </c>
      <c r="C110" t="s">
        <v>57</v>
      </c>
      <c r="D110" t="s">
        <v>33</v>
      </c>
      <c r="E110" t="s">
        <v>49</v>
      </c>
      <c r="F110">
        <v>2011</v>
      </c>
      <c r="G110">
        <v>82</v>
      </c>
      <c r="H110">
        <v>1.42</v>
      </c>
      <c r="I110">
        <v>0.66</v>
      </c>
      <c r="J110">
        <v>0.4</v>
      </c>
      <c r="K110">
        <v>0.14000000000000001</v>
      </c>
      <c r="L110">
        <v>0.22</v>
      </c>
      <c r="M110" t="s">
        <v>17</v>
      </c>
      <c r="N110" t="s">
        <v>1069</v>
      </c>
    </row>
    <row r="111" spans="1:14" x14ac:dyDescent="0.35">
      <c r="A111">
        <v>110</v>
      </c>
      <c r="B111" t="s">
        <v>152</v>
      </c>
      <c r="C111" t="s">
        <v>59</v>
      </c>
      <c r="D111" t="s">
        <v>29</v>
      </c>
      <c r="E111" t="s">
        <v>41</v>
      </c>
      <c r="F111">
        <v>1998</v>
      </c>
      <c r="G111">
        <v>93</v>
      </c>
      <c r="H111">
        <v>0.28999999999999998</v>
      </c>
      <c r="I111">
        <v>0.13</v>
      </c>
      <c r="J111">
        <v>0.06</v>
      </c>
      <c r="K111">
        <v>0.04</v>
      </c>
      <c r="L111">
        <v>0.06</v>
      </c>
      <c r="M111" t="s">
        <v>24</v>
      </c>
      <c r="N111" t="s">
        <v>1068</v>
      </c>
    </row>
    <row r="112" spans="1:14" x14ac:dyDescent="0.35">
      <c r="A112">
        <v>111</v>
      </c>
      <c r="B112" t="s">
        <v>153</v>
      </c>
      <c r="C112" t="s">
        <v>64</v>
      </c>
      <c r="D112" t="s">
        <v>29</v>
      </c>
      <c r="E112" t="s">
        <v>60</v>
      </c>
      <c r="F112">
        <v>2012</v>
      </c>
      <c r="G112">
        <v>72</v>
      </c>
      <c r="H112">
        <v>0.55000000000000004</v>
      </c>
      <c r="I112">
        <v>0.28000000000000003</v>
      </c>
      <c r="J112">
        <v>0.18</v>
      </c>
      <c r="K112">
        <v>0.09</v>
      </c>
      <c r="L112">
        <v>0</v>
      </c>
      <c r="M112" t="s">
        <v>17</v>
      </c>
      <c r="N112" t="s">
        <v>1070</v>
      </c>
    </row>
    <row r="113" spans="1:14" x14ac:dyDescent="0.35">
      <c r="A113">
        <v>112</v>
      </c>
      <c r="B113" t="s">
        <v>154</v>
      </c>
      <c r="C113" t="s">
        <v>23</v>
      </c>
      <c r="D113" t="s">
        <v>65</v>
      </c>
      <c r="E113" t="s">
        <v>20</v>
      </c>
      <c r="F113">
        <v>2025</v>
      </c>
      <c r="G113">
        <v>56</v>
      </c>
      <c r="H113">
        <v>0.14000000000000001</v>
      </c>
      <c r="I113">
        <v>0.06</v>
      </c>
      <c r="J113">
        <v>0.04</v>
      </c>
      <c r="K113">
        <v>0.01</v>
      </c>
      <c r="L113">
        <v>0.03</v>
      </c>
      <c r="M113" t="s">
        <v>24</v>
      </c>
      <c r="N113" t="s">
        <v>1071</v>
      </c>
    </row>
    <row r="114" spans="1:14" x14ac:dyDescent="0.35">
      <c r="A114">
        <v>113</v>
      </c>
      <c r="B114" t="s">
        <v>155</v>
      </c>
      <c r="C114" t="s">
        <v>64</v>
      </c>
      <c r="D114" t="s">
        <v>2</v>
      </c>
      <c r="E114" t="s">
        <v>41</v>
      </c>
      <c r="F114">
        <v>2013</v>
      </c>
      <c r="G114">
        <v>95</v>
      </c>
      <c r="H114">
        <v>0.32</v>
      </c>
      <c r="I114">
        <v>0.14000000000000001</v>
      </c>
      <c r="J114">
        <v>7.0000000000000007E-2</v>
      </c>
      <c r="K114">
        <v>0.03</v>
      </c>
      <c r="L114">
        <v>0.08</v>
      </c>
      <c r="M114" t="s">
        <v>24</v>
      </c>
      <c r="N114" t="s">
        <v>1068</v>
      </c>
    </row>
    <row r="115" spans="1:14" x14ac:dyDescent="0.35">
      <c r="A115">
        <v>114</v>
      </c>
      <c r="B115" t="s">
        <v>156</v>
      </c>
      <c r="C115" t="s">
        <v>14</v>
      </c>
      <c r="D115" t="s">
        <v>15</v>
      </c>
      <c r="E115" t="s">
        <v>54</v>
      </c>
      <c r="F115">
        <v>2007</v>
      </c>
      <c r="G115">
        <v>58</v>
      </c>
      <c r="H115">
        <v>0.85</v>
      </c>
      <c r="I115">
        <v>0.41</v>
      </c>
      <c r="J115">
        <v>0.23</v>
      </c>
      <c r="K115">
        <v>0.1</v>
      </c>
      <c r="L115">
        <v>0.11</v>
      </c>
      <c r="M115" t="s">
        <v>17</v>
      </c>
      <c r="N115" t="s">
        <v>1071</v>
      </c>
    </row>
    <row r="116" spans="1:14" x14ac:dyDescent="0.35">
      <c r="A116">
        <v>115</v>
      </c>
      <c r="B116" t="s">
        <v>157</v>
      </c>
      <c r="C116" t="s">
        <v>14</v>
      </c>
      <c r="D116" t="s">
        <v>65</v>
      </c>
      <c r="E116" t="s">
        <v>49</v>
      </c>
      <c r="F116">
        <v>2009</v>
      </c>
      <c r="G116">
        <v>62</v>
      </c>
      <c r="H116">
        <v>0.21</v>
      </c>
      <c r="I116">
        <v>0.09</v>
      </c>
      <c r="J116">
        <v>0.06</v>
      </c>
      <c r="K116">
        <v>0.01</v>
      </c>
      <c r="L116">
        <v>0.05</v>
      </c>
      <c r="M116" t="s">
        <v>24</v>
      </c>
      <c r="N116" t="s">
        <v>1071</v>
      </c>
    </row>
    <row r="117" spans="1:14" x14ac:dyDescent="0.35">
      <c r="A117">
        <v>116</v>
      </c>
      <c r="B117" t="s">
        <v>158</v>
      </c>
      <c r="C117" t="s">
        <v>19</v>
      </c>
      <c r="D117" t="s">
        <v>15</v>
      </c>
      <c r="E117" t="s">
        <v>52</v>
      </c>
      <c r="F117">
        <v>2013</v>
      </c>
      <c r="G117">
        <v>63</v>
      </c>
      <c r="H117">
        <v>1.44</v>
      </c>
      <c r="I117">
        <v>0.54</v>
      </c>
      <c r="J117">
        <v>0.4</v>
      </c>
      <c r="K117">
        <v>0.17</v>
      </c>
      <c r="L117">
        <v>0.33</v>
      </c>
      <c r="M117" t="s">
        <v>17</v>
      </c>
      <c r="N117" t="s">
        <v>1071</v>
      </c>
    </row>
    <row r="118" spans="1:14" x14ac:dyDescent="0.35">
      <c r="A118">
        <v>117</v>
      </c>
      <c r="B118" t="s">
        <v>159</v>
      </c>
      <c r="C118" t="s">
        <v>31</v>
      </c>
      <c r="D118" t="s">
        <v>65</v>
      </c>
      <c r="E118" t="s">
        <v>52</v>
      </c>
      <c r="F118">
        <v>2003</v>
      </c>
      <c r="G118">
        <v>97</v>
      </c>
      <c r="H118">
        <v>2.48</v>
      </c>
      <c r="I118">
        <v>1.1499999999999999</v>
      </c>
      <c r="J118">
        <v>0.76</v>
      </c>
      <c r="K118">
        <v>0.28000000000000003</v>
      </c>
      <c r="L118">
        <v>0.28999999999999998</v>
      </c>
      <c r="M118" t="s">
        <v>27</v>
      </c>
      <c r="N118" t="s">
        <v>1068</v>
      </c>
    </row>
    <row r="119" spans="1:14" x14ac:dyDescent="0.35">
      <c r="A119">
        <v>118</v>
      </c>
      <c r="B119" t="s">
        <v>160</v>
      </c>
      <c r="C119" t="s">
        <v>59</v>
      </c>
      <c r="D119" t="s">
        <v>15</v>
      </c>
      <c r="E119" t="s">
        <v>43</v>
      </c>
      <c r="F119">
        <v>1998</v>
      </c>
      <c r="G119">
        <v>84</v>
      </c>
      <c r="H119">
        <v>0.15</v>
      </c>
      <c r="I119">
        <v>7.0000000000000007E-2</v>
      </c>
      <c r="J119">
        <v>0.04</v>
      </c>
      <c r="K119">
        <v>0.01</v>
      </c>
      <c r="L119">
        <v>0.03</v>
      </c>
      <c r="M119" t="s">
        <v>24</v>
      </c>
      <c r="N119" t="s">
        <v>1069</v>
      </c>
    </row>
    <row r="120" spans="1:14" x14ac:dyDescent="0.35">
      <c r="A120">
        <v>119</v>
      </c>
      <c r="B120" t="s">
        <v>161</v>
      </c>
      <c r="C120" t="s">
        <v>14</v>
      </c>
      <c r="D120" t="s">
        <v>29</v>
      </c>
      <c r="E120" t="s">
        <v>54</v>
      </c>
      <c r="F120">
        <v>2009</v>
      </c>
      <c r="G120">
        <v>95</v>
      </c>
      <c r="H120">
        <v>0.17</v>
      </c>
      <c r="I120">
        <v>0.09</v>
      </c>
      <c r="J120">
        <v>0.04</v>
      </c>
      <c r="K120">
        <v>0.03</v>
      </c>
      <c r="L120">
        <v>0.01</v>
      </c>
      <c r="M120" t="s">
        <v>24</v>
      </c>
      <c r="N120" t="s">
        <v>1068</v>
      </c>
    </row>
    <row r="121" spans="1:14" x14ac:dyDescent="0.35">
      <c r="A121">
        <v>120</v>
      </c>
      <c r="B121" t="s">
        <v>162</v>
      </c>
      <c r="C121" t="s">
        <v>64</v>
      </c>
      <c r="D121" t="s">
        <v>48</v>
      </c>
      <c r="E121" t="s">
        <v>49</v>
      </c>
      <c r="F121">
        <v>2013</v>
      </c>
      <c r="G121">
        <v>67</v>
      </c>
      <c r="H121">
        <v>0.16</v>
      </c>
      <c r="I121">
        <v>0.08</v>
      </c>
      <c r="J121">
        <v>0.03</v>
      </c>
      <c r="K121">
        <v>0.03</v>
      </c>
      <c r="L121">
        <v>0.02</v>
      </c>
      <c r="M121" t="s">
        <v>24</v>
      </c>
      <c r="N121" t="s">
        <v>1071</v>
      </c>
    </row>
    <row r="122" spans="1:14" x14ac:dyDescent="0.35">
      <c r="A122">
        <v>121</v>
      </c>
      <c r="B122" t="s">
        <v>163</v>
      </c>
      <c r="C122" t="s">
        <v>57</v>
      </c>
      <c r="D122" t="s">
        <v>62</v>
      </c>
      <c r="E122" t="s">
        <v>74</v>
      </c>
      <c r="F122">
        <v>2011</v>
      </c>
      <c r="G122">
        <v>98</v>
      </c>
      <c r="H122">
        <v>2.15</v>
      </c>
      <c r="I122">
        <v>1.03</v>
      </c>
      <c r="J122">
        <v>0.63</v>
      </c>
      <c r="K122">
        <v>0.39</v>
      </c>
      <c r="L122">
        <v>0.1</v>
      </c>
      <c r="M122" t="s">
        <v>27</v>
      </c>
      <c r="N122" t="s">
        <v>1068</v>
      </c>
    </row>
    <row r="123" spans="1:14" x14ac:dyDescent="0.35">
      <c r="A123">
        <v>122</v>
      </c>
      <c r="B123" t="s">
        <v>164</v>
      </c>
      <c r="C123" t="s">
        <v>57</v>
      </c>
      <c r="D123" t="s">
        <v>37</v>
      </c>
      <c r="E123" t="s">
        <v>16</v>
      </c>
      <c r="F123">
        <v>2009</v>
      </c>
      <c r="G123">
        <v>83</v>
      </c>
      <c r="H123">
        <v>1.3</v>
      </c>
      <c r="I123">
        <v>0.61</v>
      </c>
      <c r="J123">
        <v>0.33</v>
      </c>
      <c r="K123">
        <v>0.08</v>
      </c>
      <c r="L123">
        <v>0.28000000000000003</v>
      </c>
      <c r="M123" t="s">
        <v>17</v>
      </c>
      <c r="N123" t="s">
        <v>1069</v>
      </c>
    </row>
    <row r="124" spans="1:14" x14ac:dyDescent="0.35">
      <c r="A124">
        <v>123</v>
      </c>
      <c r="B124" t="s">
        <v>165</v>
      </c>
      <c r="C124" t="s">
        <v>19</v>
      </c>
      <c r="D124" t="s">
        <v>15</v>
      </c>
      <c r="E124" t="s">
        <v>20</v>
      </c>
      <c r="F124">
        <v>2020</v>
      </c>
      <c r="G124">
        <v>59</v>
      </c>
      <c r="H124">
        <v>0.17</v>
      </c>
      <c r="I124">
        <v>7.0000000000000007E-2</v>
      </c>
      <c r="J124">
        <v>0.05</v>
      </c>
      <c r="K124">
        <v>0.03</v>
      </c>
      <c r="L124">
        <v>0.02</v>
      </c>
      <c r="M124" t="s">
        <v>24</v>
      </c>
      <c r="N124" t="s">
        <v>1071</v>
      </c>
    </row>
    <row r="125" spans="1:14" x14ac:dyDescent="0.35">
      <c r="A125">
        <v>124</v>
      </c>
      <c r="B125" t="s">
        <v>166</v>
      </c>
      <c r="C125" t="s">
        <v>57</v>
      </c>
      <c r="D125" t="s">
        <v>62</v>
      </c>
      <c r="E125" t="s">
        <v>74</v>
      </c>
      <c r="F125">
        <v>2004</v>
      </c>
      <c r="G125">
        <v>93</v>
      </c>
      <c r="H125">
        <v>0.46</v>
      </c>
      <c r="I125">
        <v>0.17</v>
      </c>
      <c r="J125">
        <v>0.1</v>
      </c>
      <c r="K125">
        <v>0.09</v>
      </c>
      <c r="L125">
        <v>0.1</v>
      </c>
      <c r="M125" t="s">
        <v>24</v>
      </c>
      <c r="N125" t="s">
        <v>1068</v>
      </c>
    </row>
    <row r="126" spans="1:14" x14ac:dyDescent="0.35">
      <c r="A126">
        <v>125</v>
      </c>
      <c r="B126" t="s">
        <v>167</v>
      </c>
      <c r="C126" t="s">
        <v>14</v>
      </c>
      <c r="D126" t="s">
        <v>65</v>
      </c>
      <c r="E126" t="s">
        <v>54</v>
      </c>
      <c r="F126">
        <v>2007</v>
      </c>
      <c r="G126">
        <v>83</v>
      </c>
      <c r="H126">
        <v>0.77</v>
      </c>
      <c r="I126">
        <v>0.41</v>
      </c>
      <c r="J126">
        <v>0.2</v>
      </c>
      <c r="K126">
        <v>0.13</v>
      </c>
      <c r="L126">
        <v>0.03</v>
      </c>
      <c r="M126" t="s">
        <v>17</v>
      </c>
      <c r="N126" t="s">
        <v>1069</v>
      </c>
    </row>
    <row r="127" spans="1:14" x14ac:dyDescent="0.35">
      <c r="A127">
        <v>126</v>
      </c>
      <c r="B127" t="s">
        <v>168</v>
      </c>
      <c r="C127" t="s">
        <v>57</v>
      </c>
      <c r="D127" t="s">
        <v>15</v>
      </c>
      <c r="E127" t="s">
        <v>43</v>
      </c>
      <c r="F127">
        <v>2013</v>
      </c>
      <c r="G127">
        <v>61</v>
      </c>
      <c r="H127">
        <v>0.55000000000000004</v>
      </c>
      <c r="I127">
        <v>0.22</v>
      </c>
      <c r="J127">
        <v>0.18</v>
      </c>
      <c r="K127">
        <v>0.11</v>
      </c>
      <c r="L127">
        <v>0.04</v>
      </c>
      <c r="M127" t="s">
        <v>17</v>
      </c>
      <c r="N127" t="s">
        <v>1071</v>
      </c>
    </row>
    <row r="128" spans="1:14" x14ac:dyDescent="0.35">
      <c r="A128">
        <v>127</v>
      </c>
      <c r="B128" t="s">
        <v>169</v>
      </c>
      <c r="C128" t="s">
        <v>23</v>
      </c>
      <c r="D128" t="s">
        <v>37</v>
      </c>
      <c r="E128" t="s">
        <v>43</v>
      </c>
      <c r="F128">
        <v>2026</v>
      </c>
      <c r="G128">
        <v>97</v>
      </c>
      <c r="H128">
        <v>0.31</v>
      </c>
      <c r="I128">
        <v>0.17</v>
      </c>
      <c r="J128">
        <v>0.09</v>
      </c>
      <c r="K128">
        <v>0.03</v>
      </c>
      <c r="L128">
        <v>0.02</v>
      </c>
      <c r="M128" t="s">
        <v>24</v>
      </c>
      <c r="N128" t="s">
        <v>1068</v>
      </c>
    </row>
    <row r="129" spans="1:14" x14ac:dyDescent="0.35">
      <c r="A129">
        <v>128</v>
      </c>
      <c r="B129" t="s">
        <v>170</v>
      </c>
      <c r="C129" t="s">
        <v>23</v>
      </c>
      <c r="D129" t="s">
        <v>33</v>
      </c>
      <c r="E129" t="s">
        <v>46</v>
      </c>
      <c r="F129">
        <v>2025</v>
      </c>
      <c r="G129">
        <v>96</v>
      </c>
      <c r="H129">
        <v>3.42</v>
      </c>
      <c r="I129">
        <v>1.7</v>
      </c>
      <c r="J129">
        <v>1.04</v>
      </c>
      <c r="K129">
        <v>0.44</v>
      </c>
      <c r="L129">
        <v>0.24</v>
      </c>
      <c r="M129" t="s">
        <v>27</v>
      </c>
      <c r="N129" t="s">
        <v>1068</v>
      </c>
    </row>
    <row r="130" spans="1:14" x14ac:dyDescent="0.35">
      <c r="A130">
        <v>129</v>
      </c>
      <c r="B130" t="s">
        <v>171</v>
      </c>
      <c r="C130" t="s">
        <v>57</v>
      </c>
      <c r="D130" t="s">
        <v>45</v>
      </c>
      <c r="E130" t="s">
        <v>60</v>
      </c>
      <c r="F130">
        <v>2014</v>
      </c>
      <c r="G130">
        <v>78</v>
      </c>
      <c r="H130">
        <v>0.17</v>
      </c>
      <c r="I130">
        <v>7.0000000000000007E-2</v>
      </c>
      <c r="J130">
        <v>0.06</v>
      </c>
      <c r="K130">
        <v>0.01</v>
      </c>
      <c r="L130">
        <v>0.03</v>
      </c>
      <c r="M130" t="s">
        <v>24</v>
      </c>
      <c r="N130" t="s">
        <v>1070</v>
      </c>
    </row>
    <row r="131" spans="1:14" x14ac:dyDescent="0.35">
      <c r="A131">
        <v>130</v>
      </c>
      <c r="B131" t="s">
        <v>172</v>
      </c>
      <c r="C131" t="s">
        <v>14</v>
      </c>
      <c r="D131" t="s">
        <v>65</v>
      </c>
      <c r="E131" t="s">
        <v>60</v>
      </c>
      <c r="F131">
        <v>2007</v>
      </c>
      <c r="G131">
        <v>97</v>
      </c>
      <c r="H131">
        <v>0.2</v>
      </c>
      <c r="I131">
        <v>0.08</v>
      </c>
      <c r="J131">
        <v>0.05</v>
      </c>
      <c r="K131">
        <v>0.01</v>
      </c>
      <c r="L131">
        <v>0.06</v>
      </c>
      <c r="M131" t="s">
        <v>24</v>
      </c>
      <c r="N131" t="s">
        <v>1068</v>
      </c>
    </row>
    <row r="132" spans="1:14" x14ac:dyDescent="0.35">
      <c r="A132">
        <v>131</v>
      </c>
      <c r="B132" t="s">
        <v>173</v>
      </c>
      <c r="C132" t="s">
        <v>64</v>
      </c>
      <c r="D132" t="s">
        <v>62</v>
      </c>
      <c r="E132" t="s">
        <v>20</v>
      </c>
      <c r="F132">
        <v>2013</v>
      </c>
      <c r="G132">
        <v>98</v>
      </c>
      <c r="H132">
        <v>0.59</v>
      </c>
      <c r="I132">
        <v>0.3</v>
      </c>
      <c r="J132">
        <v>0.14000000000000001</v>
      </c>
      <c r="K132">
        <v>0.05</v>
      </c>
      <c r="L132">
        <v>0.1</v>
      </c>
      <c r="M132" t="s">
        <v>17</v>
      </c>
      <c r="N132" t="s">
        <v>1068</v>
      </c>
    </row>
    <row r="133" spans="1:14" x14ac:dyDescent="0.35">
      <c r="A133">
        <v>132</v>
      </c>
      <c r="B133" t="s">
        <v>174</v>
      </c>
      <c r="C133" t="s">
        <v>64</v>
      </c>
      <c r="D133" t="s">
        <v>48</v>
      </c>
      <c r="E133" t="s">
        <v>43</v>
      </c>
      <c r="F133">
        <v>2018</v>
      </c>
      <c r="G133">
        <v>84</v>
      </c>
      <c r="H133">
        <v>1.92</v>
      </c>
      <c r="I133">
        <v>0.87</v>
      </c>
      <c r="J133">
        <v>0.5</v>
      </c>
      <c r="K133">
        <v>0.14000000000000001</v>
      </c>
      <c r="L133">
        <v>0.41</v>
      </c>
      <c r="M133" t="s">
        <v>17</v>
      </c>
      <c r="N133" t="s">
        <v>1069</v>
      </c>
    </row>
    <row r="134" spans="1:14" x14ac:dyDescent="0.35">
      <c r="A134">
        <v>133</v>
      </c>
      <c r="B134" t="s">
        <v>175</v>
      </c>
      <c r="C134" t="s">
        <v>31</v>
      </c>
      <c r="D134" t="s">
        <v>2</v>
      </c>
      <c r="E134" t="s">
        <v>54</v>
      </c>
      <c r="F134">
        <v>2006</v>
      </c>
      <c r="G134">
        <v>96</v>
      </c>
      <c r="H134">
        <v>0.63</v>
      </c>
      <c r="I134">
        <v>0.34</v>
      </c>
      <c r="J134">
        <v>0.19</v>
      </c>
      <c r="K134">
        <v>0.08</v>
      </c>
      <c r="L134">
        <v>0.02</v>
      </c>
      <c r="M134" t="s">
        <v>17</v>
      </c>
      <c r="N134" t="s">
        <v>1068</v>
      </c>
    </row>
    <row r="135" spans="1:14" x14ac:dyDescent="0.35">
      <c r="A135">
        <v>134</v>
      </c>
      <c r="B135" t="s">
        <v>176</v>
      </c>
      <c r="C135" t="s">
        <v>59</v>
      </c>
      <c r="D135" t="s">
        <v>33</v>
      </c>
      <c r="E135" t="s">
        <v>54</v>
      </c>
      <c r="F135">
        <v>1997</v>
      </c>
      <c r="G135">
        <v>87</v>
      </c>
      <c r="H135">
        <v>0.15</v>
      </c>
      <c r="I135">
        <v>0.08</v>
      </c>
      <c r="J135">
        <v>0.03</v>
      </c>
      <c r="K135">
        <v>0.02</v>
      </c>
      <c r="L135">
        <v>0.02</v>
      </c>
      <c r="M135" t="s">
        <v>24</v>
      </c>
      <c r="N135" t="s">
        <v>1069</v>
      </c>
    </row>
    <row r="136" spans="1:14" x14ac:dyDescent="0.35">
      <c r="A136">
        <v>135</v>
      </c>
      <c r="B136" t="s">
        <v>177</v>
      </c>
      <c r="C136" t="s">
        <v>14</v>
      </c>
      <c r="D136" t="s">
        <v>45</v>
      </c>
      <c r="E136" t="s">
        <v>20</v>
      </c>
      <c r="F136">
        <v>2006</v>
      </c>
      <c r="G136">
        <v>78</v>
      </c>
      <c r="H136">
        <v>0.49</v>
      </c>
      <c r="I136">
        <v>0.26</v>
      </c>
      <c r="J136">
        <v>0.16</v>
      </c>
      <c r="K136">
        <v>7.0000000000000007E-2</v>
      </c>
      <c r="L136">
        <v>0</v>
      </c>
      <c r="M136" t="s">
        <v>24</v>
      </c>
      <c r="N136" t="s">
        <v>1070</v>
      </c>
    </row>
    <row r="137" spans="1:14" x14ac:dyDescent="0.35">
      <c r="A137">
        <v>136</v>
      </c>
      <c r="B137" t="s">
        <v>178</v>
      </c>
      <c r="C137" t="s">
        <v>64</v>
      </c>
      <c r="D137" t="s">
        <v>37</v>
      </c>
      <c r="E137" t="s">
        <v>20</v>
      </c>
      <c r="F137">
        <v>2013</v>
      </c>
      <c r="G137">
        <v>63</v>
      </c>
      <c r="H137">
        <v>0.63</v>
      </c>
      <c r="I137">
        <v>0.3</v>
      </c>
      <c r="J137">
        <v>0.21</v>
      </c>
      <c r="K137">
        <v>0.03</v>
      </c>
      <c r="L137">
        <v>0.09</v>
      </c>
      <c r="M137" t="s">
        <v>17</v>
      </c>
      <c r="N137" t="s">
        <v>1071</v>
      </c>
    </row>
    <row r="138" spans="1:14" x14ac:dyDescent="0.35">
      <c r="A138">
        <v>137</v>
      </c>
      <c r="B138" t="s">
        <v>179</v>
      </c>
      <c r="C138" t="s">
        <v>31</v>
      </c>
      <c r="D138" t="s">
        <v>37</v>
      </c>
      <c r="E138" t="s">
        <v>60</v>
      </c>
      <c r="F138">
        <v>2006</v>
      </c>
      <c r="G138">
        <v>82</v>
      </c>
      <c r="H138">
        <v>0.28999999999999998</v>
      </c>
      <c r="I138">
        <v>0.12</v>
      </c>
      <c r="J138">
        <v>0.06</v>
      </c>
      <c r="K138">
        <v>0.03</v>
      </c>
      <c r="L138">
        <v>0.08</v>
      </c>
      <c r="M138" t="s">
        <v>24</v>
      </c>
      <c r="N138" t="s">
        <v>1069</v>
      </c>
    </row>
    <row r="139" spans="1:14" x14ac:dyDescent="0.35">
      <c r="A139">
        <v>138</v>
      </c>
      <c r="B139" t="s">
        <v>180</v>
      </c>
      <c r="C139" t="s">
        <v>64</v>
      </c>
      <c r="D139" t="s">
        <v>33</v>
      </c>
      <c r="E139" t="s">
        <v>49</v>
      </c>
      <c r="F139">
        <v>2018</v>
      </c>
      <c r="G139">
        <v>89</v>
      </c>
      <c r="H139">
        <v>0.19</v>
      </c>
      <c r="I139">
        <v>0.08</v>
      </c>
      <c r="J139">
        <v>0.06</v>
      </c>
      <c r="K139">
        <v>0.02</v>
      </c>
      <c r="L139">
        <v>0.03</v>
      </c>
      <c r="M139" t="s">
        <v>24</v>
      </c>
      <c r="N139" t="s">
        <v>1069</v>
      </c>
    </row>
    <row r="140" spans="1:14" x14ac:dyDescent="0.35">
      <c r="A140">
        <v>139</v>
      </c>
      <c r="B140" t="s">
        <v>181</v>
      </c>
      <c r="C140" t="s">
        <v>19</v>
      </c>
      <c r="D140" t="s">
        <v>33</v>
      </c>
      <c r="E140" t="s">
        <v>60</v>
      </c>
      <c r="F140">
        <v>2015</v>
      </c>
      <c r="G140">
        <v>88</v>
      </c>
      <c r="H140">
        <v>1.1100000000000001</v>
      </c>
      <c r="I140">
        <v>0.5</v>
      </c>
      <c r="J140">
        <v>0.23</v>
      </c>
      <c r="K140">
        <v>0.2</v>
      </c>
      <c r="L140">
        <v>0.18</v>
      </c>
      <c r="M140" t="s">
        <v>17</v>
      </c>
      <c r="N140" t="s">
        <v>1069</v>
      </c>
    </row>
    <row r="141" spans="1:14" x14ac:dyDescent="0.35">
      <c r="A141">
        <v>140</v>
      </c>
      <c r="B141" t="s">
        <v>182</v>
      </c>
      <c r="C141" t="s">
        <v>59</v>
      </c>
      <c r="D141" t="s">
        <v>45</v>
      </c>
      <c r="E141" t="s">
        <v>43</v>
      </c>
      <c r="F141">
        <v>2000</v>
      </c>
      <c r="G141">
        <v>77</v>
      </c>
      <c r="H141">
        <v>0.8</v>
      </c>
      <c r="I141">
        <v>0.4</v>
      </c>
      <c r="J141">
        <v>0.24</v>
      </c>
      <c r="K141">
        <v>0.13</v>
      </c>
      <c r="L141">
        <v>0.03</v>
      </c>
      <c r="M141" t="s">
        <v>17</v>
      </c>
      <c r="N141" t="s">
        <v>1070</v>
      </c>
    </row>
    <row r="142" spans="1:14" x14ac:dyDescent="0.35">
      <c r="A142">
        <v>141</v>
      </c>
      <c r="B142" t="s">
        <v>183</v>
      </c>
      <c r="C142" t="s">
        <v>57</v>
      </c>
      <c r="D142" t="s">
        <v>37</v>
      </c>
      <c r="E142" t="s">
        <v>20</v>
      </c>
      <c r="F142">
        <v>2009</v>
      </c>
      <c r="G142">
        <v>76</v>
      </c>
      <c r="H142">
        <v>0.86</v>
      </c>
      <c r="I142">
        <v>0.44</v>
      </c>
      <c r="J142">
        <v>0.23</v>
      </c>
      <c r="K142">
        <v>0.13</v>
      </c>
      <c r="L142">
        <v>0.06</v>
      </c>
      <c r="M142" t="s">
        <v>17</v>
      </c>
      <c r="N142" t="s">
        <v>1070</v>
      </c>
    </row>
    <row r="143" spans="1:14" x14ac:dyDescent="0.35">
      <c r="A143">
        <v>142</v>
      </c>
      <c r="B143" t="s">
        <v>184</v>
      </c>
      <c r="C143" t="s">
        <v>57</v>
      </c>
      <c r="D143" t="s">
        <v>37</v>
      </c>
      <c r="E143" t="s">
        <v>49</v>
      </c>
      <c r="F143">
        <v>2006</v>
      </c>
      <c r="G143">
        <v>73</v>
      </c>
      <c r="H143">
        <v>0.05</v>
      </c>
      <c r="I143">
        <v>0.03</v>
      </c>
      <c r="J143">
        <v>0.01</v>
      </c>
      <c r="K143">
        <v>0</v>
      </c>
      <c r="L143">
        <v>0.01</v>
      </c>
      <c r="M143" t="s">
        <v>24</v>
      </c>
      <c r="N143" t="s">
        <v>1070</v>
      </c>
    </row>
    <row r="144" spans="1:14" x14ac:dyDescent="0.35">
      <c r="A144">
        <v>143</v>
      </c>
      <c r="B144" t="s">
        <v>185</v>
      </c>
      <c r="C144" t="s">
        <v>19</v>
      </c>
      <c r="D144" t="s">
        <v>62</v>
      </c>
      <c r="E144" t="s">
        <v>46</v>
      </c>
      <c r="F144">
        <v>2021</v>
      </c>
      <c r="G144">
        <v>73</v>
      </c>
      <c r="H144">
        <v>0.3</v>
      </c>
      <c r="I144">
        <v>0.16</v>
      </c>
      <c r="J144">
        <v>7.0000000000000007E-2</v>
      </c>
      <c r="K144">
        <v>0.02</v>
      </c>
      <c r="L144">
        <v>0.05</v>
      </c>
      <c r="M144" t="s">
        <v>24</v>
      </c>
      <c r="N144" t="s">
        <v>1070</v>
      </c>
    </row>
    <row r="145" spans="1:14" x14ac:dyDescent="0.35">
      <c r="A145">
        <v>144</v>
      </c>
      <c r="B145" t="s">
        <v>186</v>
      </c>
      <c r="C145" t="s">
        <v>14</v>
      </c>
      <c r="D145" t="s">
        <v>45</v>
      </c>
      <c r="E145" t="s">
        <v>16</v>
      </c>
      <c r="F145">
        <v>2012</v>
      </c>
      <c r="G145">
        <v>66</v>
      </c>
      <c r="H145">
        <v>0.57999999999999996</v>
      </c>
      <c r="I145">
        <v>0.31</v>
      </c>
      <c r="J145">
        <v>0.16</v>
      </c>
      <c r="K145">
        <v>0.1</v>
      </c>
      <c r="L145">
        <v>0.01</v>
      </c>
      <c r="M145" t="s">
        <v>17</v>
      </c>
      <c r="N145" t="s">
        <v>1071</v>
      </c>
    </row>
    <row r="146" spans="1:14" x14ac:dyDescent="0.35">
      <c r="A146">
        <v>145</v>
      </c>
      <c r="B146" t="s">
        <v>187</v>
      </c>
      <c r="C146" t="s">
        <v>57</v>
      </c>
      <c r="D146" t="s">
        <v>33</v>
      </c>
      <c r="E146" t="s">
        <v>41</v>
      </c>
      <c r="F146">
        <v>2010</v>
      </c>
      <c r="G146">
        <v>89</v>
      </c>
      <c r="H146">
        <v>0.34</v>
      </c>
      <c r="I146">
        <v>0.14000000000000001</v>
      </c>
      <c r="J146">
        <v>0.08</v>
      </c>
      <c r="K146">
        <v>0.04</v>
      </c>
      <c r="L146">
        <v>0.08</v>
      </c>
      <c r="M146" t="s">
        <v>24</v>
      </c>
      <c r="N146" t="s">
        <v>1069</v>
      </c>
    </row>
    <row r="147" spans="1:14" x14ac:dyDescent="0.35">
      <c r="A147">
        <v>146</v>
      </c>
      <c r="B147" t="s">
        <v>188</v>
      </c>
      <c r="C147" t="s">
        <v>57</v>
      </c>
      <c r="D147" t="s">
        <v>37</v>
      </c>
      <c r="E147" t="s">
        <v>16</v>
      </c>
      <c r="F147">
        <v>2010</v>
      </c>
      <c r="G147">
        <v>57</v>
      </c>
      <c r="H147">
        <v>0.66</v>
      </c>
      <c r="I147">
        <v>0.32</v>
      </c>
      <c r="J147">
        <v>0.21</v>
      </c>
      <c r="K147">
        <v>0.04</v>
      </c>
      <c r="L147">
        <v>0.09</v>
      </c>
      <c r="M147" t="s">
        <v>17</v>
      </c>
      <c r="N147" t="s">
        <v>1071</v>
      </c>
    </row>
    <row r="148" spans="1:14" x14ac:dyDescent="0.35">
      <c r="A148">
        <v>147</v>
      </c>
      <c r="B148" t="s">
        <v>189</v>
      </c>
      <c r="C148" t="s">
        <v>57</v>
      </c>
      <c r="D148" t="s">
        <v>45</v>
      </c>
      <c r="E148" t="s">
        <v>43</v>
      </c>
      <c r="F148">
        <v>2014</v>
      </c>
      <c r="G148">
        <v>56</v>
      </c>
      <c r="H148">
        <v>0.12</v>
      </c>
      <c r="I148">
        <v>0.06</v>
      </c>
      <c r="J148">
        <v>0.02</v>
      </c>
      <c r="K148">
        <v>0.01</v>
      </c>
      <c r="L148">
        <v>0.03</v>
      </c>
      <c r="M148" t="s">
        <v>24</v>
      </c>
      <c r="N148" t="s">
        <v>1071</v>
      </c>
    </row>
    <row r="149" spans="1:14" x14ac:dyDescent="0.35">
      <c r="A149">
        <v>148</v>
      </c>
      <c r="B149" t="s">
        <v>190</v>
      </c>
      <c r="C149" t="s">
        <v>64</v>
      </c>
      <c r="D149" t="s">
        <v>29</v>
      </c>
      <c r="E149" t="s">
        <v>41</v>
      </c>
      <c r="F149">
        <v>2016</v>
      </c>
      <c r="G149">
        <v>93</v>
      </c>
      <c r="H149">
        <v>0.11</v>
      </c>
      <c r="I149">
        <v>0.05</v>
      </c>
      <c r="J149">
        <v>0.03</v>
      </c>
      <c r="K149">
        <v>0.01</v>
      </c>
      <c r="L149">
        <v>0.02</v>
      </c>
      <c r="M149" t="s">
        <v>24</v>
      </c>
      <c r="N149" t="s">
        <v>1068</v>
      </c>
    </row>
    <row r="150" spans="1:14" x14ac:dyDescent="0.35">
      <c r="A150">
        <v>149</v>
      </c>
      <c r="B150" t="s">
        <v>191</v>
      </c>
      <c r="C150" t="s">
        <v>31</v>
      </c>
      <c r="D150" t="s">
        <v>29</v>
      </c>
      <c r="E150" t="s">
        <v>41</v>
      </c>
      <c r="F150">
        <v>2004</v>
      </c>
      <c r="G150">
        <v>70</v>
      </c>
      <c r="H150">
        <v>0.24</v>
      </c>
      <c r="I150">
        <v>0.13</v>
      </c>
      <c r="J150">
        <v>0.05</v>
      </c>
      <c r="K150">
        <v>0.04</v>
      </c>
      <c r="L150">
        <v>0.02</v>
      </c>
      <c r="M150" t="s">
        <v>24</v>
      </c>
      <c r="N150" t="s">
        <v>1070</v>
      </c>
    </row>
    <row r="151" spans="1:14" x14ac:dyDescent="0.35">
      <c r="A151">
        <v>150</v>
      </c>
      <c r="B151" t="s">
        <v>192</v>
      </c>
      <c r="C151" t="s">
        <v>57</v>
      </c>
      <c r="D151" t="s">
        <v>48</v>
      </c>
      <c r="E151" t="s">
        <v>74</v>
      </c>
      <c r="F151">
        <v>2011</v>
      </c>
      <c r="G151">
        <v>67</v>
      </c>
      <c r="H151">
        <v>0.23</v>
      </c>
      <c r="I151">
        <v>0.1</v>
      </c>
      <c r="J151">
        <v>0.05</v>
      </c>
      <c r="K151">
        <v>0.04</v>
      </c>
      <c r="L151">
        <v>0.04</v>
      </c>
      <c r="M151" t="s">
        <v>24</v>
      </c>
      <c r="N151" t="s">
        <v>1071</v>
      </c>
    </row>
    <row r="152" spans="1:14" x14ac:dyDescent="0.35">
      <c r="A152">
        <v>151</v>
      </c>
      <c r="B152" t="s">
        <v>193</v>
      </c>
      <c r="C152" t="s">
        <v>64</v>
      </c>
      <c r="D152" t="s">
        <v>29</v>
      </c>
      <c r="E152" t="s">
        <v>49</v>
      </c>
      <c r="F152">
        <v>2016</v>
      </c>
      <c r="G152">
        <v>73</v>
      </c>
      <c r="H152">
        <v>0.83</v>
      </c>
      <c r="I152">
        <v>0.37</v>
      </c>
      <c r="J152">
        <v>0.18</v>
      </c>
      <c r="K152">
        <v>7.0000000000000007E-2</v>
      </c>
      <c r="L152">
        <v>0.21</v>
      </c>
      <c r="M152" t="s">
        <v>17</v>
      </c>
      <c r="N152" t="s">
        <v>1070</v>
      </c>
    </row>
    <row r="153" spans="1:14" x14ac:dyDescent="0.35">
      <c r="A153">
        <v>152</v>
      </c>
      <c r="B153" t="s">
        <v>194</v>
      </c>
      <c r="C153" t="s">
        <v>31</v>
      </c>
      <c r="D153" t="s">
        <v>62</v>
      </c>
      <c r="E153" t="s">
        <v>20</v>
      </c>
      <c r="F153">
        <v>2001</v>
      </c>
      <c r="G153">
        <v>91</v>
      </c>
      <c r="H153">
        <v>0.24</v>
      </c>
      <c r="I153">
        <v>0.11</v>
      </c>
      <c r="J153">
        <v>7.0000000000000007E-2</v>
      </c>
      <c r="K153">
        <v>0.02</v>
      </c>
      <c r="L153">
        <v>0.04</v>
      </c>
      <c r="M153" t="s">
        <v>24</v>
      </c>
      <c r="N153" t="s">
        <v>1068</v>
      </c>
    </row>
    <row r="154" spans="1:14" x14ac:dyDescent="0.35">
      <c r="A154">
        <v>153</v>
      </c>
      <c r="B154" t="s">
        <v>195</v>
      </c>
      <c r="C154" t="s">
        <v>14</v>
      </c>
      <c r="D154" t="s">
        <v>62</v>
      </c>
      <c r="E154" t="s">
        <v>60</v>
      </c>
      <c r="F154">
        <v>2012</v>
      </c>
      <c r="G154">
        <v>91</v>
      </c>
      <c r="H154">
        <v>0.88</v>
      </c>
      <c r="I154">
        <v>0.43</v>
      </c>
      <c r="J154">
        <v>0.22</v>
      </c>
      <c r="K154">
        <v>0.16</v>
      </c>
      <c r="L154">
        <v>7.0000000000000007E-2</v>
      </c>
      <c r="M154" t="s">
        <v>17</v>
      </c>
      <c r="N154" t="s">
        <v>1068</v>
      </c>
    </row>
    <row r="155" spans="1:14" x14ac:dyDescent="0.35">
      <c r="A155">
        <v>154</v>
      </c>
      <c r="B155" t="s">
        <v>196</v>
      </c>
      <c r="C155" t="s">
        <v>64</v>
      </c>
      <c r="D155" t="s">
        <v>2</v>
      </c>
      <c r="E155" t="s">
        <v>54</v>
      </c>
      <c r="F155">
        <v>2019</v>
      </c>
      <c r="G155">
        <v>87</v>
      </c>
      <c r="H155">
        <v>0.15</v>
      </c>
      <c r="I155">
        <v>0.06</v>
      </c>
      <c r="J155">
        <v>0.04</v>
      </c>
      <c r="K155">
        <v>0.02</v>
      </c>
      <c r="L155">
        <v>0.03</v>
      </c>
      <c r="M155" t="s">
        <v>24</v>
      </c>
      <c r="N155" t="s">
        <v>1069</v>
      </c>
    </row>
    <row r="156" spans="1:14" x14ac:dyDescent="0.35">
      <c r="A156">
        <v>155</v>
      </c>
      <c r="B156" t="s">
        <v>197</v>
      </c>
      <c r="C156" t="s">
        <v>14</v>
      </c>
      <c r="D156" t="s">
        <v>33</v>
      </c>
      <c r="E156" t="s">
        <v>46</v>
      </c>
      <c r="F156">
        <v>2010</v>
      </c>
      <c r="G156">
        <v>72</v>
      </c>
      <c r="H156">
        <v>0.26</v>
      </c>
      <c r="I156">
        <v>0.12</v>
      </c>
      <c r="J156">
        <v>7.0000000000000007E-2</v>
      </c>
      <c r="K156">
        <v>0.02</v>
      </c>
      <c r="L156">
        <v>0.05</v>
      </c>
      <c r="M156" t="s">
        <v>24</v>
      </c>
      <c r="N156" t="s">
        <v>1070</v>
      </c>
    </row>
    <row r="157" spans="1:14" x14ac:dyDescent="0.35">
      <c r="A157">
        <v>156</v>
      </c>
      <c r="B157" t="s">
        <v>198</v>
      </c>
      <c r="C157" t="s">
        <v>23</v>
      </c>
      <c r="D157" t="s">
        <v>37</v>
      </c>
      <c r="E157" t="s">
        <v>74</v>
      </c>
      <c r="F157">
        <v>2021</v>
      </c>
      <c r="G157">
        <v>91</v>
      </c>
      <c r="H157">
        <v>1.3</v>
      </c>
      <c r="I157">
        <v>0.51</v>
      </c>
      <c r="J157">
        <v>0.37</v>
      </c>
      <c r="K157">
        <v>0.19</v>
      </c>
      <c r="L157">
        <v>0.23</v>
      </c>
      <c r="M157" t="s">
        <v>17</v>
      </c>
      <c r="N157" t="s">
        <v>1068</v>
      </c>
    </row>
    <row r="158" spans="1:14" x14ac:dyDescent="0.35">
      <c r="A158">
        <v>157</v>
      </c>
      <c r="B158" t="s">
        <v>199</v>
      </c>
      <c r="C158" t="s">
        <v>59</v>
      </c>
      <c r="D158" t="s">
        <v>65</v>
      </c>
      <c r="E158" t="s">
        <v>46</v>
      </c>
      <c r="F158">
        <v>1998</v>
      </c>
      <c r="G158">
        <v>70</v>
      </c>
      <c r="H158">
        <v>1.8</v>
      </c>
      <c r="I158">
        <v>0.74</v>
      </c>
      <c r="J158">
        <v>0.38</v>
      </c>
      <c r="K158">
        <v>0.11</v>
      </c>
      <c r="L158">
        <v>0.56999999999999995</v>
      </c>
      <c r="M158" t="s">
        <v>17</v>
      </c>
      <c r="N158" t="s">
        <v>1070</v>
      </c>
    </row>
    <row r="159" spans="1:14" x14ac:dyDescent="0.35">
      <c r="A159">
        <v>158</v>
      </c>
      <c r="B159" t="s">
        <v>200</v>
      </c>
      <c r="C159" t="s">
        <v>19</v>
      </c>
      <c r="D159" t="s">
        <v>62</v>
      </c>
      <c r="E159" t="s">
        <v>16</v>
      </c>
      <c r="F159">
        <v>2019</v>
      </c>
      <c r="G159">
        <v>93</v>
      </c>
      <c r="H159">
        <v>0.54</v>
      </c>
      <c r="I159">
        <v>0.27</v>
      </c>
      <c r="J159">
        <v>0.15</v>
      </c>
      <c r="K159">
        <v>0.04</v>
      </c>
      <c r="L159">
        <v>0.08</v>
      </c>
      <c r="M159" t="s">
        <v>17</v>
      </c>
      <c r="N159" t="s">
        <v>1068</v>
      </c>
    </row>
    <row r="160" spans="1:14" x14ac:dyDescent="0.35">
      <c r="A160">
        <v>159</v>
      </c>
      <c r="B160" t="s">
        <v>201</v>
      </c>
      <c r="C160" t="s">
        <v>31</v>
      </c>
      <c r="D160" t="s">
        <v>33</v>
      </c>
      <c r="E160" t="s">
        <v>46</v>
      </c>
      <c r="F160">
        <v>2003</v>
      </c>
      <c r="G160">
        <v>64</v>
      </c>
      <c r="H160">
        <v>0.28000000000000003</v>
      </c>
      <c r="I160">
        <v>0.12</v>
      </c>
      <c r="J160">
        <v>0.08</v>
      </c>
      <c r="K160">
        <v>0.02</v>
      </c>
      <c r="L160">
        <v>0.06</v>
      </c>
      <c r="M160" t="s">
        <v>24</v>
      </c>
      <c r="N160" t="s">
        <v>1071</v>
      </c>
    </row>
    <row r="161" spans="1:14" x14ac:dyDescent="0.35">
      <c r="A161">
        <v>160</v>
      </c>
      <c r="B161" t="s">
        <v>202</v>
      </c>
      <c r="C161" t="s">
        <v>64</v>
      </c>
      <c r="D161" t="s">
        <v>29</v>
      </c>
      <c r="E161" t="s">
        <v>74</v>
      </c>
      <c r="F161">
        <v>2013</v>
      </c>
      <c r="G161">
        <v>65</v>
      </c>
      <c r="H161">
        <v>0.28999999999999998</v>
      </c>
      <c r="I161">
        <v>0.13</v>
      </c>
      <c r="J161">
        <v>7.0000000000000007E-2</v>
      </c>
      <c r="K161">
        <v>0.02</v>
      </c>
      <c r="L161">
        <v>7.0000000000000007E-2</v>
      </c>
      <c r="M161" t="s">
        <v>24</v>
      </c>
      <c r="N161" t="s">
        <v>1071</v>
      </c>
    </row>
    <row r="162" spans="1:14" x14ac:dyDescent="0.35">
      <c r="A162">
        <v>161</v>
      </c>
      <c r="B162" t="s">
        <v>203</v>
      </c>
      <c r="C162" t="s">
        <v>19</v>
      </c>
      <c r="D162" t="s">
        <v>62</v>
      </c>
      <c r="E162" t="s">
        <v>52</v>
      </c>
      <c r="F162">
        <v>2021</v>
      </c>
      <c r="G162">
        <v>77</v>
      </c>
      <c r="H162">
        <v>0.31</v>
      </c>
      <c r="I162">
        <v>0.15</v>
      </c>
      <c r="J162">
        <v>0.1</v>
      </c>
      <c r="K162">
        <v>0.05</v>
      </c>
      <c r="L162">
        <v>0.01</v>
      </c>
      <c r="M162" t="s">
        <v>24</v>
      </c>
      <c r="N162" t="s">
        <v>1070</v>
      </c>
    </row>
    <row r="163" spans="1:14" x14ac:dyDescent="0.35">
      <c r="A163">
        <v>162</v>
      </c>
      <c r="B163" t="s">
        <v>204</v>
      </c>
      <c r="C163" t="s">
        <v>14</v>
      </c>
      <c r="D163" t="s">
        <v>33</v>
      </c>
      <c r="E163" t="s">
        <v>41</v>
      </c>
      <c r="F163">
        <v>2006</v>
      </c>
      <c r="G163">
        <v>78</v>
      </c>
      <c r="H163">
        <v>1.1200000000000001</v>
      </c>
      <c r="I163">
        <v>0.48</v>
      </c>
      <c r="J163">
        <v>0.32</v>
      </c>
      <c r="K163">
        <v>0.09</v>
      </c>
      <c r="L163">
        <v>0.23</v>
      </c>
      <c r="M163" t="s">
        <v>17</v>
      </c>
      <c r="N163" t="s">
        <v>1070</v>
      </c>
    </row>
    <row r="164" spans="1:14" x14ac:dyDescent="0.35">
      <c r="A164">
        <v>163</v>
      </c>
      <c r="B164" t="s">
        <v>205</v>
      </c>
      <c r="C164" t="s">
        <v>23</v>
      </c>
      <c r="D164" t="s">
        <v>33</v>
      </c>
      <c r="E164" t="s">
        <v>41</v>
      </c>
      <c r="F164">
        <v>2022</v>
      </c>
      <c r="G164">
        <v>90</v>
      </c>
      <c r="H164">
        <v>1.01</v>
      </c>
      <c r="I164">
        <v>0.55000000000000004</v>
      </c>
      <c r="J164">
        <v>0.26</v>
      </c>
      <c r="K164">
        <v>0.17</v>
      </c>
      <c r="L164">
        <v>0.03</v>
      </c>
      <c r="M164" t="s">
        <v>17</v>
      </c>
      <c r="N164" t="s">
        <v>1068</v>
      </c>
    </row>
    <row r="165" spans="1:14" x14ac:dyDescent="0.35">
      <c r="A165">
        <v>164</v>
      </c>
      <c r="B165" t="s">
        <v>206</v>
      </c>
      <c r="C165" t="s">
        <v>14</v>
      </c>
      <c r="D165" t="s">
        <v>37</v>
      </c>
      <c r="E165" t="s">
        <v>52</v>
      </c>
      <c r="F165">
        <v>2011</v>
      </c>
      <c r="G165">
        <v>80</v>
      </c>
      <c r="H165">
        <v>0.59</v>
      </c>
      <c r="I165">
        <v>0.22</v>
      </c>
      <c r="J165">
        <v>0.15</v>
      </c>
      <c r="K165">
        <v>7.0000000000000007E-2</v>
      </c>
      <c r="L165">
        <v>0.15</v>
      </c>
      <c r="M165" t="s">
        <v>17</v>
      </c>
      <c r="N165" t="s">
        <v>1069</v>
      </c>
    </row>
    <row r="166" spans="1:14" x14ac:dyDescent="0.35">
      <c r="A166">
        <v>165</v>
      </c>
      <c r="B166" t="s">
        <v>207</v>
      </c>
      <c r="C166" t="s">
        <v>19</v>
      </c>
      <c r="D166" t="s">
        <v>2</v>
      </c>
      <c r="E166" t="s">
        <v>60</v>
      </c>
      <c r="F166">
        <v>2015</v>
      </c>
      <c r="G166">
        <v>94</v>
      </c>
      <c r="H166">
        <v>0.51</v>
      </c>
      <c r="I166">
        <v>0.24</v>
      </c>
      <c r="J166">
        <v>0.17</v>
      </c>
      <c r="K166">
        <v>7.0000000000000007E-2</v>
      </c>
      <c r="L166">
        <v>0.03</v>
      </c>
      <c r="M166" t="s">
        <v>17</v>
      </c>
      <c r="N166" t="s">
        <v>1068</v>
      </c>
    </row>
    <row r="167" spans="1:14" x14ac:dyDescent="0.35">
      <c r="A167">
        <v>166</v>
      </c>
      <c r="B167" t="s">
        <v>208</v>
      </c>
      <c r="C167" t="s">
        <v>23</v>
      </c>
      <c r="D167" t="s">
        <v>65</v>
      </c>
      <c r="E167" t="s">
        <v>60</v>
      </c>
      <c r="F167">
        <v>2026</v>
      </c>
      <c r="G167">
        <v>74</v>
      </c>
      <c r="H167">
        <v>0.71</v>
      </c>
      <c r="I167">
        <v>0.3</v>
      </c>
      <c r="J167">
        <v>0.15</v>
      </c>
      <c r="K167">
        <v>0.08</v>
      </c>
      <c r="L167">
        <v>0.18</v>
      </c>
      <c r="M167" t="s">
        <v>17</v>
      </c>
      <c r="N167" t="s">
        <v>1070</v>
      </c>
    </row>
    <row r="168" spans="1:14" x14ac:dyDescent="0.35">
      <c r="A168">
        <v>167</v>
      </c>
      <c r="B168" t="s">
        <v>209</v>
      </c>
      <c r="C168" t="s">
        <v>14</v>
      </c>
      <c r="D168" t="s">
        <v>2</v>
      </c>
      <c r="E168" t="s">
        <v>16</v>
      </c>
      <c r="F168">
        <v>2006</v>
      </c>
      <c r="G168">
        <v>91</v>
      </c>
      <c r="H168">
        <v>0.55000000000000004</v>
      </c>
      <c r="I168">
        <v>0.27</v>
      </c>
      <c r="J168">
        <v>0.17</v>
      </c>
      <c r="K168">
        <v>0.06</v>
      </c>
      <c r="L168">
        <v>0.05</v>
      </c>
      <c r="M168" t="s">
        <v>17</v>
      </c>
      <c r="N168" t="s">
        <v>1068</v>
      </c>
    </row>
    <row r="169" spans="1:14" x14ac:dyDescent="0.35">
      <c r="A169">
        <v>168</v>
      </c>
      <c r="B169" t="s">
        <v>210</v>
      </c>
      <c r="C169" t="s">
        <v>64</v>
      </c>
      <c r="D169" t="s">
        <v>15</v>
      </c>
      <c r="E169" t="s">
        <v>74</v>
      </c>
      <c r="F169">
        <v>2014</v>
      </c>
      <c r="G169">
        <v>56</v>
      </c>
      <c r="H169">
        <v>0.25</v>
      </c>
      <c r="I169">
        <v>0.11</v>
      </c>
      <c r="J169">
        <v>0.06</v>
      </c>
      <c r="K169">
        <v>0.03</v>
      </c>
      <c r="L169">
        <v>0.05</v>
      </c>
      <c r="M169" t="s">
        <v>24</v>
      </c>
      <c r="N169" t="s">
        <v>1071</v>
      </c>
    </row>
    <row r="170" spans="1:14" x14ac:dyDescent="0.35">
      <c r="A170">
        <v>169</v>
      </c>
      <c r="B170" t="s">
        <v>211</v>
      </c>
      <c r="C170" t="s">
        <v>23</v>
      </c>
      <c r="D170" t="s">
        <v>15</v>
      </c>
      <c r="E170" t="s">
        <v>54</v>
      </c>
      <c r="F170">
        <v>2023</v>
      </c>
      <c r="G170">
        <v>90</v>
      </c>
      <c r="H170">
        <v>0.33</v>
      </c>
      <c r="I170">
        <v>0.15</v>
      </c>
      <c r="J170">
        <v>0.08</v>
      </c>
      <c r="K170">
        <v>0.03</v>
      </c>
      <c r="L170">
        <v>7.0000000000000007E-2</v>
      </c>
      <c r="M170" t="s">
        <v>24</v>
      </c>
      <c r="N170" t="s">
        <v>1068</v>
      </c>
    </row>
    <row r="171" spans="1:14" x14ac:dyDescent="0.35">
      <c r="A171">
        <v>170</v>
      </c>
      <c r="B171" t="s">
        <v>212</v>
      </c>
      <c r="C171" t="s">
        <v>23</v>
      </c>
      <c r="D171" t="s">
        <v>65</v>
      </c>
      <c r="E171" t="s">
        <v>43</v>
      </c>
      <c r="F171">
        <v>2022</v>
      </c>
      <c r="G171">
        <v>85</v>
      </c>
      <c r="H171">
        <v>0.39</v>
      </c>
      <c r="I171">
        <v>0.18</v>
      </c>
      <c r="J171">
        <v>0.09</v>
      </c>
      <c r="K171">
        <v>0.08</v>
      </c>
      <c r="L171">
        <v>0.04</v>
      </c>
      <c r="M171" t="s">
        <v>24</v>
      </c>
      <c r="N171" t="s">
        <v>1069</v>
      </c>
    </row>
    <row r="172" spans="1:14" x14ac:dyDescent="0.35">
      <c r="A172">
        <v>171</v>
      </c>
      <c r="B172" t="s">
        <v>213</v>
      </c>
      <c r="C172" t="s">
        <v>14</v>
      </c>
      <c r="D172" t="s">
        <v>48</v>
      </c>
      <c r="E172" t="s">
        <v>16</v>
      </c>
      <c r="F172">
        <v>2010</v>
      </c>
      <c r="G172">
        <v>77</v>
      </c>
      <c r="H172">
        <v>2.4500000000000002</v>
      </c>
      <c r="I172">
        <v>1.21</v>
      </c>
      <c r="J172">
        <v>0.6</v>
      </c>
      <c r="K172">
        <v>0.33</v>
      </c>
      <c r="L172">
        <v>0.31</v>
      </c>
      <c r="M172" t="s">
        <v>27</v>
      </c>
      <c r="N172" t="s">
        <v>1070</v>
      </c>
    </row>
    <row r="173" spans="1:14" x14ac:dyDescent="0.35">
      <c r="A173">
        <v>172</v>
      </c>
      <c r="B173" t="s">
        <v>214</v>
      </c>
      <c r="C173" t="s">
        <v>23</v>
      </c>
      <c r="D173" t="s">
        <v>45</v>
      </c>
      <c r="E173" t="s">
        <v>43</v>
      </c>
      <c r="F173">
        <v>2023</v>
      </c>
      <c r="G173">
        <v>57</v>
      </c>
      <c r="H173">
        <v>0.23</v>
      </c>
      <c r="I173">
        <v>0.1</v>
      </c>
      <c r="J173">
        <v>0.06</v>
      </c>
      <c r="K173">
        <v>0.02</v>
      </c>
      <c r="L173">
        <v>0.05</v>
      </c>
      <c r="M173" t="s">
        <v>24</v>
      </c>
      <c r="N173" t="s">
        <v>1071</v>
      </c>
    </row>
    <row r="174" spans="1:14" x14ac:dyDescent="0.35">
      <c r="A174">
        <v>173</v>
      </c>
      <c r="B174" t="s">
        <v>215</v>
      </c>
      <c r="C174" t="s">
        <v>19</v>
      </c>
      <c r="D174" t="s">
        <v>48</v>
      </c>
      <c r="E174" t="s">
        <v>60</v>
      </c>
      <c r="F174">
        <v>2016</v>
      </c>
      <c r="G174">
        <v>72</v>
      </c>
      <c r="H174">
        <v>0.19</v>
      </c>
      <c r="I174">
        <v>0.09</v>
      </c>
      <c r="J174">
        <v>0.04</v>
      </c>
      <c r="K174">
        <v>0.03</v>
      </c>
      <c r="L174">
        <v>0.03</v>
      </c>
      <c r="M174" t="s">
        <v>24</v>
      </c>
      <c r="N174" t="s">
        <v>1070</v>
      </c>
    </row>
    <row r="175" spans="1:14" x14ac:dyDescent="0.35">
      <c r="A175">
        <v>174</v>
      </c>
      <c r="B175" t="s">
        <v>216</v>
      </c>
      <c r="C175" t="s">
        <v>23</v>
      </c>
      <c r="D175" t="s">
        <v>48</v>
      </c>
      <c r="E175" t="s">
        <v>20</v>
      </c>
      <c r="F175">
        <v>2021</v>
      </c>
      <c r="G175">
        <v>76</v>
      </c>
      <c r="H175">
        <v>1.07</v>
      </c>
      <c r="I175">
        <v>0.54</v>
      </c>
      <c r="J175">
        <v>0.21</v>
      </c>
      <c r="K175">
        <v>0.14000000000000001</v>
      </c>
      <c r="L175">
        <v>0.18</v>
      </c>
      <c r="M175" t="s">
        <v>17</v>
      </c>
      <c r="N175" t="s">
        <v>1070</v>
      </c>
    </row>
    <row r="176" spans="1:14" x14ac:dyDescent="0.35">
      <c r="A176">
        <v>175</v>
      </c>
      <c r="B176" t="s">
        <v>217</v>
      </c>
      <c r="C176" t="s">
        <v>31</v>
      </c>
      <c r="D176" t="s">
        <v>62</v>
      </c>
      <c r="E176" t="s">
        <v>16</v>
      </c>
      <c r="F176">
        <v>2003</v>
      </c>
      <c r="G176">
        <v>75</v>
      </c>
      <c r="H176">
        <v>0.47</v>
      </c>
      <c r="I176">
        <v>0.24</v>
      </c>
      <c r="J176">
        <v>0.14000000000000001</v>
      </c>
      <c r="K176">
        <v>0.04</v>
      </c>
      <c r="L176">
        <v>0.05</v>
      </c>
      <c r="M176" t="s">
        <v>24</v>
      </c>
      <c r="N176" t="s">
        <v>1070</v>
      </c>
    </row>
    <row r="177" spans="1:14" x14ac:dyDescent="0.35">
      <c r="A177">
        <v>176</v>
      </c>
      <c r="B177" t="s">
        <v>218</v>
      </c>
      <c r="C177" t="s">
        <v>57</v>
      </c>
      <c r="D177" t="s">
        <v>37</v>
      </c>
      <c r="E177" t="s">
        <v>41</v>
      </c>
      <c r="F177">
        <v>2004</v>
      </c>
      <c r="G177">
        <v>80</v>
      </c>
      <c r="H177">
        <v>0.83</v>
      </c>
      <c r="I177">
        <v>0.41</v>
      </c>
      <c r="J177">
        <v>0.27</v>
      </c>
      <c r="K177">
        <v>0.08</v>
      </c>
      <c r="L177">
        <v>7.0000000000000007E-2</v>
      </c>
      <c r="M177" t="s">
        <v>17</v>
      </c>
      <c r="N177" t="s">
        <v>1069</v>
      </c>
    </row>
    <row r="178" spans="1:14" x14ac:dyDescent="0.35">
      <c r="A178">
        <v>177</v>
      </c>
      <c r="B178" t="s">
        <v>219</v>
      </c>
      <c r="C178" t="s">
        <v>59</v>
      </c>
      <c r="D178" t="s">
        <v>51</v>
      </c>
      <c r="E178" t="s">
        <v>74</v>
      </c>
      <c r="F178">
        <v>1995</v>
      </c>
      <c r="G178">
        <v>76</v>
      </c>
      <c r="H178">
        <v>0.46</v>
      </c>
      <c r="I178">
        <v>0.25</v>
      </c>
      <c r="J178">
        <v>0.15</v>
      </c>
      <c r="K178">
        <v>0.06</v>
      </c>
      <c r="L178">
        <v>0</v>
      </c>
      <c r="M178" t="s">
        <v>24</v>
      </c>
      <c r="N178" t="s">
        <v>1070</v>
      </c>
    </row>
    <row r="179" spans="1:14" x14ac:dyDescent="0.35">
      <c r="A179">
        <v>178</v>
      </c>
      <c r="B179" t="s">
        <v>220</v>
      </c>
      <c r="C179" t="s">
        <v>31</v>
      </c>
      <c r="D179" t="s">
        <v>33</v>
      </c>
      <c r="E179" t="s">
        <v>43</v>
      </c>
      <c r="F179">
        <v>2006</v>
      </c>
      <c r="G179">
        <v>96</v>
      </c>
      <c r="H179">
        <v>0.42</v>
      </c>
      <c r="I179">
        <v>0.21</v>
      </c>
      <c r="J179">
        <v>0.13</v>
      </c>
      <c r="K179">
        <v>0.06</v>
      </c>
      <c r="L179">
        <v>0.02</v>
      </c>
      <c r="M179" t="s">
        <v>24</v>
      </c>
      <c r="N179" t="s">
        <v>1068</v>
      </c>
    </row>
    <row r="180" spans="1:14" x14ac:dyDescent="0.35">
      <c r="A180">
        <v>179</v>
      </c>
      <c r="B180" t="s">
        <v>221</v>
      </c>
      <c r="C180" t="s">
        <v>64</v>
      </c>
      <c r="D180" t="s">
        <v>37</v>
      </c>
      <c r="E180" t="s">
        <v>74</v>
      </c>
      <c r="F180">
        <v>2014</v>
      </c>
      <c r="G180">
        <v>87</v>
      </c>
      <c r="H180">
        <v>0.19</v>
      </c>
      <c r="I180">
        <v>7.0000000000000007E-2</v>
      </c>
      <c r="J180">
        <v>7.0000000000000007E-2</v>
      </c>
      <c r="K180">
        <v>0.02</v>
      </c>
      <c r="L180">
        <v>0.03</v>
      </c>
      <c r="M180" t="s">
        <v>24</v>
      </c>
      <c r="N180" t="s">
        <v>1069</v>
      </c>
    </row>
    <row r="181" spans="1:14" x14ac:dyDescent="0.35">
      <c r="A181">
        <v>180</v>
      </c>
      <c r="B181" t="s">
        <v>222</v>
      </c>
      <c r="C181" t="s">
        <v>31</v>
      </c>
      <c r="D181" t="s">
        <v>51</v>
      </c>
      <c r="E181" t="s">
        <v>41</v>
      </c>
      <c r="F181">
        <v>2000</v>
      </c>
      <c r="G181">
        <v>72</v>
      </c>
      <c r="H181">
        <v>1.81</v>
      </c>
      <c r="I181">
        <v>0.9</v>
      </c>
      <c r="J181">
        <v>0.37</v>
      </c>
      <c r="K181">
        <v>0.27</v>
      </c>
      <c r="L181">
        <v>0.27</v>
      </c>
      <c r="M181" t="s">
        <v>17</v>
      </c>
      <c r="N181" t="s">
        <v>1070</v>
      </c>
    </row>
    <row r="182" spans="1:14" x14ac:dyDescent="0.35">
      <c r="A182">
        <v>181</v>
      </c>
      <c r="B182" t="s">
        <v>223</v>
      </c>
      <c r="C182" t="s">
        <v>57</v>
      </c>
      <c r="D182" t="s">
        <v>15</v>
      </c>
      <c r="E182" t="s">
        <v>49</v>
      </c>
      <c r="F182">
        <v>2007</v>
      </c>
      <c r="G182">
        <v>65</v>
      </c>
      <c r="H182">
        <v>0.36</v>
      </c>
      <c r="I182">
        <v>0.19</v>
      </c>
      <c r="J182">
        <v>0.11</v>
      </c>
      <c r="K182">
        <v>0.03</v>
      </c>
      <c r="L182">
        <v>0.03</v>
      </c>
      <c r="M182" t="s">
        <v>24</v>
      </c>
      <c r="N182" t="s">
        <v>1071</v>
      </c>
    </row>
    <row r="183" spans="1:14" x14ac:dyDescent="0.35">
      <c r="A183">
        <v>182</v>
      </c>
      <c r="B183" t="s">
        <v>224</v>
      </c>
      <c r="C183" t="s">
        <v>59</v>
      </c>
      <c r="D183" t="s">
        <v>51</v>
      </c>
      <c r="E183" t="s">
        <v>43</v>
      </c>
      <c r="F183">
        <v>2000</v>
      </c>
      <c r="G183">
        <v>69</v>
      </c>
      <c r="H183">
        <v>1.57</v>
      </c>
      <c r="I183">
        <v>0.69</v>
      </c>
      <c r="J183">
        <v>0.55000000000000004</v>
      </c>
      <c r="K183">
        <v>0.17</v>
      </c>
      <c r="L183">
        <v>0.16</v>
      </c>
      <c r="M183" t="s">
        <v>17</v>
      </c>
      <c r="N183" t="s">
        <v>1071</v>
      </c>
    </row>
    <row r="184" spans="1:14" x14ac:dyDescent="0.35">
      <c r="A184">
        <v>183</v>
      </c>
      <c r="B184" t="s">
        <v>225</v>
      </c>
      <c r="C184" t="s">
        <v>57</v>
      </c>
      <c r="D184" t="s">
        <v>62</v>
      </c>
      <c r="E184" t="s">
        <v>60</v>
      </c>
      <c r="F184">
        <v>2012</v>
      </c>
      <c r="G184">
        <v>98</v>
      </c>
      <c r="H184">
        <v>0.15</v>
      </c>
      <c r="I184">
        <v>7.0000000000000007E-2</v>
      </c>
      <c r="J184">
        <v>0.03</v>
      </c>
      <c r="K184">
        <v>0.02</v>
      </c>
      <c r="L184">
        <v>0.03</v>
      </c>
      <c r="M184" t="s">
        <v>24</v>
      </c>
      <c r="N184" t="s">
        <v>1068</v>
      </c>
    </row>
    <row r="185" spans="1:14" x14ac:dyDescent="0.35">
      <c r="A185">
        <v>184</v>
      </c>
      <c r="B185" t="s">
        <v>226</v>
      </c>
      <c r="C185" t="s">
        <v>59</v>
      </c>
      <c r="D185" t="s">
        <v>65</v>
      </c>
      <c r="E185" t="s">
        <v>52</v>
      </c>
      <c r="F185">
        <v>1999</v>
      </c>
      <c r="G185">
        <v>64</v>
      </c>
      <c r="H185">
        <v>0.31</v>
      </c>
      <c r="I185">
        <v>0.15</v>
      </c>
      <c r="J185">
        <v>0.08</v>
      </c>
      <c r="K185">
        <v>0.06</v>
      </c>
      <c r="L185">
        <v>0.02</v>
      </c>
      <c r="M185" t="s">
        <v>24</v>
      </c>
      <c r="N185" t="s">
        <v>1071</v>
      </c>
    </row>
    <row r="186" spans="1:14" x14ac:dyDescent="0.35">
      <c r="A186">
        <v>185</v>
      </c>
      <c r="B186" t="s">
        <v>227</v>
      </c>
      <c r="C186" t="s">
        <v>19</v>
      </c>
      <c r="D186" t="s">
        <v>62</v>
      </c>
      <c r="E186" t="s">
        <v>54</v>
      </c>
      <c r="F186">
        <v>2013</v>
      </c>
      <c r="G186">
        <v>84</v>
      </c>
      <c r="H186">
        <v>1.01</v>
      </c>
      <c r="I186">
        <v>0.49</v>
      </c>
      <c r="J186">
        <v>0.25</v>
      </c>
      <c r="K186">
        <v>0.05</v>
      </c>
      <c r="L186">
        <v>0.22</v>
      </c>
      <c r="M186" t="s">
        <v>17</v>
      </c>
      <c r="N186" t="s">
        <v>1069</v>
      </c>
    </row>
    <row r="187" spans="1:14" x14ac:dyDescent="0.35">
      <c r="A187">
        <v>186</v>
      </c>
      <c r="B187" t="s">
        <v>228</v>
      </c>
      <c r="C187" t="s">
        <v>14</v>
      </c>
      <c r="D187" t="s">
        <v>48</v>
      </c>
      <c r="E187" t="s">
        <v>74</v>
      </c>
      <c r="F187">
        <v>2006</v>
      </c>
      <c r="G187">
        <v>82</v>
      </c>
      <c r="H187">
        <v>0.46</v>
      </c>
      <c r="I187">
        <v>0.25</v>
      </c>
      <c r="J187">
        <v>0.16</v>
      </c>
      <c r="K187">
        <v>0.03</v>
      </c>
      <c r="L187">
        <v>0.02</v>
      </c>
      <c r="M187" t="s">
        <v>24</v>
      </c>
      <c r="N187" t="s">
        <v>1069</v>
      </c>
    </row>
    <row r="188" spans="1:14" x14ac:dyDescent="0.35">
      <c r="A188">
        <v>187</v>
      </c>
      <c r="B188" t="s">
        <v>229</v>
      </c>
      <c r="C188" t="s">
        <v>19</v>
      </c>
      <c r="D188" t="s">
        <v>51</v>
      </c>
      <c r="E188" t="s">
        <v>41</v>
      </c>
      <c r="F188">
        <v>2013</v>
      </c>
      <c r="G188">
        <v>96</v>
      </c>
      <c r="H188">
        <v>0.2</v>
      </c>
      <c r="I188">
        <v>0.11</v>
      </c>
      <c r="J188">
        <v>0.05</v>
      </c>
      <c r="K188">
        <v>0.03</v>
      </c>
      <c r="L188">
        <v>0.01</v>
      </c>
      <c r="M188" t="s">
        <v>24</v>
      </c>
      <c r="N188" t="s">
        <v>1068</v>
      </c>
    </row>
    <row r="189" spans="1:14" x14ac:dyDescent="0.35">
      <c r="A189">
        <v>188</v>
      </c>
      <c r="B189" t="s">
        <v>230</v>
      </c>
      <c r="C189" t="s">
        <v>57</v>
      </c>
      <c r="D189" t="s">
        <v>37</v>
      </c>
      <c r="E189" t="s">
        <v>43</v>
      </c>
      <c r="F189">
        <v>2012</v>
      </c>
      <c r="G189">
        <v>89</v>
      </c>
      <c r="H189">
        <v>0.42</v>
      </c>
      <c r="I189">
        <v>0.22</v>
      </c>
      <c r="J189">
        <v>0.13</v>
      </c>
      <c r="K189">
        <v>7.0000000000000007E-2</v>
      </c>
      <c r="L189">
        <v>0</v>
      </c>
      <c r="M189" t="s">
        <v>24</v>
      </c>
      <c r="N189" t="s">
        <v>1069</v>
      </c>
    </row>
    <row r="190" spans="1:14" x14ac:dyDescent="0.35">
      <c r="A190">
        <v>189</v>
      </c>
      <c r="B190" t="s">
        <v>231</v>
      </c>
      <c r="C190" t="s">
        <v>14</v>
      </c>
      <c r="D190" t="s">
        <v>65</v>
      </c>
      <c r="E190" t="s">
        <v>41</v>
      </c>
      <c r="F190">
        <v>2013</v>
      </c>
      <c r="G190">
        <v>69</v>
      </c>
      <c r="H190">
        <v>0.32</v>
      </c>
      <c r="I190">
        <v>0.13</v>
      </c>
      <c r="J190">
        <v>0.11</v>
      </c>
      <c r="K190">
        <v>0.05</v>
      </c>
      <c r="L190">
        <v>0.03</v>
      </c>
      <c r="M190" t="s">
        <v>24</v>
      </c>
      <c r="N190" t="s">
        <v>1071</v>
      </c>
    </row>
    <row r="191" spans="1:14" x14ac:dyDescent="0.35">
      <c r="A191">
        <v>190</v>
      </c>
      <c r="B191" t="s">
        <v>232</v>
      </c>
      <c r="C191" t="s">
        <v>59</v>
      </c>
      <c r="D191" t="s">
        <v>45</v>
      </c>
      <c r="E191" t="s">
        <v>74</v>
      </c>
      <c r="F191">
        <v>1995</v>
      </c>
      <c r="G191">
        <v>68</v>
      </c>
      <c r="H191">
        <v>0.08</v>
      </c>
      <c r="I191">
        <v>0.04</v>
      </c>
      <c r="J191">
        <v>0.02</v>
      </c>
      <c r="K191">
        <v>0.01</v>
      </c>
      <c r="L191">
        <v>0.01</v>
      </c>
      <c r="M191" t="s">
        <v>24</v>
      </c>
      <c r="N191" t="s">
        <v>1071</v>
      </c>
    </row>
    <row r="192" spans="1:14" x14ac:dyDescent="0.35">
      <c r="A192">
        <v>191</v>
      </c>
      <c r="B192" t="s">
        <v>233</v>
      </c>
      <c r="C192" t="s">
        <v>31</v>
      </c>
      <c r="D192" t="s">
        <v>15</v>
      </c>
      <c r="E192" t="s">
        <v>41</v>
      </c>
      <c r="F192">
        <v>2005</v>
      </c>
      <c r="G192">
        <v>89</v>
      </c>
      <c r="H192">
        <v>0.17</v>
      </c>
      <c r="I192">
        <v>7.0000000000000007E-2</v>
      </c>
      <c r="J192">
        <v>0.05</v>
      </c>
      <c r="K192">
        <v>0.03</v>
      </c>
      <c r="L192">
        <v>0.02</v>
      </c>
      <c r="M192" t="s">
        <v>24</v>
      </c>
      <c r="N192" t="s">
        <v>1069</v>
      </c>
    </row>
    <row r="193" spans="1:14" x14ac:dyDescent="0.35">
      <c r="A193">
        <v>192</v>
      </c>
      <c r="B193" t="s">
        <v>234</v>
      </c>
      <c r="C193" t="s">
        <v>14</v>
      </c>
      <c r="D193" t="s">
        <v>48</v>
      </c>
      <c r="E193" t="s">
        <v>46</v>
      </c>
      <c r="F193">
        <v>2011</v>
      </c>
      <c r="G193">
        <v>69</v>
      </c>
      <c r="H193">
        <v>0.49</v>
      </c>
      <c r="I193">
        <v>0.23</v>
      </c>
      <c r="J193">
        <v>0.14000000000000001</v>
      </c>
      <c r="K193">
        <v>0.08</v>
      </c>
      <c r="L193">
        <v>0.04</v>
      </c>
      <c r="M193" t="s">
        <v>24</v>
      </c>
      <c r="N193" t="s">
        <v>1071</v>
      </c>
    </row>
    <row r="194" spans="1:14" x14ac:dyDescent="0.35">
      <c r="A194">
        <v>193</v>
      </c>
      <c r="B194" t="s">
        <v>235</v>
      </c>
      <c r="C194" t="s">
        <v>31</v>
      </c>
      <c r="D194" t="s">
        <v>45</v>
      </c>
      <c r="E194" t="s">
        <v>60</v>
      </c>
      <c r="F194">
        <v>2005</v>
      </c>
      <c r="G194">
        <v>77</v>
      </c>
      <c r="H194">
        <v>1.27</v>
      </c>
      <c r="I194">
        <v>0.55000000000000004</v>
      </c>
      <c r="J194">
        <v>0.28000000000000003</v>
      </c>
      <c r="K194">
        <v>0.14000000000000001</v>
      </c>
      <c r="L194">
        <v>0.3</v>
      </c>
      <c r="M194" t="s">
        <v>17</v>
      </c>
      <c r="N194" t="s">
        <v>1070</v>
      </c>
    </row>
    <row r="195" spans="1:14" x14ac:dyDescent="0.35">
      <c r="A195">
        <v>194</v>
      </c>
      <c r="B195" t="s">
        <v>236</v>
      </c>
      <c r="C195" t="s">
        <v>64</v>
      </c>
      <c r="D195" t="s">
        <v>62</v>
      </c>
      <c r="E195" t="s">
        <v>52</v>
      </c>
      <c r="F195">
        <v>2019</v>
      </c>
      <c r="G195">
        <v>64</v>
      </c>
      <c r="H195">
        <v>5.86</v>
      </c>
      <c r="I195">
        <v>2.7</v>
      </c>
      <c r="J195">
        <v>1.29</v>
      </c>
      <c r="K195">
        <v>0.51</v>
      </c>
      <c r="L195">
        <v>1.36</v>
      </c>
      <c r="M195" t="s">
        <v>21</v>
      </c>
      <c r="N195" t="s">
        <v>1071</v>
      </c>
    </row>
    <row r="196" spans="1:14" x14ac:dyDescent="0.35">
      <c r="A196">
        <v>195</v>
      </c>
      <c r="B196" t="s">
        <v>237</v>
      </c>
      <c r="C196" t="s">
        <v>31</v>
      </c>
      <c r="D196" t="s">
        <v>33</v>
      </c>
      <c r="E196" t="s">
        <v>16</v>
      </c>
      <c r="F196">
        <v>2002</v>
      </c>
      <c r="G196">
        <v>89</v>
      </c>
      <c r="H196">
        <v>1.02</v>
      </c>
      <c r="I196">
        <v>0.41</v>
      </c>
      <c r="J196">
        <v>0.31</v>
      </c>
      <c r="K196">
        <v>0.14000000000000001</v>
      </c>
      <c r="L196">
        <v>0.16</v>
      </c>
      <c r="M196" t="s">
        <v>17</v>
      </c>
      <c r="N196" t="s">
        <v>1069</v>
      </c>
    </row>
    <row r="197" spans="1:14" x14ac:dyDescent="0.35">
      <c r="A197">
        <v>196</v>
      </c>
      <c r="B197" t="s">
        <v>238</v>
      </c>
      <c r="C197" t="s">
        <v>64</v>
      </c>
      <c r="D197" t="s">
        <v>48</v>
      </c>
      <c r="E197" t="s">
        <v>74</v>
      </c>
      <c r="F197">
        <v>2012</v>
      </c>
      <c r="G197">
        <v>85</v>
      </c>
      <c r="H197">
        <v>0.17</v>
      </c>
      <c r="I197">
        <v>0.08</v>
      </c>
      <c r="J197">
        <v>0.05</v>
      </c>
      <c r="K197">
        <v>0.03</v>
      </c>
      <c r="L197">
        <v>0.01</v>
      </c>
      <c r="M197" t="s">
        <v>24</v>
      </c>
      <c r="N197" t="s">
        <v>1069</v>
      </c>
    </row>
    <row r="198" spans="1:14" x14ac:dyDescent="0.35">
      <c r="A198">
        <v>197</v>
      </c>
      <c r="B198" t="s">
        <v>239</v>
      </c>
      <c r="C198" t="s">
        <v>31</v>
      </c>
      <c r="D198" t="s">
        <v>2</v>
      </c>
      <c r="E198" t="s">
        <v>52</v>
      </c>
      <c r="F198">
        <v>2005</v>
      </c>
      <c r="G198">
        <v>90</v>
      </c>
      <c r="H198">
        <v>0.45</v>
      </c>
      <c r="I198">
        <v>0.2</v>
      </c>
      <c r="J198">
        <v>0.13</v>
      </c>
      <c r="K198">
        <v>0.04</v>
      </c>
      <c r="L198">
        <v>0.08</v>
      </c>
      <c r="M198" t="s">
        <v>24</v>
      </c>
      <c r="N198" t="s">
        <v>1068</v>
      </c>
    </row>
    <row r="199" spans="1:14" x14ac:dyDescent="0.35">
      <c r="A199">
        <v>198</v>
      </c>
      <c r="B199" t="s">
        <v>240</v>
      </c>
      <c r="C199" t="s">
        <v>14</v>
      </c>
      <c r="D199" t="s">
        <v>62</v>
      </c>
      <c r="E199" t="s">
        <v>49</v>
      </c>
      <c r="F199">
        <v>2013</v>
      </c>
      <c r="G199">
        <v>68</v>
      </c>
      <c r="H199">
        <v>0.42</v>
      </c>
      <c r="I199">
        <v>0.19</v>
      </c>
      <c r="J199">
        <v>0.1</v>
      </c>
      <c r="K199">
        <v>0.03</v>
      </c>
      <c r="L199">
        <v>0.1</v>
      </c>
      <c r="M199" t="s">
        <v>24</v>
      </c>
      <c r="N199" t="s">
        <v>1071</v>
      </c>
    </row>
    <row r="200" spans="1:14" x14ac:dyDescent="0.35">
      <c r="A200">
        <v>199</v>
      </c>
      <c r="B200" t="s">
        <v>241</v>
      </c>
      <c r="C200" t="s">
        <v>14</v>
      </c>
      <c r="D200" t="s">
        <v>51</v>
      </c>
      <c r="E200" t="s">
        <v>54</v>
      </c>
      <c r="F200">
        <v>2012</v>
      </c>
      <c r="G200">
        <v>69</v>
      </c>
      <c r="H200">
        <v>0.19</v>
      </c>
      <c r="I200">
        <v>0.09</v>
      </c>
      <c r="J200">
        <v>0.06</v>
      </c>
      <c r="K200">
        <v>0.03</v>
      </c>
      <c r="L200">
        <v>0.01</v>
      </c>
      <c r="M200" t="s">
        <v>24</v>
      </c>
      <c r="N200" t="s">
        <v>1071</v>
      </c>
    </row>
    <row r="201" spans="1:14" x14ac:dyDescent="0.35">
      <c r="A201">
        <v>200</v>
      </c>
      <c r="B201" t="s">
        <v>242</v>
      </c>
      <c r="C201" t="s">
        <v>14</v>
      </c>
      <c r="D201" t="s">
        <v>62</v>
      </c>
      <c r="E201" t="s">
        <v>16</v>
      </c>
      <c r="F201">
        <v>2013</v>
      </c>
      <c r="G201">
        <v>65</v>
      </c>
      <c r="H201">
        <v>0.17</v>
      </c>
      <c r="I201">
        <v>7.0000000000000007E-2</v>
      </c>
      <c r="J201">
        <v>0.06</v>
      </c>
      <c r="K201">
        <v>0.03</v>
      </c>
      <c r="L201">
        <v>0.01</v>
      </c>
      <c r="M201" t="s">
        <v>24</v>
      </c>
      <c r="N201" t="s">
        <v>1071</v>
      </c>
    </row>
    <row r="202" spans="1:14" x14ac:dyDescent="0.35">
      <c r="A202">
        <v>201</v>
      </c>
      <c r="B202" t="s">
        <v>243</v>
      </c>
      <c r="C202" t="s">
        <v>59</v>
      </c>
      <c r="D202" t="s">
        <v>15</v>
      </c>
      <c r="E202" t="s">
        <v>49</v>
      </c>
      <c r="F202">
        <v>1999</v>
      </c>
      <c r="G202">
        <v>81</v>
      </c>
      <c r="H202">
        <v>0.09</v>
      </c>
      <c r="I202">
        <v>0.03</v>
      </c>
      <c r="J202">
        <v>0.02</v>
      </c>
      <c r="K202">
        <v>0.01</v>
      </c>
      <c r="L202">
        <v>0.03</v>
      </c>
      <c r="M202" t="s">
        <v>24</v>
      </c>
      <c r="N202" t="s">
        <v>1069</v>
      </c>
    </row>
    <row r="203" spans="1:14" x14ac:dyDescent="0.35">
      <c r="A203">
        <v>202</v>
      </c>
      <c r="B203" t="s">
        <v>244</v>
      </c>
      <c r="C203" t="s">
        <v>19</v>
      </c>
      <c r="D203" t="s">
        <v>15</v>
      </c>
      <c r="E203" t="s">
        <v>74</v>
      </c>
      <c r="F203">
        <v>2018</v>
      </c>
      <c r="G203">
        <v>97</v>
      </c>
      <c r="H203">
        <v>0.8</v>
      </c>
      <c r="I203">
        <v>0.37</v>
      </c>
      <c r="J203">
        <v>0.16</v>
      </c>
      <c r="K203">
        <v>0.1</v>
      </c>
      <c r="L203">
        <v>0.17</v>
      </c>
      <c r="M203" t="s">
        <v>17</v>
      </c>
      <c r="N203" t="s">
        <v>1068</v>
      </c>
    </row>
    <row r="204" spans="1:14" x14ac:dyDescent="0.35">
      <c r="A204">
        <v>203</v>
      </c>
      <c r="B204" t="s">
        <v>245</v>
      </c>
      <c r="C204" t="s">
        <v>14</v>
      </c>
      <c r="D204" t="s">
        <v>15</v>
      </c>
      <c r="E204" t="s">
        <v>60</v>
      </c>
      <c r="F204">
        <v>2010</v>
      </c>
      <c r="G204">
        <v>61</v>
      </c>
      <c r="H204">
        <v>2.29</v>
      </c>
      <c r="I204">
        <v>0.91</v>
      </c>
      <c r="J204">
        <v>0.67</v>
      </c>
      <c r="K204">
        <v>0.2</v>
      </c>
      <c r="L204">
        <v>0.51</v>
      </c>
      <c r="M204" t="s">
        <v>27</v>
      </c>
      <c r="N204" t="s">
        <v>1071</v>
      </c>
    </row>
    <row r="205" spans="1:14" x14ac:dyDescent="0.35">
      <c r="A205">
        <v>204</v>
      </c>
      <c r="B205" t="s">
        <v>246</v>
      </c>
      <c r="C205" t="s">
        <v>14</v>
      </c>
      <c r="D205" t="s">
        <v>45</v>
      </c>
      <c r="E205" t="s">
        <v>49</v>
      </c>
      <c r="F205">
        <v>2010</v>
      </c>
      <c r="G205">
        <v>84</v>
      </c>
      <c r="H205">
        <v>0.15</v>
      </c>
      <c r="I205">
        <v>0.08</v>
      </c>
      <c r="J205">
        <v>0.04</v>
      </c>
      <c r="K205">
        <v>0.03</v>
      </c>
      <c r="L205">
        <v>0</v>
      </c>
      <c r="M205" t="s">
        <v>24</v>
      </c>
      <c r="N205" t="s">
        <v>1069</v>
      </c>
    </row>
    <row r="206" spans="1:14" x14ac:dyDescent="0.35">
      <c r="A206">
        <v>205</v>
      </c>
      <c r="B206" t="s">
        <v>247</v>
      </c>
      <c r="C206" t="s">
        <v>64</v>
      </c>
      <c r="D206" t="s">
        <v>33</v>
      </c>
      <c r="E206" t="s">
        <v>41</v>
      </c>
      <c r="F206">
        <v>2011</v>
      </c>
      <c r="G206">
        <v>90</v>
      </c>
      <c r="H206">
        <v>0.27</v>
      </c>
      <c r="I206">
        <v>0.13</v>
      </c>
      <c r="J206">
        <v>0.06</v>
      </c>
      <c r="K206">
        <v>0.05</v>
      </c>
      <c r="L206">
        <v>0.03</v>
      </c>
      <c r="M206" t="s">
        <v>24</v>
      </c>
      <c r="N206" t="s">
        <v>1068</v>
      </c>
    </row>
    <row r="207" spans="1:14" x14ac:dyDescent="0.35">
      <c r="A207">
        <v>206</v>
      </c>
      <c r="B207" t="s">
        <v>248</v>
      </c>
      <c r="C207" t="s">
        <v>57</v>
      </c>
      <c r="D207" t="s">
        <v>2</v>
      </c>
      <c r="E207" t="s">
        <v>49</v>
      </c>
      <c r="F207">
        <v>2009</v>
      </c>
      <c r="G207">
        <v>69</v>
      </c>
      <c r="H207">
        <v>1.5</v>
      </c>
      <c r="I207">
        <v>0.54</v>
      </c>
      <c r="J207">
        <v>0.32</v>
      </c>
      <c r="K207">
        <v>0.28000000000000003</v>
      </c>
      <c r="L207">
        <v>0.36</v>
      </c>
      <c r="M207" t="s">
        <v>17</v>
      </c>
      <c r="N207" t="s">
        <v>1071</v>
      </c>
    </row>
    <row r="208" spans="1:14" x14ac:dyDescent="0.35">
      <c r="A208">
        <v>207</v>
      </c>
      <c r="B208" t="s">
        <v>249</v>
      </c>
      <c r="C208" t="s">
        <v>23</v>
      </c>
      <c r="D208" t="s">
        <v>15</v>
      </c>
      <c r="E208" t="s">
        <v>54</v>
      </c>
      <c r="F208">
        <v>2024</v>
      </c>
      <c r="G208">
        <v>68</v>
      </c>
      <c r="H208">
        <v>1.27</v>
      </c>
      <c r="I208">
        <v>0.63</v>
      </c>
      <c r="J208">
        <v>0.33</v>
      </c>
      <c r="K208">
        <v>0.08</v>
      </c>
      <c r="L208">
        <v>0.23</v>
      </c>
      <c r="M208" t="s">
        <v>17</v>
      </c>
      <c r="N208" t="s">
        <v>1071</v>
      </c>
    </row>
    <row r="209" spans="1:14" x14ac:dyDescent="0.35">
      <c r="A209">
        <v>208</v>
      </c>
      <c r="B209" t="s">
        <v>250</v>
      </c>
      <c r="C209" t="s">
        <v>31</v>
      </c>
      <c r="D209" t="s">
        <v>48</v>
      </c>
      <c r="E209" t="s">
        <v>74</v>
      </c>
      <c r="F209">
        <v>2004</v>
      </c>
      <c r="G209">
        <v>76</v>
      </c>
      <c r="H209">
        <v>0.33</v>
      </c>
      <c r="I209">
        <v>0.17</v>
      </c>
      <c r="J209">
        <v>0.1</v>
      </c>
      <c r="K209">
        <v>0.02</v>
      </c>
      <c r="L209">
        <v>0.04</v>
      </c>
      <c r="M209" t="s">
        <v>24</v>
      </c>
      <c r="N209" t="s">
        <v>1070</v>
      </c>
    </row>
    <row r="210" spans="1:14" x14ac:dyDescent="0.35">
      <c r="A210">
        <v>209</v>
      </c>
      <c r="B210" t="s">
        <v>251</v>
      </c>
      <c r="C210" t="s">
        <v>57</v>
      </c>
      <c r="D210" t="s">
        <v>15</v>
      </c>
      <c r="E210" t="s">
        <v>49</v>
      </c>
      <c r="F210">
        <v>2009</v>
      </c>
      <c r="G210">
        <v>59</v>
      </c>
      <c r="H210">
        <v>0.17</v>
      </c>
      <c r="I210">
        <v>0.09</v>
      </c>
      <c r="J210">
        <v>0.04</v>
      </c>
      <c r="K210">
        <v>0.03</v>
      </c>
      <c r="L210">
        <v>0.01</v>
      </c>
      <c r="M210" t="s">
        <v>24</v>
      </c>
      <c r="N210" t="s">
        <v>1071</v>
      </c>
    </row>
    <row r="211" spans="1:14" x14ac:dyDescent="0.35">
      <c r="A211">
        <v>210</v>
      </c>
      <c r="B211" t="s">
        <v>252</v>
      </c>
      <c r="C211" t="s">
        <v>59</v>
      </c>
      <c r="D211" t="s">
        <v>51</v>
      </c>
      <c r="E211" t="s">
        <v>16</v>
      </c>
      <c r="F211">
        <v>2000</v>
      </c>
      <c r="G211">
        <v>77</v>
      </c>
      <c r="H211">
        <v>0.46</v>
      </c>
      <c r="I211">
        <v>0.18</v>
      </c>
      <c r="J211">
        <v>0.13</v>
      </c>
      <c r="K211">
        <v>0.05</v>
      </c>
      <c r="L211">
        <v>0.1</v>
      </c>
      <c r="M211" t="s">
        <v>24</v>
      </c>
      <c r="N211" t="s">
        <v>1070</v>
      </c>
    </row>
    <row r="212" spans="1:14" x14ac:dyDescent="0.35">
      <c r="A212">
        <v>211</v>
      </c>
      <c r="B212" t="s">
        <v>253</v>
      </c>
      <c r="C212" t="s">
        <v>64</v>
      </c>
      <c r="D212" t="s">
        <v>48</v>
      </c>
      <c r="E212" t="s">
        <v>49</v>
      </c>
      <c r="F212">
        <v>2015</v>
      </c>
      <c r="G212">
        <v>64</v>
      </c>
      <c r="H212">
        <v>0.13</v>
      </c>
      <c r="I212">
        <v>0.05</v>
      </c>
      <c r="J212">
        <v>0.03</v>
      </c>
      <c r="K212">
        <v>0.01</v>
      </c>
      <c r="L212">
        <v>0.04</v>
      </c>
      <c r="M212" t="s">
        <v>24</v>
      </c>
      <c r="N212" t="s">
        <v>1071</v>
      </c>
    </row>
    <row r="213" spans="1:14" x14ac:dyDescent="0.35">
      <c r="A213">
        <v>212</v>
      </c>
      <c r="B213" t="s">
        <v>254</v>
      </c>
      <c r="C213" t="s">
        <v>59</v>
      </c>
      <c r="D213" t="s">
        <v>51</v>
      </c>
      <c r="E213" t="s">
        <v>16</v>
      </c>
      <c r="F213">
        <v>1995</v>
      </c>
      <c r="G213">
        <v>61</v>
      </c>
      <c r="H213">
        <v>0.2</v>
      </c>
      <c r="I213">
        <v>0.09</v>
      </c>
      <c r="J213">
        <v>0.06</v>
      </c>
      <c r="K213">
        <v>0.02</v>
      </c>
      <c r="L213">
        <v>0.03</v>
      </c>
      <c r="M213" t="s">
        <v>24</v>
      </c>
      <c r="N213" t="s">
        <v>1071</v>
      </c>
    </row>
    <row r="214" spans="1:14" x14ac:dyDescent="0.35">
      <c r="A214">
        <v>213</v>
      </c>
      <c r="B214" t="s">
        <v>255</v>
      </c>
      <c r="C214" t="s">
        <v>59</v>
      </c>
      <c r="D214" t="s">
        <v>29</v>
      </c>
      <c r="E214" t="s">
        <v>60</v>
      </c>
      <c r="F214">
        <v>1995</v>
      </c>
      <c r="G214">
        <v>93</v>
      </c>
      <c r="H214">
        <v>0.11</v>
      </c>
      <c r="I214">
        <v>0.06</v>
      </c>
      <c r="J214">
        <v>0.03</v>
      </c>
      <c r="K214">
        <v>0.01</v>
      </c>
      <c r="L214">
        <v>0.01</v>
      </c>
      <c r="M214" t="s">
        <v>24</v>
      </c>
      <c r="N214" t="s">
        <v>1068</v>
      </c>
    </row>
    <row r="215" spans="1:14" x14ac:dyDescent="0.35">
      <c r="A215">
        <v>214</v>
      </c>
      <c r="B215" t="s">
        <v>256</v>
      </c>
      <c r="C215" t="s">
        <v>31</v>
      </c>
      <c r="D215" t="s">
        <v>65</v>
      </c>
      <c r="E215" t="s">
        <v>54</v>
      </c>
      <c r="F215">
        <v>2004</v>
      </c>
      <c r="G215">
        <v>63</v>
      </c>
      <c r="H215">
        <v>0.41</v>
      </c>
      <c r="I215">
        <v>0.16</v>
      </c>
      <c r="J215">
        <v>0.09</v>
      </c>
      <c r="K215">
        <v>0.04</v>
      </c>
      <c r="L215">
        <v>0.12</v>
      </c>
      <c r="M215" t="s">
        <v>24</v>
      </c>
      <c r="N215" t="s">
        <v>1071</v>
      </c>
    </row>
    <row r="216" spans="1:14" x14ac:dyDescent="0.35">
      <c r="A216">
        <v>215</v>
      </c>
      <c r="B216" t="s">
        <v>257</v>
      </c>
      <c r="C216" t="s">
        <v>14</v>
      </c>
      <c r="D216" t="s">
        <v>33</v>
      </c>
      <c r="E216" t="s">
        <v>43</v>
      </c>
      <c r="F216">
        <v>2013</v>
      </c>
      <c r="G216">
        <v>95</v>
      </c>
      <c r="H216">
        <v>0.57999999999999996</v>
      </c>
      <c r="I216">
        <v>0.26</v>
      </c>
      <c r="J216">
        <v>0.13</v>
      </c>
      <c r="K216">
        <v>0.03</v>
      </c>
      <c r="L216">
        <v>0.16</v>
      </c>
      <c r="M216" t="s">
        <v>17</v>
      </c>
      <c r="N216" t="s">
        <v>1068</v>
      </c>
    </row>
    <row r="217" spans="1:14" x14ac:dyDescent="0.35">
      <c r="A217">
        <v>216</v>
      </c>
      <c r="B217" t="s">
        <v>258</v>
      </c>
      <c r="C217" t="s">
        <v>19</v>
      </c>
      <c r="D217" t="s">
        <v>2</v>
      </c>
      <c r="E217" t="s">
        <v>41</v>
      </c>
      <c r="F217">
        <v>2018</v>
      </c>
      <c r="G217">
        <v>76</v>
      </c>
      <c r="H217">
        <v>0.44</v>
      </c>
      <c r="I217">
        <v>0.21</v>
      </c>
      <c r="J217">
        <v>0.13</v>
      </c>
      <c r="K217">
        <v>0.04</v>
      </c>
      <c r="L217">
        <v>0.06</v>
      </c>
      <c r="M217" t="s">
        <v>24</v>
      </c>
      <c r="N217" t="s">
        <v>1070</v>
      </c>
    </row>
    <row r="218" spans="1:14" x14ac:dyDescent="0.35">
      <c r="A218">
        <v>217</v>
      </c>
      <c r="B218" t="s">
        <v>259</v>
      </c>
      <c r="C218" t="s">
        <v>23</v>
      </c>
      <c r="D218" t="s">
        <v>48</v>
      </c>
      <c r="E218" t="s">
        <v>16</v>
      </c>
      <c r="F218">
        <v>2025</v>
      </c>
      <c r="G218">
        <v>80</v>
      </c>
      <c r="H218">
        <v>2.0499999999999998</v>
      </c>
      <c r="I218">
        <v>1</v>
      </c>
      <c r="J218">
        <v>0.56000000000000005</v>
      </c>
      <c r="K218">
        <v>0.28000000000000003</v>
      </c>
      <c r="L218">
        <v>0.21</v>
      </c>
      <c r="M218" t="s">
        <v>27</v>
      </c>
      <c r="N218" t="s">
        <v>1069</v>
      </c>
    </row>
    <row r="219" spans="1:14" x14ac:dyDescent="0.35">
      <c r="A219">
        <v>218</v>
      </c>
      <c r="B219" t="s">
        <v>260</v>
      </c>
      <c r="C219" t="s">
        <v>31</v>
      </c>
      <c r="D219" t="s">
        <v>45</v>
      </c>
      <c r="E219" t="s">
        <v>46</v>
      </c>
      <c r="F219">
        <v>2002</v>
      </c>
      <c r="G219">
        <v>62</v>
      </c>
      <c r="H219">
        <v>1.53</v>
      </c>
      <c r="I219">
        <v>0.84</v>
      </c>
      <c r="J219">
        <v>0.35</v>
      </c>
      <c r="K219">
        <v>0.25</v>
      </c>
      <c r="L219">
        <v>0.09</v>
      </c>
      <c r="M219" t="s">
        <v>17</v>
      </c>
      <c r="N219" t="s">
        <v>1071</v>
      </c>
    </row>
    <row r="220" spans="1:14" x14ac:dyDescent="0.35">
      <c r="A220">
        <v>219</v>
      </c>
      <c r="B220" t="s">
        <v>261</v>
      </c>
      <c r="C220" t="s">
        <v>59</v>
      </c>
      <c r="D220" t="s">
        <v>62</v>
      </c>
      <c r="E220" t="s">
        <v>52</v>
      </c>
      <c r="F220">
        <v>2000</v>
      </c>
      <c r="G220">
        <v>59</v>
      </c>
      <c r="H220">
        <v>0.31</v>
      </c>
      <c r="I220">
        <v>0.15</v>
      </c>
      <c r="J220">
        <v>7.0000000000000007E-2</v>
      </c>
      <c r="K220">
        <v>0.05</v>
      </c>
      <c r="L220">
        <v>0.04</v>
      </c>
      <c r="M220" t="s">
        <v>24</v>
      </c>
      <c r="N220" t="s">
        <v>1071</v>
      </c>
    </row>
    <row r="221" spans="1:14" x14ac:dyDescent="0.35">
      <c r="A221">
        <v>220</v>
      </c>
      <c r="B221" t="s">
        <v>262</v>
      </c>
      <c r="C221" t="s">
        <v>57</v>
      </c>
      <c r="D221" t="s">
        <v>45</v>
      </c>
      <c r="E221" t="s">
        <v>49</v>
      </c>
      <c r="F221">
        <v>2010</v>
      </c>
      <c r="G221">
        <v>85</v>
      </c>
      <c r="H221">
        <v>0.63</v>
      </c>
      <c r="I221">
        <v>0.34</v>
      </c>
      <c r="J221">
        <v>0.21</v>
      </c>
      <c r="K221">
        <v>7.0000000000000007E-2</v>
      </c>
      <c r="L221">
        <v>0.01</v>
      </c>
      <c r="M221" t="s">
        <v>17</v>
      </c>
      <c r="N221" t="s">
        <v>1069</v>
      </c>
    </row>
    <row r="222" spans="1:14" x14ac:dyDescent="0.35">
      <c r="A222">
        <v>221</v>
      </c>
      <c r="B222" t="s">
        <v>263</v>
      </c>
      <c r="C222" t="s">
        <v>59</v>
      </c>
      <c r="D222" t="s">
        <v>65</v>
      </c>
      <c r="E222" t="s">
        <v>74</v>
      </c>
      <c r="F222">
        <v>1997</v>
      </c>
      <c r="G222">
        <v>70</v>
      </c>
      <c r="H222">
        <v>0.59</v>
      </c>
      <c r="I222">
        <v>0.28000000000000003</v>
      </c>
      <c r="J222">
        <v>0.12</v>
      </c>
      <c r="K222">
        <v>0.12</v>
      </c>
      <c r="L222">
        <v>7.0000000000000007E-2</v>
      </c>
      <c r="M222" t="s">
        <v>17</v>
      </c>
      <c r="N222" t="s">
        <v>1070</v>
      </c>
    </row>
    <row r="223" spans="1:14" x14ac:dyDescent="0.35">
      <c r="A223">
        <v>222</v>
      </c>
      <c r="B223" t="s">
        <v>264</v>
      </c>
      <c r="C223" t="s">
        <v>57</v>
      </c>
      <c r="D223" t="s">
        <v>45</v>
      </c>
      <c r="E223" t="s">
        <v>43</v>
      </c>
      <c r="F223">
        <v>2014</v>
      </c>
      <c r="G223">
        <v>55</v>
      </c>
      <c r="H223">
        <v>0.22</v>
      </c>
      <c r="I223">
        <v>0.11</v>
      </c>
      <c r="J223">
        <v>0.06</v>
      </c>
      <c r="K223">
        <v>0.03</v>
      </c>
      <c r="L223">
        <v>0.02</v>
      </c>
      <c r="M223" t="s">
        <v>24</v>
      </c>
      <c r="N223" t="s">
        <v>1071</v>
      </c>
    </row>
    <row r="224" spans="1:14" x14ac:dyDescent="0.35">
      <c r="A224">
        <v>223</v>
      </c>
      <c r="B224" t="s">
        <v>265</v>
      </c>
      <c r="C224" t="s">
        <v>31</v>
      </c>
      <c r="D224" t="s">
        <v>29</v>
      </c>
      <c r="E224" t="s">
        <v>41</v>
      </c>
      <c r="F224">
        <v>2003</v>
      </c>
      <c r="G224">
        <v>87</v>
      </c>
      <c r="H224">
        <v>0.64</v>
      </c>
      <c r="I224">
        <v>0.34</v>
      </c>
      <c r="J224">
        <v>0.14000000000000001</v>
      </c>
      <c r="K224">
        <v>0.11</v>
      </c>
      <c r="L224">
        <v>0.05</v>
      </c>
      <c r="M224" t="s">
        <v>17</v>
      </c>
      <c r="N224" t="s">
        <v>1069</v>
      </c>
    </row>
    <row r="225" spans="1:14" x14ac:dyDescent="0.35">
      <c r="A225">
        <v>224</v>
      </c>
      <c r="B225" t="s">
        <v>266</v>
      </c>
      <c r="C225" t="s">
        <v>57</v>
      </c>
      <c r="D225" t="s">
        <v>29</v>
      </c>
      <c r="E225" t="s">
        <v>46</v>
      </c>
      <c r="F225">
        <v>2006</v>
      </c>
      <c r="G225">
        <v>68</v>
      </c>
      <c r="H225">
        <v>0.5</v>
      </c>
      <c r="I225">
        <v>0.18</v>
      </c>
      <c r="J225">
        <v>0.15</v>
      </c>
      <c r="K225">
        <v>0.06</v>
      </c>
      <c r="L225">
        <v>0.11</v>
      </c>
      <c r="M225" t="s">
        <v>24</v>
      </c>
      <c r="N225" t="s">
        <v>1071</v>
      </c>
    </row>
    <row r="226" spans="1:14" x14ac:dyDescent="0.35">
      <c r="A226">
        <v>225</v>
      </c>
      <c r="B226" t="s">
        <v>267</v>
      </c>
      <c r="C226" t="s">
        <v>59</v>
      </c>
      <c r="D226" t="s">
        <v>15</v>
      </c>
      <c r="E226" t="s">
        <v>49</v>
      </c>
      <c r="F226">
        <v>1997</v>
      </c>
      <c r="G226">
        <v>96</v>
      </c>
      <c r="H226">
        <v>0.43</v>
      </c>
      <c r="I226">
        <v>0.18</v>
      </c>
      <c r="J226">
        <v>0.11</v>
      </c>
      <c r="K226">
        <v>0.05</v>
      </c>
      <c r="L226">
        <v>0.09</v>
      </c>
      <c r="M226" t="s">
        <v>24</v>
      </c>
      <c r="N226" t="s">
        <v>1068</v>
      </c>
    </row>
    <row r="227" spans="1:14" x14ac:dyDescent="0.35">
      <c r="A227">
        <v>226</v>
      </c>
      <c r="B227" t="s">
        <v>268</v>
      </c>
      <c r="C227" t="s">
        <v>64</v>
      </c>
      <c r="D227" t="s">
        <v>37</v>
      </c>
      <c r="E227" t="s">
        <v>54</v>
      </c>
      <c r="F227">
        <v>2017</v>
      </c>
      <c r="G227">
        <v>56</v>
      </c>
      <c r="H227">
        <v>0.26</v>
      </c>
      <c r="I227">
        <v>0.09</v>
      </c>
      <c r="J227">
        <v>0.06</v>
      </c>
      <c r="K227">
        <v>0.02</v>
      </c>
      <c r="L227">
        <v>0.09</v>
      </c>
      <c r="M227" t="s">
        <v>24</v>
      </c>
      <c r="N227" t="s">
        <v>1071</v>
      </c>
    </row>
    <row r="228" spans="1:14" x14ac:dyDescent="0.35">
      <c r="A228">
        <v>227</v>
      </c>
      <c r="B228" t="s">
        <v>269</v>
      </c>
      <c r="C228" t="s">
        <v>57</v>
      </c>
      <c r="D228" t="s">
        <v>2</v>
      </c>
      <c r="E228" t="s">
        <v>49</v>
      </c>
      <c r="F228">
        <v>2005</v>
      </c>
      <c r="G228">
        <v>78</v>
      </c>
      <c r="H228">
        <v>0.28999999999999998</v>
      </c>
      <c r="I228">
        <v>0.12</v>
      </c>
      <c r="J228">
        <v>0.1</v>
      </c>
      <c r="K228">
        <v>0.04</v>
      </c>
      <c r="L228">
        <v>0.03</v>
      </c>
      <c r="M228" t="s">
        <v>24</v>
      </c>
      <c r="N228" t="s">
        <v>1070</v>
      </c>
    </row>
    <row r="229" spans="1:14" x14ac:dyDescent="0.35">
      <c r="A229">
        <v>228</v>
      </c>
      <c r="B229" t="s">
        <v>270</v>
      </c>
      <c r="C229" t="s">
        <v>57</v>
      </c>
      <c r="D229" t="s">
        <v>2</v>
      </c>
      <c r="E229" t="s">
        <v>41</v>
      </c>
      <c r="F229">
        <v>2009</v>
      </c>
      <c r="G229">
        <v>92</v>
      </c>
      <c r="H229">
        <v>0.19</v>
      </c>
      <c r="I229">
        <v>0.08</v>
      </c>
      <c r="J229">
        <v>0.04</v>
      </c>
      <c r="K229">
        <v>0.03</v>
      </c>
      <c r="L229">
        <v>0.04</v>
      </c>
      <c r="M229" t="s">
        <v>24</v>
      </c>
      <c r="N229" t="s">
        <v>1068</v>
      </c>
    </row>
    <row r="230" spans="1:14" x14ac:dyDescent="0.35">
      <c r="A230">
        <v>229</v>
      </c>
      <c r="B230" t="s">
        <v>271</v>
      </c>
      <c r="C230" t="s">
        <v>64</v>
      </c>
      <c r="D230" t="s">
        <v>2</v>
      </c>
      <c r="E230" t="s">
        <v>74</v>
      </c>
      <c r="F230">
        <v>2015</v>
      </c>
      <c r="G230">
        <v>75</v>
      </c>
      <c r="H230">
        <v>0.13</v>
      </c>
      <c r="I230">
        <v>0.05</v>
      </c>
      <c r="J230">
        <v>0.04</v>
      </c>
      <c r="K230">
        <v>0.02</v>
      </c>
      <c r="L230">
        <v>0.02</v>
      </c>
      <c r="M230" t="s">
        <v>24</v>
      </c>
      <c r="N230" t="s">
        <v>1070</v>
      </c>
    </row>
    <row r="231" spans="1:14" x14ac:dyDescent="0.35">
      <c r="A231">
        <v>230</v>
      </c>
      <c r="B231" t="s">
        <v>272</v>
      </c>
      <c r="C231" t="s">
        <v>19</v>
      </c>
      <c r="D231" t="s">
        <v>2</v>
      </c>
      <c r="E231" t="s">
        <v>41</v>
      </c>
      <c r="F231">
        <v>2015</v>
      </c>
      <c r="G231">
        <v>86</v>
      </c>
      <c r="H231">
        <v>1.6</v>
      </c>
      <c r="I231">
        <v>0.77</v>
      </c>
      <c r="J231">
        <v>0.56000000000000005</v>
      </c>
      <c r="K231">
        <v>0.21</v>
      </c>
      <c r="L231">
        <v>0.06</v>
      </c>
      <c r="M231" t="s">
        <v>17</v>
      </c>
      <c r="N231" t="s">
        <v>1069</v>
      </c>
    </row>
    <row r="232" spans="1:14" x14ac:dyDescent="0.35">
      <c r="A232">
        <v>231</v>
      </c>
      <c r="B232" t="s">
        <v>273</v>
      </c>
      <c r="C232" t="s">
        <v>19</v>
      </c>
      <c r="D232" t="s">
        <v>37</v>
      </c>
      <c r="E232" t="s">
        <v>54</v>
      </c>
      <c r="F232">
        <v>2017</v>
      </c>
      <c r="G232">
        <v>94</v>
      </c>
      <c r="H232">
        <v>0.28000000000000003</v>
      </c>
      <c r="I232">
        <v>0.1</v>
      </c>
      <c r="J232">
        <v>0.06</v>
      </c>
      <c r="K232">
        <v>0.05</v>
      </c>
      <c r="L232">
        <v>7.0000000000000007E-2</v>
      </c>
      <c r="M232" t="s">
        <v>24</v>
      </c>
      <c r="N232" t="s">
        <v>1068</v>
      </c>
    </row>
    <row r="233" spans="1:14" x14ac:dyDescent="0.35">
      <c r="A233">
        <v>232</v>
      </c>
      <c r="B233" t="s">
        <v>274</v>
      </c>
      <c r="C233" t="s">
        <v>23</v>
      </c>
      <c r="D233" t="s">
        <v>62</v>
      </c>
      <c r="E233" t="s">
        <v>41</v>
      </c>
      <c r="F233">
        <v>2024</v>
      </c>
      <c r="G233">
        <v>83</v>
      </c>
      <c r="H233">
        <v>0.72</v>
      </c>
      <c r="I233">
        <v>0.26</v>
      </c>
      <c r="J233">
        <v>0.23</v>
      </c>
      <c r="K233">
        <v>7.0000000000000007E-2</v>
      </c>
      <c r="L233">
        <v>0.16</v>
      </c>
      <c r="M233" t="s">
        <v>17</v>
      </c>
      <c r="N233" t="s">
        <v>1069</v>
      </c>
    </row>
    <row r="234" spans="1:14" x14ac:dyDescent="0.35">
      <c r="A234">
        <v>233</v>
      </c>
      <c r="B234" t="s">
        <v>275</v>
      </c>
      <c r="C234" t="s">
        <v>14</v>
      </c>
      <c r="D234" t="s">
        <v>65</v>
      </c>
      <c r="E234" t="s">
        <v>46</v>
      </c>
      <c r="F234">
        <v>2009</v>
      </c>
      <c r="G234">
        <v>91</v>
      </c>
      <c r="H234">
        <v>2.92</v>
      </c>
      <c r="I234">
        <v>1.34</v>
      </c>
      <c r="J234">
        <v>0.63</v>
      </c>
      <c r="K234">
        <v>0.2</v>
      </c>
      <c r="L234">
        <v>0.75</v>
      </c>
      <c r="M234" t="s">
        <v>27</v>
      </c>
      <c r="N234" t="s">
        <v>1068</v>
      </c>
    </row>
    <row r="235" spans="1:14" x14ac:dyDescent="0.35">
      <c r="A235">
        <v>234</v>
      </c>
      <c r="B235" t="s">
        <v>276</v>
      </c>
      <c r="C235" t="s">
        <v>64</v>
      </c>
      <c r="D235" t="s">
        <v>29</v>
      </c>
      <c r="E235" t="s">
        <v>60</v>
      </c>
      <c r="F235">
        <v>2019</v>
      </c>
      <c r="G235">
        <v>89</v>
      </c>
      <c r="H235">
        <v>0.14000000000000001</v>
      </c>
      <c r="I235">
        <v>7.0000000000000007E-2</v>
      </c>
      <c r="J235">
        <v>0.04</v>
      </c>
      <c r="K235">
        <v>0.01</v>
      </c>
      <c r="L235">
        <v>0.02</v>
      </c>
      <c r="M235" t="s">
        <v>24</v>
      </c>
      <c r="N235" t="s">
        <v>1069</v>
      </c>
    </row>
    <row r="236" spans="1:14" x14ac:dyDescent="0.35">
      <c r="A236">
        <v>235</v>
      </c>
      <c r="B236" t="s">
        <v>277</v>
      </c>
      <c r="C236" t="s">
        <v>64</v>
      </c>
      <c r="D236" t="s">
        <v>62</v>
      </c>
      <c r="E236" t="s">
        <v>46</v>
      </c>
      <c r="F236">
        <v>2011</v>
      </c>
      <c r="G236">
        <v>83</v>
      </c>
      <c r="H236">
        <v>0.54</v>
      </c>
      <c r="I236">
        <v>0.27</v>
      </c>
      <c r="J236">
        <v>0.16</v>
      </c>
      <c r="K236">
        <v>0.1</v>
      </c>
      <c r="L236">
        <v>0.01</v>
      </c>
      <c r="M236" t="s">
        <v>17</v>
      </c>
      <c r="N236" t="s">
        <v>1069</v>
      </c>
    </row>
    <row r="237" spans="1:14" x14ac:dyDescent="0.35">
      <c r="A237">
        <v>236</v>
      </c>
      <c r="B237" t="s">
        <v>278</v>
      </c>
      <c r="C237" t="s">
        <v>23</v>
      </c>
      <c r="D237" t="s">
        <v>45</v>
      </c>
      <c r="E237" t="s">
        <v>54</v>
      </c>
      <c r="F237">
        <v>2025</v>
      </c>
      <c r="G237">
        <v>68</v>
      </c>
      <c r="H237">
        <v>0.93</v>
      </c>
      <c r="I237">
        <v>0.44</v>
      </c>
      <c r="J237">
        <v>0.21</v>
      </c>
      <c r="K237">
        <v>0.18</v>
      </c>
      <c r="L237">
        <v>0.1</v>
      </c>
      <c r="M237" t="s">
        <v>17</v>
      </c>
      <c r="N237" t="s">
        <v>1071</v>
      </c>
    </row>
    <row r="238" spans="1:14" x14ac:dyDescent="0.35">
      <c r="A238">
        <v>237</v>
      </c>
      <c r="B238" t="s">
        <v>279</v>
      </c>
      <c r="C238" t="s">
        <v>14</v>
      </c>
      <c r="D238" t="s">
        <v>2</v>
      </c>
      <c r="E238" t="s">
        <v>46</v>
      </c>
      <c r="F238">
        <v>2010</v>
      </c>
      <c r="G238">
        <v>63</v>
      </c>
      <c r="H238">
        <v>1.1299999999999999</v>
      </c>
      <c r="I238">
        <v>0.59</v>
      </c>
      <c r="J238">
        <v>0.27</v>
      </c>
      <c r="K238">
        <v>0.18</v>
      </c>
      <c r="L238">
        <v>0.09</v>
      </c>
      <c r="M238" t="s">
        <v>17</v>
      </c>
      <c r="N238" t="s">
        <v>1071</v>
      </c>
    </row>
    <row r="239" spans="1:14" x14ac:dyDescent="0.35">
      <c r="A239">
        <v>238</v>
      </c>
      <c r="B239" t="s">
        <v>280</v>
      </c>
      <c r="C239" t="s">
        <v>64</v>
      </c>
      <c r="D239" t="s">
        <v>45</v>
      </c>
      <c r="E239" t="s">
        <v>16</v>
      </c>
      <c r="F239">
        <v>2014</v>
      </c>
      <c r="G239">
        <v>95</v>
      </c>
      <c r="H239">
        <v>0.16</v>
      </c>
      <c r="I239">
        <v>7.0000000000000007E-2</v>
      </c>
      <c r="J239">
        <v>0.05</v>
      </c>
      <c r="K239">
        <v>0.03</v>
      </c>
      <c r="L239">
        <v>0.01</v>
      </c>
      <c r="M239" t="s">
        <v>24</v>
      </c>
      <c r="N239" t="s">
        <v>1068</v>
      </c>
    </row>
    <row r="240" spans="1:14" x14ac:dyDescent="0.35">
      <c r="A240">
        <v>239</v>
      </c>
      <c r="B240" t="s">
        <v>281</v>
      </c>
      <c r="C240" t="s">
        <v>59</v>
      </c>
      <c r="D240" t="s">
        <v>65</v>
      </c>
      <c r="E240" t="s">
        <v>46</v>
      </c>
      <c r="F240">
        <v>1998</v>
      </c>
      <c r="G240">
        <v>86</v>
      </c>
      <c r="H240">
        <v>1.97</v>
      </c>
      <c r="I240">
        <v>0.98</v>
      </c>
      <c r="J240">
        <v>0.53</v>
      </c>
      <c r="K240">
        <v>0.28999999999999998</v>
      </c>
      <c r="L240">
        <v>0.17</v>
      </c>
      <c r="M240" t="s">
        <v>17</v>
      </c>
      <c r="N240" t="s">
        <v>1069</v>
      </c>
    </row>
    <row r="241" spans="1:14" x14ac:dyDescent="0.35">
      <c r="A241">
        <v>240</v>
      </c>
      <c r="B241" t="s">
        <v>282</v>
      </c>
      <c r="C241" t="s">
        <v>14</v>
      </c>
      <c r="D241" t="s">
        <v>65</v>
      </c>
      <c r="E241" t="s">
        <v>41</v>
      </c>
      <c r="F241">
        <v>2007</v>
      </c>
      <c r="G241">
        <v>68</v>
      </c>
      <c r="H241">
        <v>0.57999999999999996</v>
      </c>
      <c r="I241">
        <v>0.24</v>
      </c>
      <c r="J241">
        <v>0.16</v>
      </c>
      <c r="K241">
        <v>0.04</v>
      </c>
      <c r="L241">
        <v>0.14000000000000001</v>
      </c>
      <c r="M241" t="s">
        <v>17</v>
      </c>
      <c r="N241" t="s">
        <v>1071</v>
      </c>
    </row>
    <row r="242" spans="1:14" x14ac:dyDescent="0.35">
      <c r="A242">
        <v>241</v>
      </c>
      <c r="B242" t="s">
        <v>283</v>
      </c>
      <c r="C242" t="s">
        <v>64</v>
      </c>
      <c r="D242" t="s">
        <v>29</v>
      </c>
      <c r="E242" t="s">
        <v>20</v>
      </c>
      <c r="F242">
        <v>2018</v>
      </c>
      <c r="G242">
        <v>95</v>
      </c>
      <c r="H242">
        <v>0.66</v>
      </c>
      <c r="I242">
        <v>0.25</v>
      </c>
      <c r="J242">
        <v>0.22</v>
      </c>
      <c r="K242">
        <v>0.08</v>
      </c>
      <c r="L242">
        <v>0.11</v>
      </c>
      <c r="M242" t="s">
        <v>17</v>
      </c>
      <c r="N242" t="s">
        <v>1068</v>
      </c>
    </row>
    <row r="243" spans="1:14" x14ac:dyDescent="0.35">
      <c r="A243">
        <v>242</v>
      </c>
      <c r="B243" t="s">
        <v>284</v>
      </c>
      <c r="C243" t="s">
        <v>59</v>
      </c>
      <c r="D243" t="s">
        <v>48</v>
      </c>
      <c r="E243" t="s">
        <v>54</v>
      </c>
      <c r="F243">
        <v>1998</v>
      </c>
      <c r="G243">
        <v>72</v>
      </c>
      <c r="H243">
        <v>0.15</v>
      </c>
      <c r="I243">
        <v>0.05</v>
      </c>
      <c r="J243">
        <v>0.04</v>
      </c>
      <c r="K243">
        <v>0.02</v>
      </c>
      <c r="L243">
        <v>0.04</v>
      </c>
      <c r="M243" t="s">
        <v>24</v>
      </c>
      <c r="N243" t="s">
        <v>1070</v>
      </c>
    </row>
    <row r="244" spans="1:14" x14ac:dyDescent="0.35">
      <c r="A244">
        <v>243</v>
      </c>
      <c r="B244" t="s">
        <v>285</v>
      </c>
      <c r="C244" t="s">
        <v>59</v>
      </c>
      <c r="D244" t="s">
        <v>51</v>
      </c>
      <c r="E244" t="s">
        <v>52</v>
      </c>
      <c r="F244">
        <v>1998</v>
      </c>
      <c r="G244">
        <v>61</v>
      </c>
      <c r="H244">
        <v>0.19</v>
      </c>
      <c r="I244">
        <v>0.09</v>
      </c>
      <c r="J244">
        <v>0.04</v>
      </c>
      <c r="K244">
        <v>0.03</v>
      </c>
      <c r="L244">
        <v>0.03</v>
      </c>
      <c r="M244" t="s">
        <v>24</v>
      </c>
      <c r="N244" t="s">
        <v>1071</v>
      </c>
    </row>
    <row r="245" spans="1:14" x14ac:dyDescent="0.35">
      <c r="A245">
        <v>244</v>
      </c>
      <c r="B245" t="s">
        <v>286</v>
      </c>
      <c r="C245" t="s">
        <v>64</v>
      </c>
      <c r="D245" t="s">
        <v>45</v>
      </c>
      <c r="E245" t="s">
        <v>54</v>
      </c>
      <c r="F245">
        <v>2012</v>
      </c>
      <c r="G245">
        <v>69</v>
      </c>
      <c r="H245">
        <v>0.15</v>
      </c>
      <c r="I245">
        <v>0.06</v>
      </c>
      <c r="J245">
        <v>0.04</v>
      </c>
      <c r="K245">
        <v>0.03</v>
      </c>
      <c r="L245">
        <v>0.02</v>
      </c>
      <c r="M245" t="s">
        <v>24</v>
      </c>
      <c r="N245" t="s">
        <v>1071</v>
      </c>
    </row>
    <row r="246" spans="1:14" x14ac:dyDescent="0.35">
      <c r="A246">
        <v>245</v>
      </c>
      <c r="B246" t="s">
        <v>287</v>
      </c>
      <c r="C246" t="s">
        <v>31</v>
      </c>
      <c r="D246" t="s">
        <v>37</v>
      </c>
      <c r="E246" t="s">
        <v>54</v>
      </c>
      <c r="F246">
        <v>2003</v>
      </c>
      <c r="G246">
        <v>91</v>
      </c>
      <c r="H246">
        <v>0.48</v>
      </c>
      <c r="I246">
        <v>0.23</v>
      </c>
      <c r="J246">
        <v>0.11</v>
      </c>
      <c r="K246">
        <v>0.05</v>
      </c>
      <c r="L246">
        <v>0.09</v>
      </c>
      <c r="M246" t="s">
        <v>24</v>
      </c>
      <c r="N246" t="s">
        <v>1068</v>
      </c>
    </row>
    <row r="247" spans="1:14" x14ac:dyDescent="0.35">
      <c r="A247">
        <v>246</v>
      </c>
      <c r="B247" t="s">
        <v>288</v>
      </c>
      <c r="C247" t="s">
        <v>57</v>
      </c>
      <c r="D247" t="s">
        <v>48</v>
      </c>
      <c r="E247" t="s">
        <v>49</v>
      </c>
      <c r="F247">
        <v>2011</v>
      </c>
      <c r="G247">
        <v>62</v>
      </c>
      <c r="H247">
        <v>0.6</v>
      </c>
      <c r="I247">
        <v>0.33</v>
      </c>
      <c r="J247">
        <v>0.15</v>
      </c>
      <c r="K247">
        <v>0.04</v>
      </c>
      <c r="L247">
        <v>0.08</v>
      </c>
      <c r="M247" t="s">
        <v>17</v>
      </c>
      <c r="N247" t="s">
        <v>1071</v>
      </c>
    </row>
    <row r="248" spans="1:14" x14ac:dyDescent="0.35">
      <c r="A248">
        <v>247</v>
      </c>
      <c r="B248" t="s">
        <v>289</v>
      </c>
      <c r="C248" t="s">
        <v>14</v>
      </c>
      <c r="D248" t="s">
        <v>48</v>
      </c>
      <c r="E248" t="s">
        <v>60</v>
      </c>
      <c r="F248">
        <v>2007</v>
      </c>
      <c r="G248">
        <v>93</v>
      </c>
      <c r="H248">
        <v>1.22</v>
      </c>
      <c r="I248">
        <v>0.57999999999999996</v>
      </c>
      <c r="J248">
        <v>0.28000000000000003</v>
      </c>
      <c r="K248">
        <v>0.13</v>
      </c>
      <c r="L248">
        <v>0.23</v>
      </c>
      <c r="M248" t="s">
        <v>17</v>
      </c>
      <c r="N248" t="s">
        <v>1068</v>
      </c>
    </row>
    <row r="249" spans="1:14" x14ac:dyDescent="0.35">
      <c r="A249">
        <v>248</v>
      </c>
      <c r="B249" t="s">
        <v>290</v>
      </c>
      <c r="C249" t="s">
        <v>57</v>
      </c>
      <c r="D249" t="s">
        <v>48</v>
      </c>
      <c r="E249" t="s">
        <v>16</v>
      </c>
      <c r="F249">
        <v>2004</v>
      </c>
      <c r="G249">
        <v>70</v>
      </c>
      <c r="H249">
        <v>0.49</v>
      </c>
      <c r="I249">
        <v>0.22</v>
      </c>
      <c r="J249">
        <v>0.17</v>
      </c>
      <c r="K249">
        <v>0.1</v>
      </c>
      <c r="L249">
        <v>0</v>
      </c>
      <c r="M249" t="s">
        <v>24</v>
      </c>
      <c r="N249" t="s">
        <v>1070</v>
      </c>
    </row>
    <row r="250" spans="1:14" x14ac:dyDescent="0.35">
      <c r="A250">
        <v>249</v>
      </c>
      <c r="B250" t="s">
        <v>291</v>
      </c>
      <c r="C250" t="s">
        <v>14</v>
      </c>
      <c r="D250" t="s">
        <v>45</v>
      </c>
      <c r="E250" t="s">
        <v>74</v>
      </c>
      <c r="F250">
        <v>2008</v>
      </c>
      <c r="G250">
        <v>89</v>
      </c>
      <c r="H250">
        <v>1.94</v>
      </c>
      <c r="I250">
        <v>1.05</v>
      </c>
      <c r="J250">
        <v>0.61</v>
      </c>
      <c r="K250">
        <v>0.1</v>
      </c>
      <c r="L250">
        <v>0.18</v>
      </c>
      <c r="M250" t="s">
        <v>17</v>
      </c>
      <c r="N250" t="s">
        <v>1069</v>
      </c>
    </row>
    <row r="251" spans="1:14" x14ac:dyDescent="0.35">
      <c r="A251">
        <v>250</v>
      </c>
      <c r="B251" t="s">
        <v>292</v>
      </c>
      <c r="C251" t="s">
        <v>59</v>
      </c>
      <c r="D251" t="s">
        <v>51</v>
      </c>
      <c r="E251" t="s">
        <v>52</v>
      </c>
      <c r="F251">
        <v>1995</v>
      </c>
      <c r="G251">
        <v>80</v>
      </c>
      <c r="H251">
        <v>0.42</v>
      </c>
      <c r="I251">
        <v>0.19</v>
      </c>
      <c r="J251">
        <v>0.11</v>
      </c>
      <c r="K251">
        <v>7.0000000000000007E-2</v>
      </c>
      <c r="L251">
        <v>0.05</v>
      </c>
      <c r="M251" t="s">
        <v>24</v>
      </c>
      <c r="N251" t="s">
        <v>1069</v>
      </c>
    </row>
    <row r="252" spans="1:14" x14ac:dyDescent="0.35">
      <c r="A252">
        <v>251</v>
      </c>
      <c r="B252" t="s">
        <v>293</v>
      </c>
      <c r="C252" t="s">
        <v>59</v>
      </c>
      <c r="D252" t="s">
        <v>65</v>
      </c>
      <c r="E252" t="s">
        <v>60</v>
      </c>
      <c r="F252">
        <v>2000</v>
      </c>
      <c r="G252">
        <v>72</v>
      </c>
      <c r="H252">
        <v>0.18</v>
      </c>
      <c r="I252">
        <v>0.08</v>
      </c>
      <c r="J252">
        <v>0.06</v>
      </c>
      <c r="K252">
        <v>0.03</v>
      </c>
      <c r="L252">
        <v>0.01</v>
      </c>
      <c r="M252" t="s">
        <v>24</v>
      </c>
      <c r="N252" t="s">
        <v>1070</v>
      </c>
    </row>
    <row r="253" spans="1:14" x14ac:dyDescent="0.35">
      <c r="A253">
        <v>252</v>
      </c>
      <c r="B253" t="s">
        <v>294</v>
      </c>
      <c r="C253" t="s">
        <v>57</v>
      </c>
      <c r="D253" t="s">
        <v>51</v>
      </c>
      <c r="E253" t="s">
        <v>41</v>
      </c>
      <c r="F253">
        <v>2005</v>
      </c>
      <c r="G253">
        <v>70</v>
      </c>
      <c r="H253">
        <v>0.15</v>
      </c>
      <c r="I253">
        <v>7.0000000000000007E-2</v>
      </c>
      <c r="J253">
        <v>0.04</v>
      </c>
      <c r="K253">
        <v>0.01</v>
      </c>
      <c r="L253">
        <v>0.03</v>
      </c>
      <c r="M253" t="s">
        <v>24</v>
      </c>
      <c r="N253" t="s">
        <v>1070</v>
      </c>
    </row>
    <row r="254" spans="1:14" x14ac:dyDescent="0.35">
      <c r="A254">
        <v>253</v>
      </c>
      <c r="B254" t="s">
        <v>295</v>
      </c>
      <c r="C254" t="s">
        <v>57</v>
      </c>
      <c r="D254" t="s">
        <v>37</v>
      </c>
      <c r="E254" t="s">
        <v>49</v>
      </c>
      <c r="F254">
        <v>2014</v>
      </c>
      <c r="G254">
        <v>55</v>
      </c>
      <c r="H254">
        <v>0.56000000000000005</v>
      </c>
      <c r="I254">
        <v>0.28000000000000003</v>
      </c>
      <c r="J254">
        <v>0.13</v>
      </c>
      <c r="K254">
        <v>0.04</v>
      </c>
      <c r="L254">
        <v>0.11</v>
      </c>
      <c r="M254" t="s">
        <v>17</v>
      </c>
      <c r="N254" t="s">
        <v>1071</v>
      </c>
    </row>
    <row r="255" spans="1:14" x14ac:dyDescent="0.35">
      <c r="A255">
        <v>254</v>
      </c>
      <c r="B255" t="s">
        <v>296</v>
      </c>
      <c r="C255" t="s">
        <v>64</v>
      </c>
      <c r="D255" t="s">
        <v>33</v>
      </c>
      <c r="E255" t="s">
        <v>20</v>
      </c>
      <c r="F255">
        <v>2015</v>
      </c>
      <c r="G255">
        <v>72</v>
      </c>
      <c r="H255">
        <v>0.31</v>
      </c>
      <c r="I255">
        <v>0.17</v>
      </c>
      <c r="J255">
        <v>0.09</v>
      </c>
      <c r="K255">
        <v>0.04</v>
      </c>
      <c r="L255">
        <v>0.01</v>
      </c>
      <c r="M255" t="s">
        <v>24</v>
      </c>
      <c r="N255" t="s">
        <v>1070</v>
      </c>
    </row>
    <row r="256" spans="1:14" x14ac:dyDescent="0.35">
      <c r="A256">
        <v>255</v>
      </c>
      <c r="B256" t="s">
        <v>297</v>
      </c>
      <c r="C256" t="s">
        <v>23</v>
      </c>
      <c r="D256" t="s">
        <v>15</v>
      </c>
      <c r="E256" t="s">
        <v>16</v>
      </c>
      <c r="F256">
        <v>2022</v>
      </c>
      <c r="G256">
        <v>78</v>
      </c>
      <c r="H256">
        <v>4.7699999999999996</v>
      </c>
      <c r="I256">
        <v>1.78</v>
      </c>
      <c r="J256">
        <v>1.48</v>
      </c>
      <c r="K256">
        <v>0.24</v>
      </c>
      <c r="L256">
        <v>1.27</v>
      </c>
      <c r="M256" t="s">
        <v>27</v>
      </c>
      <c r="N256" t="s">
        <v>1070</v>
      </c>
    </row>
    <row r="257" spans="1:14" x14ac:dyDescent="0.35">
      <c r="A257">
        <v>256</v>
      </c>
      <c r="B257" t="s">
        <v>298</v>
      </c>
      <c r="C257" t="s">
        <v>64</v>
      </c>
      <c r="D257" t="s">
        <v>48</v>
      </c>
      <c r="E257" t="s">
        <v>20</v>
      </c>
      <c r="F257">
        <v>2011</v>
      </c>
      <c r="G257">
        <v>79</v>
      </c>
      <c r="H257">
        <v>0.65</v>
      </c>
      <c r="I257">
        <v>0.35</v>
      </c>
      <c r="J257">
        <v>0.13</v>
      </c>
      <c r="K257">
        <v>0.11</v>
      </c>
      <c r="L257">
        <v>0.06</v>
      </c>
      <c r="M257" t="s">
        <v>17</v>
      </c>
      <c r="N257" t="s">
        <v>1070</v>
      </c>
    </row>
    <row r="258" spans="1:14" x14ac:dyDescent="0.35">
      <c r="A258">
        <v>257</v>
      </c>
      <c r="B258" t="s">
        <v>299</v>
      </c>
      <c r="C258" t="s">
        <v>57</v>
      </c>
      <c r="D258" t="s">
        <v>45</v>
      </c>
      <c r="E258" t="s">
        <v>52</v>
      </c>
      <c r="F258">
        <v>2014</v>
      </c>
      <c r="G258">
        <v>81</v>
      </c>
      <c r="H258">
        <v>1.23</v>
      </c>
      <c r="I258">
        <v>0.63</v>
      </c>
      <c r="J258">
        <v>0.35</v>
      </c>
      <c r="K258">
        <v>0.08</v>
      </c>
      <c r="L258">
        <v>0.17</v>
      </c>
      <c r="M258" t="s">
        <v>17</v>
      </c>
      <c r="N258" t="s">
        <v>1069</v>
      </c>
    </row>
    <row r="259" spans="1:14" x14ac:dyDescent="0.35">
      <c r="A259">
        <v>258</v>
      </c>
      <c r="B259" t="s">
        <v>300</v>
      </c>
      <c r="C259" t="s">
        <v>57</v>
      </c>
      <c r="D259" t="s">
        <v>37</v>
      </c>
      <c r="E259" t="s">
        <v>52</v>
      </c>
      <c r="F259">
        <v>2004</v>
      </c>
      <c r="G259">
        <v>80</v>
      </c>
      <c r="H259">
        <v>0.14000000000000001</v>
      </c>
      <c r="I259">
        <v>0.06</v>
      </c>
      <c r="J259">
        <v>0.05</v>
      </c>
      <c r="K259">
        <v>0.01</v>
      </c>
      <c r="L259">
        <v>0.02</v>
      </c>
      <c r="M259" t="s">
        <v>24</v>
      </c>
      <c r="N259" t="s">
        <v>1069</v>
      </c>
    </row>
    <row r="260" spans="1:14" x14ac:dyDescent="0.35">
      <c r="A260">
        <v>259</v>
      </c>
      <c r="B260" t="s">
        <v>301</v>
      </c>
      <c r="C260" t="s">
        <v>23</v>
      </c>
      <c r="D260" t="s">
        <v>15</v>
      </c>
      <c r="E260" t="s">
        <v>43</v>
      </c>
      <c r="F260">
        <v>2023</v>
      </c>
      <c r="G260">
        <v>91</v>
      </c>
      <c r="H260">
        <v>3.98</v>
      </c>
      <c r="I260">
        <v>1.59</v>
      </c>
      <c r="J260">
        <v>1.02</v>
      </c>
      <c r="K260">
        <v>0.78</v>
      </c>
      <c r="L260">
        <v>0.59</v>
      </c>
      <c r="M260" t="s">
        <v>27</v>
      </c>
      <c r="N260" t="s">
        <v>1068</v>
      </c>
    </row>
    <row r="261" spans="1:14" x14ac:dyDescent="0.35">
      <c r="A261">
        <v>260</v>
      </c>
      <c r="B261" t="s">
        <v>302</v>
      </c>
      <c r="C261" t="s">
        <v>64</v>
      </c>
      <c r="D261" t="s">
        <v>65</v>
      </c>
      <c r="E261" t="s">
        <v>52</v>
      </c>
      <c r="F261">
        <v>2014</v>
      </c>
      <c r="G261">
        <v>81</v>
      </c>
      <c r="H261">
        <v>0.57999999999999996</v>
      </c>
      <c r="I261">
        <v>0.2</v>
      </c>
      <c r="J261">
        <v>0.15</v>
      </c>
      <c r="K261">
        <v>0.1</v>
      </c>
      <c r="L261">
        <v>0.13</v>
      </c>
      <c r="M261" t="s">
        <v>17</v>
      </c>
      <c r="N261" t="s">
        <v>1069</v>
      </c>
    </row>
    <row r="262" spans="1:14" x14ac:dyDescent="0.35">
      <c r="A262">
        <v>261</v>
      </c>
      <c r="B262" t="s">
        <v>303</v>
      </c>
      <c r="C262" t="s">
        <v>19</v>
      </c>
      <c r="D262" t="s">
        <v>33</v>
      </c>
      <c r="E262" t="s">
        <v>52</v>
      </c>
      <c r="F262">
        <v>2017</v>
      </c>
      <c r="G262">
        <v>81</v>
      </c>
      <c r="H262">
        <v>0.8</v>
      </c>
      <c r="I262">
        <v>0.44</v>
      </c>
      <c r="J262">
        <v>0.25</v>
      </c>
      <c r="K262">
        <v>0.05</v>
      </c>
      <c r="L262">
        <v>0.06</v>
      </c>
      <c r="M262" t="s">
        <v>17</v>
      </c>
      <c r="N262" t="s">
        <v>1069</v>
      </c>
    </row>
    <row r="263" spans="1:14" x14ac:dyDescent="0.35">
      <c r="A263">
        <v>262</v>
      </c>
      <c r="B263" t="s">
        <v>304</v>
      </c>
      <c r="C263" t="s">
        <v>31</v>
      </c>
      <c r="D263" t="s">
        <v>65</v>
      </c>
      <c r="E263" t="s">
        <v>41</v>
      </c>
      <c r="F263">
        <v>2006</v>
      </c>
      <c r="G263">
        <v>60</v>
      </c>
      <c r="H263">
        <v>0.85</v>
      </c>
      <c r="I263">
        <v>0.41</v>
      </c>
      <c r="J263">
        <v>0.22</v>
      </c>
      <c r="K263">
        <v>0.12</v>
      </c>
      <c r="L263">
        <v>0.1</v>
      </c>
      <c r="M263" t="s">
        <v>17</v>
      </c>
      <c r="N263" t="s">
        <v>1071</v>
      </c>
    </row>
    <row r="264" spans="1:14" x14ac:dyDescent="0.35">
      <c r="A264">
        <v>263</v>
      </c>
      <c r="B264" t="s">
        <v>305</v>
      </c>
      <c r="C264" t="s">
        <v>59</v>
      </c>
      <c r="D264" t="s">
        <v>37</v>
      </c>
      <c r="E264" t="s">
        <v>52</v>
      </c>
      <c r="F264">
        <v>1998</v>
      </c>
      <c r="G264">
        <v>75</v>
      </c>
      <c r="H264">
        <v>1.2</v>
      </c>
      <c r="I264">
        <v>0.62</v>
      </c>
      <c r="J264">
        <v>0.3</v>
      </c>
      <c r="K264">
        <v>0.14000000000000001</v>
      </c>
      <c r="L264">
        <v>0.14000000000000001</v>
      </c>
      <c r="M264" t="s">
        <v>17</v>
      </c>
      <c r="N264" t="s">
        <v>1070</v>
      </c>
    </row>
    <row r="265" spans="1:14" x14ac:dyDescent="0.35">
      <c r="A265">
        <v>264</v>
      </c>
      <c r="B265" t="s">
        <v>306</v>
      </c>
      <c r="C265" t="s">
        <v>31</v>
      </c>
      <c r="D265" t="s">
        <v>48</v>
      </c>
      <c r="E265" t="s">
        <v>54</v>
      </c>
      <c r="F265">
        <v>2000</v>
      </c>
      <c r="G265">
        <v>64</v>
      </c>
      <c r="H265">
        <v>0.22</v>
      </c>
      <c r="I265">
        <v>0.09</v>
      </c>
      <c r="J265">
        <v>0.05</v>
      </c>
      <c r="K265">
        <v>0.02</v>
      </c>
      <c r="L265">
        <v>0.06</v>
      </c>
      <c r="M265" t="s">
        <v>24</v>
      </c>
      <c r="N265" t="s">
        <v>1071</v>
      </c>
    </row>
    <row r="266" spans="1:14" x14ac:dyDescent="0.35">
      <c r="A266">
        <v>265</v>
      </c>
      <c r="B266" t="s">
        <v>307</v>
      </c>
      <c r="C266" t="s">
        <v>64</v>
      </c>
      <c r="D266" t="s">
        <v>62</v>
      </c>
      <c r="E266" t="s">
        <v>46</v>
      </c>
      <c r="F266">
        <v>2014</v>
      </c>
      <c r="G266">
        <v>62</v>
      </c>
      <c r="H266">
        <v>0.11</v>
      </c>
      <c r="I266">
        <v>0.05</v>
      </c>
      <c r="J266">
        <v>0.03</v>
      </c>
      <c r="K266">
        <v>0.02</v>
      </c>
      <c r="L266">
        <v>0.01</v>
      </c>
      <c r="M266" t="s">
        <v>24</v>
      </c>
      <c r="N266" t="s">
        <v>1071</v>
      </c>
    </row>
    <row r="267" spans="1:14" x14ac:dyDescent="0.35">
      <c r="A267">
        <v>266</v>
      </c>
      <c r="B267" t="s">
        <v>308</v>
      </c>
      <c r="C267" t="s">
        <v>31</v>
      </c>
      <c r="D267" t="s">
        <v>48</v>
      </c>
      <c r="E267" t="s">
        <v>43</v>
      </c>
      <c r="F267">
        <v>2000</v>
      </c>
      <c r="G267">
        <v>58</v>
      </c>
      <c r="H267">
        <v>0.96</v>
      </c>
      <c r="I267">
        <v>0.53</v>
      </c>
      <c r="J267">
        <v>0.2</v>
      </c>
      <c r="K267">
        <v>0.11</v>
      </c>
      <c r="L267">
        <v>0.12</v>
      </c>
      <c r="M267" t="s">
        <v>17</v>
      </c>
      <c r="N267" t="s">
        <v>1071</v>
      </c>
    </row>
    <row r="268" spans="1:14" x14ac:dyDescent="0.35">
      <c r="A268">
        <v>267</v>
      </c>
      <c r="B268" t="s">
        <v>309</v>
      </c>
      <c r="C268" t="s">
        <v>19</v>
      </c>
      <c r="D268" t="s">
        <v>65</v>
      </c>
      <c r="E268" t="s">
        <v>52</v>
      </c>
      <c r="F268">
        <v>2021</v>
      </c>
      <c r="G268">
        <v>61</v>
      </c>
      <c r="H268">
        <v>1.4</v>
      </c>
      <c r="I268">
        <v>0.49</v>
      </c>
      <c r="J268">
        <v>0.45</v>
      </c>
      <c r="K268">
        <v>0.28000000000000003</v>
      </c>
      <c r="L268">
        <v>0.18</v>
      </c>
      <c r="M268" t="s">
        <v>17</v>
      </c>
      <c r="N268" t="s">
        <v>1071</v>
      </c>
    </row>
    <row r="269" spans="1:14" x14ac:dyDescent="0.35">
      <c r="A269">
        <v>268</v>
      </c>
      <c r="B269" t="s">
        <v>310</v>
      </c>
      <c r="C269" t="s">
        <v>31</v>
      </c>
      <c r="D269" t="s">
        <v>45</v>
      </c>
      <c r="E269" t="s">
        <v>43</v>
      </c>
      <c r="F269">
        <v>2001</v>
      </c>
      <c r="G269">
        <v>92</v>
      </c>
      <c r="H269">
        <v>0.09</v>
      </c>
      <c r="I269">
        <v>0.03</v>
      </c>
      <c r="J269">
        <v>0.02</v>
      </c>
      <c r="K269">
        <v>0.02</v>
      </c>
      <c r="L269">
        <v>0.02</v>
      </c>
      <c r="M269" t="s">
        <v>24</v>
      </c>
      <c r="N269" t="s">
        <v>1068</v>
      </c>
    </row>
    <row r="270" spans="1:14" x14ac:dyDescent="0.35">
      <c r="A270">
        <v>269</v>
      </c>
      <c r="B270" t="s">
        <v>311</v>
      </c>
      <c r="C270" t="s">
        <v>19</v>
      </c>
      <c r="D270" t="s">
        <v>33</v>
      </c>
      <c r="E270" t="s">
        <v>43</v>
      </c>
      <c r="F270">
        <v>2015</v>
      </c>
      <c r="G270">
        <v>84</v>
      </c>
      <c r="H270">
        <v>0.56000000000000005</v>
      </c>
      <c r="I270">
        <v>0.25</v>
      </c>
      <c r="J270">
        <v>0.14000000000000001</v>
      </c>
      <c r="K270">
        <v>0.06</v>
      </c>
      <c r="L270">
        <v>0.11</v>
      </c>
      <c r="M270" t="s">
        <v>17</v>
      </c>
      <c r="N270" t="s">
        <v>1069</v>
      </c>
    </row>
    <row r="271" spans="1:14" x14ac:dyDescent="0.35">
      <c r="A271">
        <v>270</v>
      </c>
      <c r="B271" t="s">
        <v>312</v>
      </c>
      <c r="C271" t="s">
        <v>14</v>
      </c>
      <c r="D271" t="s">
        <v>37</v>
      </c>
      <c r="E271" t="s">
        <v>46</v>
      </c>
      <c r="F271">
        <v>2009</v>
      </c>
      <c r="G271">
        <v>64</v>
      </c>
      <c r="H271">
        <v>0.34</v>
      </c>
      <c r="I271">
        <v>0.15</v>
      </c>
      <c r="J271">
        <v>0.1</v>
      </c>
      <c r="K271">
        <v>0.02</v>
      </c>
      <c r="L271">
        <v>7.0000000000000007E-2</v>
      </c>
      <c r="M271" t="s">
        <v>24</v>
      </c>
      <c r="N271" t="s">
        <v>1071</v>
      </c>
    </row>
    <row r="272" spans="1:14" x14ac:dyDescent="0.35">
      <c r="A272">
        <v>271</v>
      </c>
      <c r="B272" t="s">
        <v>313</v>
      </c>
      <c r="C272" t="s">
        <v>14</v>
      </c>
      <c r="D272" t="s">
        <v>37</v>
      </c>
      <c r="E272" t="s">
        <v>41</v>
      </c>
      <c r="F272">
        <v>2012</v>
      </c>
      <c r="G272">
        <v>70</v>
      </c>
      <c r="H272">
        <v>1.67</v>
      </c>
      <c r="I272">
        <v>0.83</v>
      </c>
      <c r="J272">
        <v>0.56999999999999995</v>
      </c>
      <c r="K272">
        <v>0.27</v>
      </c>
      <c r="L272">
        <v>0</v>
      </c>
      <c r="M272" t="s">
        <v>17</v>
      </c>
      <c r="N272" t="s">
        <v>1070</v>
      </c>
    </row>
    <row r="273" spans="1:14" x14ac:dyDescent="0.35">
      <c r="A273">
        <v>272</v>
      </c>
      <c r="B273" t="s">
        <v>314</v>
      </c>
      <c r="C273" t="s">
        <v>14</v>
      </c>
      <c r="D273" t="s">
        <v>65</v>
      </c>
      <c r="E273" t="s">
        <v>16</v>
      </c>
      <c r="F273">
        <v>2013</v>
      </c>
      <c r="G273">
        <v>87</v>
      </c>
      <c r="H273">
        <v>0.4</v>
      </c>
      <c r="I273">
        <v>0.14000000000000001</v>
      </c>
      <c r="J273">
        <v>0.12</v>
      </c>
      <c r="K273">
        <v>0.02</v>
      </c>
      <c r="L273">
        <v>0.12</v>
      </c>
      <c r="M273" t="s">
        <v>24</v>
      </c>
      <c r="N273" t="s">
        <v>1069</v>
      </c>
    </row>
    <row r="274" spans="1:14" x14ac:dyDescent="0.35">
      <c r="A274">
        <v>273</v>
      </c>
      <c r="B274" t="s">
        <v>315</v>
      </c>
      <c r="C274" t="s">
        <v>64</v>
      </c>
      <c r="D274" t="s">
        <v>15</v>
      </c>
      <c r="E274" t="s">
        <v>16</v>
      </c>
      <c r="F274">
        <v>2015</v>
      </c>
      <c r="G274">
        <v>92</v>
      </c>
      <c r="H274">
        <v>0.05</v>
      </c>
      <c r="I274">
        <v>0.02</v>
      </c>
      <c r="J274">
        <v>0.02</v>
      </c>
      <c r="K274">
        <v>0.01</v>
      </c>
      <c r="L274">
        <v>0</v>
      </c>
      <c r="M274" t="s">
        <v>24</v>
      </c>
      <c r="N274" t="s">
        <v>1068</v>
      </c>
    </row>
    <row r="275" spans="1:14" x14ac:dyDescent="0.35">
      <c r="A275">
        <v>274</v>
      </c>
      <c r="B275" t="s">
        <v>316</v>
      </c>
      <c r="C275" t="s">
        <v>59</v>
      </c>
      <c r="D275" t="s">
        <v>2</v>
      </c>
      <c r="E275" t="s">
        <v>41</v>
      </c>
      <c r="F275">
        <v>1996</v>
      </c>
      <c r="G275">
        <v>66</v>
      </c>
      <c r="H275">
        <v>0.22</v>
      </c>
      <c r="I275">
        <v>0.11</v>
      </c>
      <c r="J275">
        <v>0.06</v>
      </c>
      <c r="K275">
        <v>0.03</v>
      </c>
      <c r="L275">
        <v>0.02</v>
      </c>
      <c r="M275" t="s">
        <v>24</v>
      </c>
      <c r="N275" t="s">
        <v>1071</v>
      </c>
    </row>
    <row r="276" spans="1:14" x14ac:dyDescent="0.35">
      <c r="A276">
        <v>275</v>
      </c>
      <c r="B276" t="s">
        <v>317</v>
      </c>
      <c r="C276" t="s">
        <v>57</v>
      </c>
      <c r="D276" t="s">
        <v>2</v>
      </c>
      <c r="E276" t="s">
        <v>74</v>
      </c>
      <c r="F276">
        <v>2009</v>
      </c>
      <c r="G276">
        <v>67</v>
      </c>
      <c r="H276">
        <v>2.34</v>
      </c>
      <c r="I276">
        <v>0.9</v>
      </c>
      <c r="J276">
        <v>0.48</v>
      </c>
      <c r="K276">
        <v>0.14000000000000001</v>
      </c>
      <c r="L276">
        <v>0.82</v>
      </c>
      <c r="M276" t="s">
        <v>27</v>
      </c>
      <c r="N276" t="s">
        <v>1071</v>
      </c>
    </row>
    <row r="277" spans="1:14" x14ac:dyDescent="0.35">
      <c r="A277">
        <v>276</v>
      </c>
      <c r="B277" t="s">
        <v>318</v>
      </c>
      <c r="C277" t="s">
        <v>23</v>
      </c>
      <c r="D277" t="s">
        <v>15</v>
      </c>
      <c r="E277" t="s">
        <v>60</v>
      </c>
      <c r="F277">
        <v>2021</v>
      </c>
      <c r="G277">
        <v>76</v>
      </c>
      <c r="H277">
        <v>1.65</v>
      </c>
      <c r="I277">
        <v>0.62</v>
      </c>
      <c r="J277">
        <v>0.51</v>
      </c>
      <c r="K277">
        <v>0.31</v>
      </c>
      <c r="L277">
        <v>0.21</v>
      </c>
      <c r="M277" t="s">
        <v>17</v>
      </c>
      <c r="N277" t="s">
        <v>1070</v>
      </c>
    </row>
    <row r="278" spans="1:14" x14ac:dyDescent="0.35">
      <c r="A278">
        <v>277</v>
      </c>
      <c r="B278" t="s">
        <v>319</v>
      </c>
      <c r="C278" t="s">
        <v>64</v>
      </c>
      <c r="D278" t="s">
        <v>15</v>
      </c>
      <c r="E278" t="s">
        <v>20</v>
      </c>
      <c r="F278">
        <v>2016</v>
      </c>
      <c r="G278">
        <v>64</v>
      </c>
      <c r="H278">
        <v>0.25</v>
      </c>
      <c r="I278">
        <v>0.1</v>
      </c>
      <c r="J278">
        <v>0.06</v>
      </c>
      <c r="K278">
        <v>0.02</v>
      </c>
      <c r="L278">
        <v>7.0000000000000007E-2</v>
      </c>
      <c r="M278" t="s">
        <v>24</v>
      </c>
      <c r="N278" t="s">
        <v>1071</v>
      </c>
    </row>
    <row r="279" spans="1:14" x14ac:dyDescent="0.35">
      <c r="A279">
        <v>278</v>
      </c>
      <c r="B279" t="s">
        <v>320</v>
      </c>
      <c r="C279" t="s">
        <v>19</v>
      </c>
      <c r="D279" t="s">
        <v>29</v>
      </c>
      <c r="E279" t="s">
        <v>54</v>
      </c>
      <c r="F279">
        <v>2020</v>
      </c>
      <c r="G279">
        <v>77</v>
      </c>
      <c r="H279">
        <v>0.28999999999999998</v>
      </c>
      <c r="I279">
        <v>0.11</v>
      </c>
      <c r="J279">
        <v>7.0000000000000007E-2</v>
      </c>
      <c r="K279">
        <v>0.04</v>
      </c>
      <c r="L279">
        <v>7.0000000000000007E-2</v>
      </c>
      <c r="M279" t="s">
        <v>24</v>
      </c>
      <c r="N279" t="s">
        <v>1070</v>
      </c>
    </row>
    <row r="280" spans="1:14" x14ac:dyDescent="0.35">
      <c r="A280">
        <v>279</v>
      </c>
      <c r="B280" t="s">
        <v>321</v>
      </c>
      <c r="C280" t="s">
        <v>31</v>
      </c>
      <c r="D280" t="s">
        <v>15</v>
      </c>
      <c r="E280" t="s">
        <v>74</v>
      </c>
      <c r="F280">
        <v>2001</v>
      </c>
      <c r="G280">
        <v>57</v>
      </c>
      <c r="H280">
        <v>0.32</v>
      </c>
      <c r="I280">
        <v>0.16</v>
      </c>
      <c r="J280">
        <v>0.09</v>
      </c>
      <c r="K280">
        <v>0.05</v>
      </c>
      <c r="L280">
        <v>0.02</v>
      </c>
      <c r="M280" t="s">
        <v>24</v>
      </c>
      <c r="N280" t="s">
        <v>1071</v>
      </c>
    </row>
    <row r="281" spans="1:14" x14ac:dyDescent="0.35">
      <c r="A281">
        <v>280</v>
      </c>
      <c r="B281" t="s">
        <v>322</v>
      </c>
      <c r="C281" t="s">
        <v>59</v>
      </c>
      <c r="D281" t="s">
        <v>37</v>
      </c>
      <c r="E281" t="s">
        <v>43</v>
      </c>
      <c r="F281">
        <v>1998</v>
      </c>
      <c r="G281">
        <v>77</v>
      </c>
      <c r="H281">
        <v>0.99</v>
      </c>
      <c r="I281">
        <v>0.52</v>
      </c>
      <c r="J281">
        <v>0.26</v>
      </c>
      <c r="K281">
        <v>0.09</v>
      </c>
      <c r="L281">
        <v>0.12</v>
      </c>
      <c r="M281" t="s">
        <v>17</v>
      </c>
      <c r="N281" t="s">
        <v>1070</v>
      </c>
    </row>
    <row r="282" spans="1:14" x14ac:dyDescent="0.35">
      <c r="A282">
        <v>281</v>
      </c>
      <c r="B282" t="s">
        <v>323</v>
      </c>
      <c r="C282" t="s">
        <v>31</v>
      </c>
      <c r="D282" t="s">
        <v>33</v>
      </c>
      <c r="E282" t="s">
        <v>43</v>
      </c>
      <c r="F282">
        <v>2005</v>
      </c>
      <c r="G282">
        <v>55</v>
      </c>
      <c r="H282">
        <v>0.19</v>
      </c>
      <c r="I282">
        <v>0.08</v>
      </c>
      <c r="J282">
        <v>0.04</v>
      </c>
      <c r="K282">
        <v>0.02</v>
      </c>
      <c r="L282">
        <v>0.05</v>
      </c>
      <c r="M282" t="s">
        <v>24</v>
      </c>
      <c r="N282" t="s">
        <v>1071</v>
      </c>
    </row>
    <row r="283" spans="1:14" x14ac:dyDescent="0.35">
      <c r="A283">
        <v>282</v>
      </c>
      <c r="B283" t="s">
        <v>324</v>
      </c>
      <c r="C283" t="s">
        <v>19</v>
      </c>
      <c r="D283" t="s">
        <v>65</v>
      </c>
      <c r="E283" t="s">
        <v>41</v>
      </c>
      <c r="F283">
        <v>2018</v>
      </c>
      <c r="G283">
        <v>91</v>
      </c>
      <c r="H283">
        <v>1.71</v>
      </c>
      <c r="I283">
        <v>0.65</v>
      </c>
      <c r="J283">
        <v>0.36</v>
      </c>
      <c r="K283">
        <v>0.3</v>
      </c>
      <c r="L283">
        <v>0.4</v>
      </c>
      <c r="M283" t="s">
        <v>17</v>
      </c>
      <c r="N283" t="s">
        <v>1068</v>
      </c>
    </row>
    <row r="284" spans="1:14" x14ac:dyDescent="0.35">
      <c r="A284">
        <v>283</v>
      </c>
      <c r="B284" t="s">
        <v>325</v>
      </c>
      <c r="C284" t="s">
        <v>14</v>
      </c>
      <c r="D284" t="s">
        <v>29</v>
      </c>
      <c r="E284" t="s">
        <v>46</v>
      </c>
      <c r="F284">
        <v>2006</v>
      </c>
      <c r="G284">
        <v>76</v>
      </c>
      <c r="H284">
        <v>0.26</v>
      </c>
      <c r="I284">
        <v>0.13</v>
      </c>
      <c r="J284">
        <v>7.0000000000000007E-2</v>
      </c>
      <c r="K284">
        <v>0.05</v>
      </c>
      <c r="L284">
        <v>0.01</v>
      </c>
      <c r="M284" t="s">
        <v>24</v>
      </c>
      <c r="N284" t="s">
        <v>1070</v>
      </c>
    </row>
    <row r="285" spans="1:14" x14ac:dyDescent="0.35">
      <c r="A285">
        <v>284</v>
      </c>
      <c r="B285" t="s">
        <v>326</v>
      </c>
      <c r="C285" t="s">
        <v>59</v>
      </c>
      <c r="D285" t="s">
        <v>2</v>
      </c>
      <c r="E285" t="s">
        <v>74</v>
      </c>
      <c r="F285">
        <v>1997</v>
      </c>
      <c r="G285">
        <v>82</v>
      </c>
      <c r="H285">
        <v>0.83</v>
      </c>
      <c r="I285">
        <v>0.31</v>
      </c>
      <c r="J285">
        <v>0.19</v>
      </c>
      <c r="K285">
        <v>7.0000000000000007E-2</v>
      </c>
      <c r="L285">
        <v>0.26</v>
      </c>
      <c r="M285" t="s">
        <v>17</v>
      </c>
      <c r="N285" t="s">
        <v>1069</v>
      </c>
    </row>
    <row r="286" spans="1:14" x14ac:dyDescent="0.35">
      <c r="A286">
        <v>285</v>
      </c>
      <c r="B286" t="s">
        <v>327</v>
      </c>
      <c r="C286" t="s">
        <v>57</v>
      </c>
      <c r="D286" t="s">
        <v>65</v>
      </c>
      <c r="E286" t="s">
        <v>46</v>
      </c>
      <c r="F286">
        <v>2012</v>
      </c>
      <c r="G286">
        <v>70</v>
      </c>
      <c r="H286">
        <v>0.17</v>
      </c>
      <c r="I286">
        <v>0.08</v>
      </c>
      <c r="J286">
        <v>0.05</v>
      </c>
      <c r="K286">
        <v>0.01</v>
      </c>
      <c r="L286">
        <v>0.03</v>
      </c>
      <c r="M286" t="s">
        <v>24</v>
      </c>
      <c r="N286" t="s">
        <v>1070</v>
      </c>
    </row>
    <row r="287" spans="1:14" x14ac:dyDescent="0.35">
      <c r="A287">
        <v>286</v>
      </c>
      <c r="B287" t="s">
        <v>328</v>
      </c>
      <c r="C287" t="s">
        <v>59</v>
      </c>
      <c r="D287" t="s">
        <v>33</v>
      </c>
      <c r="E287" t="s">
        <v>46</v>
      </c>
      <c r="F287">
        <v>1998</v>
      </c>
      <c r="G287">
        <v>67</v>
      </c>
      <c r="H287">
        <v>0.18</v>
      </c>
      <c r="I287">
        <v>0.09</v>
      </c>
      <c r="J287">
        <v>0.06</v>
      </c>
      <c r="K287">
        <v>0.02</v>
      </c>
      <c r="L287">
        <v>0.01</v>
      </c>
      <c r="M287" t="s">
        <v>24</v>
      </c>
      <c r="N287" t="s">
        <v>1071</v>
      </c>
    </row>
    <row r="288" spans="1:14" x14ac:dyDescent="0.35">
      <c r="A288">
        <v>287</v>
      </c>
      <c r="B288" t="s">
        <v>329</v>
      </c>
      <c r="C288" t="s">
        <v>59</v>
      </c>
      <c r="D288" t="s">
        <v>45</v>
      </c>
      <c r="E288" t="s">
        <v>16</v>
      </c>
      <c r="F288">
        <v>1997</v>
      </c>
      <c r="G288">
        <v>60</v>
      </c>
      <c r="H288">
        <v>0.57999999999999996</v>
      </c>
      <c r="I288">
        <v>0.25</v>
      </c>
      <c r="J288">
        <v>0.15</v>
      </c>
      <c r="K288">
        <v>0.05</v>
      </c>
      <c r="L288">
        <v>0.13</v>
      </c>
      <c r="M288" t="s">
        <v>17</v>
      </c>
      <c r="N288" t="s">
        <v>1071</v>
      </c>
    </row>
    <row r="289" spans="1:14" x14ac:dyDescent="0.35">
      <c r="A289">
        <v>288</v>
      </c>
      <c r="B289" t="s">
        <v>330</v>
      </c>
      <c r="C289" t="s">
        <v>59</v>
      </c>
      <c r="D289" t="s">
        <v>62</v>
      </c>
      <c r="E289" t="s">
        <v>16</v>
      </c>
      <c r="F289">
        <v>1997</v>
      </c>
      <c r="G289">
        <v>72</v>
      </c>
      <c r="H289">
        <v>0.46</v>
      </c>
      <c r="I289">
        <v>0.23</v>
      </c>
      <c r="J289">
        <v>0.1</v>
      </c>
      <c r="K289">
        <v>7.0000000000000007E-2</v>
      </c>
      <c r="L289">
        <v>0.06</v>
      </c>
      <c r="M289" t="s">
        <v>24</v>
      </c>
      <c r="N289" t="s">
        <v>1070</v>
      </c>
    </row>
    <row r="290" spans="1:14" x14ac:dyDescent="0.35">
      <c r="A290">
        <v>289</v>
      </c>
      <c r="B290" t="s">
        <v>331</v>
      </c>
      <c r="C290" t="s">
        <v>64</v>
      </c>
      <c r="D290" t="s">
        <v>45</v>
      </c>
      <c r="E290" t="s">
        <v>74</v>
      </c>
      <c r="F290">
        <v>2019</v>
      </c>
      <c r="G290">
        <v>58</v>
      </c>
      <c r="H290">
        <v>0.22</v>
      </c>
      <c r="I290">
        <v>0.12</v>
      </c>
      <c r="J290">
        <v>0.06</v>
      </c>
      <c r="K290">
        <v>0.04</v>
      </c>
      <c r="L290">
        <v>0</v>
      </c>
      <c r="M290" t="s">
        <v>24</v>
      </c>
      <c r="N290" t="s">
        <v>1071</v>
      </c>
    </row>
    <row r="291" spans="1:14" x14ac:dyDescent="0.35">
      <c r="A291">
        <v>290</v>
      </c>
      <c r="B291" t="s">
        <v>332</v>
      </c>
      <c r="C291" t="s">
        <v>19</v>
      </c>
      <c r="D291" t="s">
        <v>33</v>
      </c>
      <c r="E291" t="s">
        <v>41</v>
      </c>
      <c r="F291">
        <v>2017</v>
      </c>
      <c r="G291">
        <v>91</v>
      </c>
      <c r="H291">
        <v>1.67</v>
      </c>
      <c r="I291">
        <v>0.62</v>
      </c>
      <c r="J291">
        <v>0.52</v>
      </c>
      <c r="K291">
        <v>0.13</v>
      </c>
      <c r="L291">
        <v>0.4</v>
      </c>
      <c r="M291" t="s">
        <v>17</v>
      </c>
      <c r="N291" t="s">
        <v>1068</v>
      </c>
    </row>
    <row r="292" spans="1:14" x14ac:dyDescent="0.35">
      <c r="A292">
        <v>291</v>
      </c>
      <c r="B292" t="s">
        <v>333</v>
      </c>
      <c r="C292" t="s">
        <v>31</v>
      </c>
      <c r="D292" t="s">
        <v>48</v>
      </c>
      <c r="E292" t="s">
        <v>54</v>
      </c>
      <c r="F292">
        <v>2001</v>
      </c>
      <c r="G292">
        <v>60</v>
      </c>
      <c r="H292">
        <v>2.56</v>
      </c>
      <c r="I292">
        <v>1.38</v>
      </c>
      <c r="J292">
        <v>0.74</v>
      </c>
      <c r="K292">
        <v>0.44</v>
      </c>
      <c r="L292">
        <v>0</v>
      </c>
      <c r="M292" t="s">
        <v>27</v>
      </c>
      <c r="N292" t="s">
        <v>1071</v>
      </c>
    </row>
    <row r="293" spans="1:14" x14ac:dyDescent="0.35">
      <c r="A293">
        <v>292</v>
      </c>
      <c r="B293" t="s">
        <v>334</v>
      </c>
      <c r="C293" t="s">
        <v>14</v>
      </c>
      <c r="D293" t="s">
        <v>33</v>
      </c>
      <c r="E293" t="s">
        <v>49</v>
      </c>
      <c r="F293">
        <v>2011</v>
      </c>
      <c r="G293">
        <v>80</v>
      </c>
      <c r="H293">
        <v>1.03</v>
      </c>
      <c r="I293">
        <v>0.47</v>
      </c>
      <c r="J293">
        <v>0.35</v>
      </c>
      <c r="K293">
        <v>0.05</v>
      </c>
      <c r="L293">
        <v>0.16</v>
      </c>
      <c r="M293" t="s">
        <v>17</v>
      </c>
      <c r="N293" t="s">
        <v>1069</v>
      </c>
    </row>
    <row r="294" spans="1:14" x14ac:dyDescent="0.35">
      <c r="A294">
        <v>293</v>
      </c>
      <c r="B294" t="s">
        <v>335</v>
      </c>
      <c r="C294" t="s">
        <v>57</v>
      </c>
      <c r="D294" t="s">
        <v>2</v>
      </c>
      <c r="E294" t="s">
        <v>60</v>
      </c>
      <c r="F294">
        <v>2013</v>
      </c>
      <c r="G294">
        <v>81</v>
      </c>
      <c r="H294">
        <v>0.14000000000000001</v>
      </c>
      <c r="I294">
        <v>7.0000000000000007E-2</v>
      </c>
      <c r="J294">
        <v>0.05</v>
      </c>
      <c r="K294">
        <v>0.01</v>
      </c>
      <c r="L294">
        <v>0.01</v>
      </c>
      <c r="M294" t="s">
        <v>24</v>
      </c>
      <c r="N294" t="s">
        <v>1069</v>
      </c>
    </row>
    <row r="295" spans="1:14" x14ac:dyDescent="0.35">
      <c r="A295">
        <v>294</v>
      </c>
      <c r="B295" t="s">
        <v>336</v>
      </c>
      <c r="C295" t="s">
        <v>59</v>
      </c>
      <c r="D295" t="s">
        <v>33</v>
      </c>
      <c r="E295" t="s">
        <v>46</v>
      </c>
      <c r="F295">
        <v>1999</v>
      </c>
      <c r="G295">
        <v>81</v>
      </c>
      <c r="H295">
        <v>0.14000000000000001</v>
      </c>
      <c r="I295">
        <v>7.0000000000000007E-2</v>
      </c>
      <c r="J295">
        <v>0.04</v>
      </c>
      <c r="K295">
        <v>0.01</v>
      </c>
      <c r="L295">
        <v>0.02</v>
      </c>
      <c r="M295" t="s">
        <v>24</v>
      </c>
      <c r="N295" t="s">
        <v>1069</v>
      </c>
    </row>
    <row r="296" spans="1:14" x14ac:dyDescent="0.35">
      <c r="A296">
        <v>295</v>
      </c>
      <c r="B296" t="s">
        <v>337</v>
      </c>
      <c r="C296" t="s">
        <v>19</v>
      </c>
      <c r="D296" t="s">
        <v>2</v>
      </c>
      <c r="E296" t="s">
        <v>74</v>
      </c>
      <c r="F296">
        <v>2015</v>
      </c>
      <c r="G296">
        <v>80</v>
      </c>
      <c r="H296">
        <v>1.99</v>
      </c>
      <c r="I296">
        <v>0.79</v>
      </c>
      <c r="J296">
        <v>0.62</v>
      </c>
      <c r="K296">
        <v>0.37</v>
      </c>
      <c r="L296">
        <v>0.21</v>
      </c>
      <c r="M296" t="s">
        <v>17</v>
      </c>
      <c r="N296" t="s">
        <v>1069</v>
      </c>
    </row>
    <row r="297" spans="1:14" x14ac:dyDescent="0.35">
      <c r="A297">
        <v>296</v>
      </c>
      <c r="B297" t="s">
        <v>338</v>
      </c>
      <c r="C297" t="s">
        <v>14</v>
      </c>
      <c r="D297" t="s">
        <v>29</v>
      </c>
      <c r="E297" t="s">
        <v>46</v>
      </c>
      <c r="F297">
        <v>2006</v>
      </c>
      <c r="G297">
        <v>86</v>
      </c>
      <c r="H297">
        <v>3.41</v>
      </c>
      <c r="I297">
        <v>1.86</v>
      </c>
      <c r="J297">
        <v>0.8</v>
      </c>
      <c r="K297">
        <v>0.32</v>
      </c>
      <c r="L297">
        <v>0.43</v>
      </c>
      <c r="M297" t="s">
        <v>27</v>
      </c>
      <c r="N297" t="s">
        <v>1069</v>
      </c>
    </row>
    <row r="298" spans="1:14" x14ac:dyDescent="0.35">
      <c r="A298">
        <v>297</v>
      </c>
      <c r="B298" t="s">
        <v>339</v>
      </c>
      <c r="C298" t="s">
        <v>57</v>
      </c>
      <c r="D298" t="s">
        <v>29</v>
      </c>
      <c r="E298" t="s">
        <v>46</v>
      </c>
      <c r="F298">
        <v>2011</v>
      </c>
      <c r="G298">
        <v>96</v>
      </c>
      <c r="H298">
        <v>0.15</v>
      </c>
      <c r="I298">
        <v>0.08</v>
      </c>
      <c r="J298">
        <v>0.04</v>
      </c>
      <c r="K298">
        <v>0.02</v>
      </c>
      <c r="L298">
        <v>0.01</v>
      </c>
      <c r="M298" t="s">
        <v>24</v>
      </c>
      <c r="N298" t="s">
        <v>1068</v>
      </c>
    </row>
    <row r="299" spans="1:14" x14ac:dyDescent="0.35">
      <c r="A299">
        <v>298</v>
      </c>
      <c r="B299" t="s">
        <v>340</v>
      </c>
      <c r="C299" t="s">
        <v>23</v>
      </c>
      <c r="D299" t="s">
        <v>29</v>
      </c>
      <c r="E299" t="s">
        <v>20</v>
      </c>
      <c r="F299">
        <v>2026</v>
      </c>
      <c r="G299">
        <v>59</v>
      </c>
      <c r="H299">
        <v>0.41</v>
      </c>
      <c r="I299">
        <v>0.15</v>
      </c>
      <c r="J299">
        <v>0.13</v>
      </c>
      <c r="K299">
        <v>7.0000000000000007E-2</v>
      </c>
      <c r="L299">
        <v>0.06</v>
      </c>
      <c r="M299" t="s">
        <v>24</v>
      </c>
      <c r="N299" t="s">
        <v>1071</v>
      </c>
    </row>
    <row r="300" spans="1:14" x14ac:dyDescent="0.35">
      <c r="A300">
        <v>299</v>
      </c>
      <c r="B300" t="s">
        <v>341</v>
      </c>
      <c r="C300" t="s">
        <v>59</v>
      </c>
      <c r="D300" t="s">
        <v>48</v>
      </c>
      <c r="E300" t="s">
        <v>52</v>
      </c>
      <c r="F300">
        <v>1996</v>
      </c>
      <c r="G300">
        <v>57</v>
      </c>
      <c r="H300">
        <v>0.18</v>
      </c>
      <c r="I300">
        <v>0.09</v>
      </c>
      <c r="J300">
        <v>0.04</v>
      </c>
      <c r="K300">
        <v>0.03</v>
      </c>
      <c r="L300">
        <v>0.02</v>
      </c>
      <c r="M300" t="s">
        <v>24</v>
      </c>
      <c r="N300" t="s">
        <v>1071</v>
      </c>
    </row>
    <row r="301" spans="1:14" x14ac:dyDescent="0.35">
      <c r="A301">
        <v>300</v>
      </c>
      <c r="B301" t="s">
        <v>342</v>
      </c>
      <c r="C301" t="s">
        <v>23</v>
      </c>
      <c r="D301" t="s">
        <v>33</v>
      </c>
      <c r="E301" t="s">
        <v>20</v>
      </c>
      <c r="F301">
        <v>2023</v>
      </c>
      <c r="G301">
        <v>86</v>
      </c>
      <c r="H301">
        <v>0.88</v>
      </c>
      <c r="I301">
        <v>0.46</v>
      </c>
      <c r="J301">
        <v>0.25</v>
      </c>
      <c r="K301">
        <v>0.09</v>
      </c>
      <c r="L301">
        <v>0.08</v>
      </c>
      <c r="M301" t="s">
        <v>17</v>
      </c>
      <c r="N301" t="s">
        <v>1069</v>
      </c>
    </row>
    <row r="302" spans="1:14" x14ac:dyDescent="0.35">
      <c r="A302">
        <v>301</v>
      </c>
      <c r="B302" t="s">
        <v>343</v>
      </c>
      <c r="C302" t="s">
        <v>31</v>
      </c>
      <c r="D302" t="s">
        <v>51</v>
      </c>
      <c r="E302" t="s">
        <v>49</v>
      </c>
      <c r="F302">
        <v>2006</v>
      </c>
      <c r="G302">
        <v>79</v>
      </c>
      <c r="H302">
        <v>1.1499999999999999</v>
      </c>
      <c r="I302">
        <v>0.45</v>
      </c>
      <c r="J302">
        <v>0.27</v>
      </c>
      <c r="K302">
        <v>0.09</v>
      </c>
      <c r="L302">
        <v>0.34</v>
      </c>
      <c r="M302" t="s">
        <v>17</v>
      </c>
      <c r="N302" t="s">
        <v>1070</v>
      </c>
    </row>
    <row r="303" spans="1:14" x14ac:dyDescent="0.35">
      <c r="A303">
        <v>302</v>
      </c>
      <c r="B303" t="s">
        <v>344</v>
      </c>
      <c r="C303" t="s">
        <v>57</v>
      </c>
      <c r="D303" t="s">
        <v>65</v>
      </c>
      <c r="E303" t="s">
        <v>20</v>
      </c>
      <c r="F303">
        <v>2010</v>
      </c>
      <c r="G303">
        <v>63</v>
      </c>
      <c r="H303">
        <v>0.85</v>
      </c>
      <c r="I303">
        <v>0.3</v>
      </c>
      <c r="J303">
        <v>0.2</v>
      </c>
      <c r="K303">
        <v>0.15</v>
      </c>
      <c r="L303">
        <v>0.2</v>
      </c>
      <c r="M303" t="s">
        <v>17</v>
      </c>
      <c r="N303" t="s">
        <v>1071</v>
      </c>
    </row>
    <row r="304" spans="1:14" x14ac:dyDescent="0.35">
      <c r="A304">
        <v>303</v>
      </c>
      <c r="B304" t="s">
        <v>345</v>
      </c>
      <c r="C304" t="s">
        <v>14</v>
      </c>
      <c r="D304" t="s">
        <v>45</v>
      </c>
      <c r="E304" t="s">
        <v>41</v>
      </c>
      <c r="F304">
        <v>2010</v>
      </c>
      <c r="G304">
        <v>71</v>
      </c>
      <c r="H304">
        <v>0.32</v>
      </c>
      <c r="I304">
        <v>0.15</v>
      </c>
      <c r="J304">
        <v>0.09</v>
      </c>
      <c r="K304">
        <v>0.04</v>
      </c>
      <c r="L304">
        <v>0.04</v>
      </c>
      <c r="M304" t="s">
        <v>24</v>
      </c>
      <c r="N304" t="s">
        <v>1070</v>
      </c>
    </row>
    <row r="305" spans="1:14" x14ac:dyDescent="0.35">
      <c r="A305">
        <v>304</v>
      </c>
      <c r="B305" t="s">
        <v>346</v>
      </c>
      <c r="C305" t="s">
        <v>59</v>
      </c>
      <c r="D305" t="s">
        <v>29</v>
      </c>
      <c r="E305" t="s">
        <v>60</v>
      </c>
      <c r="F305">
        <v>1999</v>
      </c>
      <c r="G305">
        <v>73</v>
      </c>
      <c r="H305">
        <v>0.28999999999999998</v>
      </c>
      <c r="I305">
        <v>0.11</v>
      </c>
      <c r="J305">
        <v>0.1</v>
      </c>
      <c r="K305">
        <v>0.04</v>
      </c>
      <c r="L305">
        <v>0.04</v>
      </c>
      <c r="M305" t="s">
        <v>24</v>
      </c>
      <c r="N305" t="s">
        <v>1070</v>
      </c>
    </row>
    <row r="306" spans="1:14" x14ac:dyDescent="0.35">
      <c r="A306">
        <v>305</v>
      </c>
      <c r="B306" t="s">
        <v>347</v>
      </c>
      <c r="C306" t="s">
        <v>64</v>
      </c>
      <c r="D306" t="s">
        <v>51</v>
      </c>
      <c r="E306" t="s">
        <v>46</v>
      </c>
      <c r="F306">
        <v>2015</v>
      </c>
      <c r="G306">
        <v>88</v>
      </c>
      <c r="H306">
        <v>0.46</v>
      </c>
      <c r="I306">
        <v>0.22</v>
      </c>
      <c r="J306">
        <v>0.14000000000000001</v>
      </c>
      <c r="K306">
        <v>7.0000000000000007E-2</v>
      </c>
      <c r="L306">
        <v>0.03</v>
      </c>
      <c r="M306" t="s">
        <v>24</v>
      </c>
      <c r="N306" t="s">
        <v>1069</v>
      </c>
    </row>
    <row r="307" spans="1:14" x14ac:dyDescent="0.35">
      <c r="A307">
        <v>306</v>
      </c>
      <c r="B307" t="s">
        <v>348</v>
      </c>
      <c r="C307" t="s">
        <v>14</v>
      </c>
      <c r="D307" t="s">
        <v>45</v>
      </c>
      <c r="E307" t="s">
        <v>41</v>
      </c>
      <c r="F307">
        <v>2010</v>
      </c>
      <c r="G307">
        <v>92</v>
      </c>
      <c r="H307">
        <v>1.25</v>
      </c>
      <c r="I307">
        <v>0.48</v>
      </c>
      <c r="J307">
        <v>0.39</v>
      </c>
      <c r="K307">
        <v>0.1</v>
      </c>
      <c r="L307">
        <v>0.28000000000000003</v>
      </c>
      <c r="M307" t="s">
        <v>17</v>
      </c>
      <c r="N307" t="s">
        <v>1068</v>
      </c>
    </row>
    <row r="308" spans="1:14" x14ac:dyDescent="0.35">
      <c r="A308">
        <v>307</v>
      </c>
      <c r="B308" t="s">
        <v>349</v>
      </c>
      <c r="C308" t="s">
        <v>23</v>
      </c>
      <c r="D308" t="s">
        <v>62</v>
      </c>
      <c r="E308" t="s">
        <v>43</v>
      </c>
      <c r="F308">
        <v>2025</v>
      </c>
      <c r="G308">
        <v>65</v>
      </c>
      <c r="H308">
        <v>0.43</v>
      </c>
      <c r="I308">
        <v>0.16</v>
      </c>
      <c r="J308">
        <v>0.1</v>
      </c>
      <c r="K308">
        <v>7.0000000000000007E-2</v>
      </c>
      <c r="L308">
        <v>0.1</v>
      </c>
      <c r="M308" t="s">
        <v>24</v>
      </c>
      <c r="N308" t="s">
        <v>1071</v>
      </c>
    </row>
    <row r="309" spans="1:14" x14ac:dyDescent="0.35">
      <c r="A309">
        <v>308</v>
      </c>
      <c r="B309" t="s">
        <v>350</v>
      </c>
      <c r="C309" t="s">
        <v>64</v>
      </c>
      <c r="D309" t="s">
        <v>29</v>
      </c>
      <c r="E309" t="s">
        <v>49</v>
      </c>
      <c r="F309">
        <v>2013</v>
      </c>
      <c r="G309">
        <v>69</v>
      </c>
      <c r="H309">
        <v>0.51</v>
      </c>
      <c r="I309">
        <v>0.26</v>
      </c>
      <c r="J309">
        <v>0.13</v>
      </c>
      <c r="K309">
        <v>0.05</v>
      </c>
      <c r="L309">
        <v>7.0000000000000007E-2</v>
      </c>
      <c r="M309" t="s">
        <v>17</v>
      </c>
      <c r="N309" t="s">
        <v>1071</v>
      </c>
    </row>
    <row r="310" spans="1:14" x14ac:dyDescent="0.35">
      <c r="A310">
        <v>309</v>
      </c>
      <c r="B310" t="s">
        <v>351</v>
      </c>
      <c r="C310" t="s">
        <v>14</v>
      </c>
      <c r="D310" t="s">
        <v>33</v>
      </c>
      <c r="E310" t="s">
        <v>16</v>
      </c>
      <c r="F310">
        <v>2013</v>
      </c>
      <c r="G310">
        <v>92</v>
      </c>
      <c r="H310">
        <v>1.96</v>
      </c>
      <c r="I310">
        <v>1.03</v>
      </c>
      <c r="J310">
        <v>0.5</v>
      </c>
      <c r="K310">
        <v>0.19</v>
      </c>
      <c r="L310">
        <v>0.24</v>
      </c>
      <c r="M310" t="s">
        <v>17</v>
      </c>
      <c r="N310" t="s">
        <v>1068</v>
      </c>
    </row>
    <row r="311" spans="1:14" x14ac:dyDescent="0.35">
      <c r="A311">
        <v>310</v>
      </c>
      <c r="B311" t="s">
        <v>352</v>
      </c>
      <c r="C311" t="s">
        <v>59</v>
      </c>
      <c r="D311" t="s">
        <v>37</v>
      </c>
      <c r="E311" t="s">
        <v>52</v>
      </c>
      <c r="F311">
        <v>1996</v>
      </c>
      <c r="G311">
        <v>91</v>
      </c>
      <c r="H311">
        <v>0.3</v>
      </c>
      <c r="I311">
        <v>0.13</v>
      </c>
      <c r="J311">
        <v>7.0000000000000007E-2</v>
      </c>
      <c r="K311">
        <v>0.05</v>
      </c>
      <c r="L311">
        <v>0.05</v>
      </c>
      <c r="M311" t="s">
        <v>24</v>
      </c>
      <c r="N311" t="s">
        <v>1068</v>
      </c>
    </row>
    <row r="312" spans="1:14" x14ac:dyDescent="0.35">
      <c r="A312">
        <v>311</v>
      </c>
      <c r="B312" t="s">
        <v>353</v>
      </c>
      <c r="C312" t="s">
        <v>23</v>
      </c>
      <c r="D312" t="s">
        <v>37</v>
      </c>
      <c r="E312" t="s">
        <v>16</v>
      </c>
      <c r="F312">
        <v>2026</v>
      </c>
      <c r="G312">
        <v>94</v>
      </c>
      <c r="H312">
        <v>0.62</v>
      </c>
      <c r="I312">
        <v>0.27</v>
      </c>
      <c r="J312">
        <v>0.17</v>
      </c>
      <c r="K312">
        <v>0.03</v>
      </c>
      <c r="L312">
        <v>0.15</v>
      </c>
      <c r="M312" t="s">
        <v>17</v>
      </c>
      <c r="N312" t="s">
        <v>1068</v>
      </c>
    </row>
    <row r="313" spans="1:14" x14ac:dyDescent="0.35">
      <c r="A313">
        <v>312</v>
      </c>
      <c r="B313" t="s">
        <v>354</v>
      </c>
      <c r="C313" t="s">
        <v>23</v>
      </c>
      <c r="D313" t="s">
        <v>29</v>
      </c>
      <c r="E313" t="s">
        <v>20</v>
      </c>
      <c r="F313">
        <v>2021</v>
      </c>
      <c r="G313">
        <v>67</v>
      </c>
      <c r="H313">
        <v>1.17</v>
      </c>
      <c r="I313">
        <v>0.61</v>
      </c>
      <c r="J313">
        <v>0.28999999999999998</v>
      </c>
      <c r="K313">
        <v>0.08</v>
      </c>
      <c r="L313">
        <v>0.19</v>
      </c>
      <c r="M313" t="s">
        <v>17</v>
      </c>
      <c r="N313" t="s">
        <v>1071</v>
      </c>
    </row>
    <row r="314" spans="1:14" x14ac:dyDescent="0.35">
      <c r="A314">
        <v>313</v>
      </c>
      <c r="B314" t="s">
        <v>355</v>
      </c>
      <c r="C314" t="s">
        <v>23</v>
      </c>
      <c r="D314" t="s">
        <v>51</v>
      </c>
      <c r="E314" t="s">
        <v>54</v>
      </c>
      <c r="F314">
        <v>2024</v>
      </c>
      <c r="G314">
        <v>74</v>
      </c>
      <c r="H314">
        <v>2.63</v>
      </c>
      <c r="I314">
        <v>1.19</v>
      </c>
      <c r="J314">
        <v>0.73</v>
      </c>
      <c r="K314">
        <v>0.3</v>
      </c>
      <c r="L314">
        <v>0.41</v>
      </c>
      <c r="M314" t="s">
        <v>27</v>
      </c>
      <c r="N314" t="s">
        <v>1070</v>
      </c>
    </row>
    <row r="315" spans="1:14" x14ac:dyDescent="0.35">
      <c r="A315">
        <v>314</v>
      </c>
      <c r="B315" t="s">
        <v>356</v>
      </c>
      <c r="C315" t="s">
        <v>57</v>
      </c>
      <c r="D315" t="s">
        <v>29</v>
      </c>
      <c r="E315" t="s">
        <v>16</v>
      </c>
      <c r="F315">
        <v>2006</v>
      </c>
      <c r="G315">
        <v>65</v>
      </c>
      <c r="H315">
        <v>0.39</v>
      </c>
      <c r="I315">
        <v>0.19</v>
      </c>
      <c r="J315">
        <v>0.09</v>
      </c>
      <c r="K315">
        <v>0.06</v>
      </c>
      <c r="L315">
        <v>0.05</v>
      </c>
      <c r="M315" t="s">
        <v>24</v>
      </c>
      <c r="N315" t="s">
        <v>1071</v>
      </c>
    </row>
    <row r="316" spans="1:14" x14ac:dyDescent="0.35">
      <c r="A316">
        <v>315</v>
      </c>
      <c r="B316" t="s">
        <v>357</v>
      </c>
      <c r="C316" t="s">
        <v>23</v>
      </c>
      <c r="D316" t="s">
        <v>37</v>
      </c>
      <c r="E316" t="s">
        <v>49</v>
      </c>
      <c r="F316">
        <v>2024</v>
      </c>
      <c r="G316">
        <v>79</v>
      </c>
      <c r="H316">
        <v>1.61</v>
      </c>
      <c r="I316">
        <v>0.74</v>
      </c>
      <c r="J316">
        <v>0.33</v>
      </c>
      <c r="K316">
        <v>0.32</v>
      </c>
      <c r="L316">
        <v>0.22</v>
      </c>
      <c r="M316" t="s">
        <v>17</v>
      </c>
      <c r="N316" t="s">
        <v>1070</v>
      </c>
    </row>
    <row r="317" spans="1:14" x14ac:dyDescent="0.35">
      <c r="A317">
        <v>316</v>
      </c>
      <c r="B317" t="s">
        <v>358</v>
      </c>
      <c r="C317" t="s">
        <v>57</v>
      </c>
      <c r="D317" t="s">
        <v>15</v>
      </c>
      <c r="E317" t="s">
        <v>20</v>
      </c>
      <c r="F317">
        <v>2005</v>
      </c>
      <c r="G317">
        <v>83</v>
      </c>
      <c r="H317">
        <v>0.32</v>
      </c>
      <c r="I317">
        <v>0.14000000000000001</v>
      </c>
      <c r="J317">
        <v>7.0000000000000007E-2</v>
      </c>
      <c r="K317">
        <v>0.05</v>
      </c>
      <c r="L317">
        <v>0.06</v>
      </c>
      <c r="M317" t="s">
        <v>24</v>
      </c>
      <c r="N317" t="s">
        <v>1069</v>
      </c>
    </row>
    <row r="318" spans="1:14" x14ac:dyDescent="0.35">
      <c r="A318">
        <v>317</v>
      </c>
      <c r="B318" t="s">
        <v>359</v>
      </c>
      <c r="C318" t="s">
        <v>57</v>
      </c>
      <c r="D318" t="s">
        <v>51</v>
      </c>
      <c r="E318" t="s">
        <v>41</v>
      </c>
      <c r="F318">
        <v>2004</v>
      </c>
      <c r="G318">
        <v>72</v>
      </c>
      <c r="H318">
        <v>0.9</v>
      </c>
      <c r="I318">
        <v>0.39</v>
      </c>
      <c r="J318">
        <v>0.3</v>
      </c>
      <c r="K318">
        <v>0.11</v>
      </c>
      <c r="L318">
        <v>0.1</v>
      </c>
      <c r="M318" t="s">
        <v>17</v>
      </c>
      <c r="N318" t="s">
        <v>1070</v>
      </c>
    </row>
    <row r="319" spans="1:14" x14ac:dyDescent="0.35">
      <c r="A319">
        <v>318</v>
      </c>
      <c r="B319" t="s">
        <v>360</v>
      </c>
      <c r="C319" t="s">
        <v>23</v>
      </c>
      <c r="D319" t="s">
        <v>51</v>
      </c>
      <c r="E319" t="s">
        <v>49</v>
      </c>
      <c r="F319">
        <v>2020</v>
      </c>
      <c r="G319">
        <v>67</v>
      </c>
      <c r="H319">
        <v>1.57</v>
      </c>
      <c r="I319">
        <v>0.81</v>
      </c>
      <c r="J319">
        <v>0.54</v>
      </c>
      <c r="K319">
        <v>0.16</v>
      </c>
      <c r="L319">
        <v>0.06</v>
      </c>
      <c r="M319" t="s">
        <v>17</v>
      </c>
      <c r="N319" t="s">
        <v>1071</v>
      </c>
    </row>
    <row r="320" spans="1:14" x14ac:dyDescent="0.35">
      <c r="A320">
        <v>319</v>
      </c>
      <c r="B320" t="s">
        <v>361</v>
      </c>
      <c r="C320" t="s">
        <v>19</v>
      </c>
      <c r="D320" t="s">
        <v>37</v>
      </c>
      <c r="E320" t="s">
        <v>20</v>
      </c>
      <c r="F320">
        <v>2017</v>
      </c>
      <c r="G320">
        <v>68</v>
      </c>
      <c r="H320">
        <v>1.42</v>
      </c>
      <c r="I320">
        <v>0.56000000000000005</v>
      </c>
      <c r="J320">
        <v>0.28999999999999998</v>
      </c>
      <c r="K320">
        <v>0.09</v>
      </c>
      <c r="L320">
        <v>0.48</v>
      </c>
      <c r="M320" t="s">
        <v>17</v>
      </c>
      <c r="N320" t="s">
        <v>1071</v>
      </c>
    </row>
    <row r="321" spans="1:14" x14ac:dyDescent="0.35">
      <c r="A321">
        <v>320</v>
      </c>
      <c r="B321" t="s">
        <v>362</v>
      </c>
      <c r="C321" t="s">
        <v>59</v>
      </c>
      <c r="D321" t="s">
        <v>62</v>
      </c>
      <c r="E321" t="s">
        <v>54</v>
      </c>
      <c r="F321">
        <v>1999</v>
      </c>
      <c r="G321">
        <v>59</v>
      </c>
      <c r="H321">
        <v>0.59</v>
      </c>
      <c r="I321">
        <v>0.24</v>
      </c>
      <c r="J321">
        <v>0.14000000000000001</v>
      </c>
      <c r="K321">
        <v>0.12</v>
      </c>
      <c r="L321">
        <v>0.09</v>
      </c>
      <c r="M321" t="s">
        <v>17</v>
      </c>
      <c r="N321" t="s">
        <v>1071</v>
      </c>
    </row>
    <row r="322" spans="1:14" x14ac:dyDescent="0.35">
      <c r="A322">
        <v>321</v>
      </c>
      <c r="B322" t="s">
        <v>363</v>
      </c>
      <c r="C322" t="s">
        <v>14</v>
      </c>
      <c r="D322" t="s">
        <v>62</v>
      </c>
      <c r="E322" t="s">
        <v>20</v>
      </c>
      <c r="F322">
        <v>2010</v>
      </c>
      <c r="G322">
        <v>57</v>
      </c>
      <c r="H322">
        <v>1.38</v>
      </c>
      <c r="I322">
        <v>0.67</v>
      </c>
      <c r="J322">
        <v>0.36</v>
      </c>
      <c r="K322">
        <v>0.09</v>
      </c>
      <c r="L322">
        <v>0.26</v>
      </c>
      <c r="M322" t="s">
        <v>17</v>
      </c>
      <c r="N322" t="s">
        <v>1071</v>
      </c>
    </row>
    <row r="323" spans="1:14" x14ac:dyDescent="0.35">
      <c r="A323">
        <v>322</v>
      </c>
      <c r="B323" t="s">
        <v>364</v>
      </c>
      <c r="C323" t="s">
        <v>64</v>
      </c>
      <c r="D323" t="s">
        <v>15</v>
      </c>
      <c r="E323" t="s">
        <v>54</v>
      </c>
      <c r="F323">
        <v>2011</v>
      </c>
      <c r="G323">
        <v>77</v>
      </c>
      <c r="H323">
        <v>0.08</v>
      </c>
      <c r="I323">
        <v>0.03</v>
      </c>
      <c r="J323">
        <v>0.02</v>
      </c>
      <c r="K323">
        <v>0.01</v>
      </c>
      <c r="L323">
        <v>0.02</v>
      </c>
      <c r="M323" t="s">
        <v>24</v>
      </c>
      <c r="N323" t="s">
        <v>1070</v>
      </c>
    </row>
    <row r="324" spans="1:14" x14ac:dyDescent="0.35">
      <c r="A324">
        <v>323</v>
      </c>
      <c r="B324" t="s">
        <v>365</v>
      </c>
      <c r="C324" t="s">
        <v>19</v>
      </c>
      <c r="D324" t="s">
        <v>51</v>
      </c>
      <c r="E324" t="s">
        <v>41</v>
      </c>
      <c r="F324">
        <v>2020</v>
      </c>
      <c r="G324">
        <v>96</v>
      </c>
      <c r="H324">
        <v>1.66</v>
      </c>
      <c r="I324">
        <v>0.62</v>
      </c>
      <c r="J324">
        <v>0.51</v>
      </c>
      <c r="K324">
        <v>0.33</v>
      </c>
      <c r="L324">
        <v>0.2</v>
      </c>
      <c r="M324" t="s">
        <v>17</v>
      </c>
      <c r="N324" t="s">
        <v>1068</v>
      </c>
    </row>
    <row r="325" spans="1:14" x14ac:dyDescent="0.35">
      <c r="A325">
        <v>324</v>
      </c>
      <c r="B325" t="s">
        <v>366</v>
      </c>
      <c r="C325" t="s">
        <v>64</v>
      </c>
      <c r="D325" t="s">
        <v>33</v>
      </c>
      <c r="E325" t="s">
        <v>41</v>
      </c>
      <c r="F325">
        <v>2013</v>
      </c>
      <c r="G325">
        <v>91</v>
      </c>
      <c r="H325">
        <v>0.41</v>
      </c>
      <c r="I325">
        <v>0.17</v>
      </c>
      <c r="J325">
        <v>0.1</v>
      </c>
      <c r="K325">
        <v>0.02</v>
      </c>
      <c r="L325">
        <v>0.12</v>
      </c>
      <c r="M325" t="s">
        <v>24</v>
      </c>
      <c r="N325" t="s">
        <v>1068</v>
      </c>
    </row>
    <row r="326" spans="1:14" x14ac:dyDescent="0.35">
      <c r="A326">
        <v>325</v>
      </c>
      <c r="B326" t="s">
        <v>367</v>
      </c>
      <c r="C326" t="s">
        <v>57</v>
      </c>
      <c r="D326" t="s">
        <v>62</v>
      </c>
      <c r="E326" t="s">
        <v>16</v>
      </c>
      <c r="F326">
        <v>2006</v>
      </c>
      <c r="G326">
        <v>83</v>
      </c>
      <c r="H326">
        <v>0.19</v>
      </c>
      <c r="I326">
        <v>0.08</v>
      </c>
      <c r="J326">
        <v>0.06</v>
      </c>
      <c r="K326">
        <v>0.03</v>
      </c>
      <c r="L326">
        <v>0.02</v>
      </c>
      <c r="M326" t="s">
        <v>24</v>
      </c>
      <c r="N326" t="s">
        <v>1069</v>
      </c>
    </row>
    <row r="327" spans="1:14" x14ac:dyDescent="0.35">
      <c r="A327">
        <v>326</v>
      </c>
      <c r="B327" t="s">
        <v>368</v>
      </c>
      <c r="C327" t="s">
        <v>64</v>
      </c>
      <c r="D327" t="s">
        <v>29</v>
      </c>
      <c r="E327" t="s">
        <v>60</v>
      </c>
      <c r="F327">
        <v>2014</v>
      </c>
      <c r="G327">
        <v>61</v>
      </c>
      <c r="H327">
        <v>0.2</v>
      </c>
      <c r="I327">
        <v>0.09</v>
      </c>
      <c r="J327">
        <v>0.06</v>
      </c>
      <c r="K327">
        <v>0.03</v>
      </c>
      <c r="L327">
        <v>0.02</v>
      </c>
      <c r="M327" t="s">
        <v>24</v>
      </c>
      <c r="N327" t="s">
        <v>1071</v>
      </c>
    </row>
    <row r="328" spans="1:14" x14ac:dyDescent="0.35">
      <c r="A328">
        <v>327</v>
      </c>
      <c r="B328" t="s">
        <v>369</v>
      </c>
      <c r="C328" t="s">
        <v>31</v>
      </c>
      <c r="D328" t="s">
        <v>65</v>
      </c>
      <c r="E328" t="s">
        <v>74</v>
      </c>
      <c r="F328">
        <v>2006</v>
      </c>
      <c r="G328">
        <v>96</v>
      </c>
      <c r="H328">
        <v>2.57</v>
      </c>
      <c r="I328">
        <v>1.1399999999999999</v>
      </c>
      <c r="J328">
        <v>0.71</v>
      </c>
      <c r="K328">
        <v>0.19</v>
      </c>
      <c r="L328">
        <v>0.53</v>
      </c>
      <c r="M328" t="s">
        <v>27</v>
      </c>
      <c r="N328" t="s">
        <v>1068</v>
      </c>
    </row>
    <row r="329" spans="1:14" x14ac:dyDescent="0.35">
      <c r="A329">
        <v>328</v>
      </c>
      <c r="B329" t="s">
        <v>370</v>
      </c>
      <c r="C329" t="s">
        <v>64</v>
      </c>
      <c r="D329" t="s">
        <v>29</v>
      </c>
      <c r="E329" t="s">
        <v>52</v>
      </c>
      <c r="F329">
        <v>2018</v>
      </c>
      <c r="G329">
        <v>58</v>
      </c>
      <c r="H329">
        <v>0.3</v>
      </c>
      <c r="I329">
        <v>0.13</v>
      </c>
      <c r="J329">
        <v>0.1</v>
      </c>
      <c r="K329">
        <v>0.02</v>
      </c>
      <c r="L329">
        <v>0.05</v>
      </c>
      <c r="M329" t="s">
        <v>24</v>
      </c>
      <c r="N329" t="s">
        <v>1071</v>
      </c>
    </row>
    <row r="330" spans="1:14" x14ac:dyDescent="0.35">
      <c r="A330">
        <v>329</v>
      </c>
      <c r="B330" t="s">
        <v>371</v>
      </c>
      <c r="C330" t="s">
        <v>19</v>
      </c>
      <c r="D330" t="s">
        <v>33</v>
      </c>
      <c r="E330" t="s">
        <v>16</v>
      </c>
      <c r="F330">
        <v>2020</v>
      </c>
      <c r="G330">
        <v>62</v>
      </c>
      <c r="H330">
        <v>0.23</v>
      </c>
      <c r="I330">
        <v>0.08</v>
      </c>
      <c r="J330">
        <v>0.06</v>
      </c>
      <c r="K330">
        <v>0.04</v>
      </c>
      <c r="L330">
        <v>0.05</v>
      </c>
      <c r="M330" t="s">
        <v>24</v>
      </c>
      <c r="N330" t="s">
        <v>1071</v>
      </c>
    </row>
    <row r="331" spans="1:14" x14ac:dyDescent="0.35">
      <c r="A331">
        <v>330</v>
      </c>
      <c r="B331" t="s">
        <v>372</v>
      </c>
      <c r="C331" t="s">
        <v>64</v>
      </c>
      <c r="D331" t="s">
        <v>65</v>
      </c>
      <c r="E331" t="s">
        <v>60</v>
      </c>
      <c r="F331">
        <v>2015</v>
      </c>
      <c r="G331">
        <v>76</v>
      </c>
      <c r="H331">
        <v>0.24</v>
      </c>
      <c r="I331">
        <v>0.09</v>
      </c>
      <c r="J331">
        <v>0.06</v>
      </c>
      <c r="K331">
        <v>0.03</v>
      </c>
      <c r="L331">
        <v>0.06</v>
      </c>
      <c r="M331" t="s">
        <v>24</v>
      </c>
      <c r="N331" t="s">
        <v>1070</v>
      </c>
    </row>
    <row r="332" spans="1:14" x14ac:dyDescent="0.35">
      <c r="A332">
        <v>331</v>
      </c>
      <c r="B332" t="s">
        <v>373</v>
      </c>
      <c r="C332" t="s">
        <v>23</v>
      </c>
      <c r="D332" t="s">
        <v>62</v>
      </c>
      <c r="E332" t="s">
        <v>43</v>
      </c>
      <c r="F332">
        <v>2024</v>
      </c>
      <c r="G332">
        <v>61</v>
      </c>
      <c r="H332">
        <v>1.23</v>
      </c>
      <c r="I332">
        <v>0.51</v>
      </c>
      <c r="J332">
        <v>0.4</v>
      </c>
      <c r="K332">
        <v>0.24</v>
      </c>
      <c r="L332">
        <v>0.08</v>
      </c>
      <c r="M332" t="s">
        <v>17</v>
      </c>
      <c r="N332" t="s">
        <v>1071</v>
      </c>
    </row>
    <row r="333" spans="1:14" x14ac:dyDescent="0.35">
      <c r="A333">
        <v>332</v>
      </c>
      <c r="B333" t="s">
        <v>374</v>
      </c>
      <c r="C333" t="s">
        <v>14</v>
      </c>
      <c r="D333" t="s">
        <v>33</v>
      </c>
      <c r="E333" t="s">
        <v>20</v>
      </c>
      <c r="F333">
        <v>2011</v>
      </c>
      <c r="G333">
        <v>63</v>
      </c>
      <c r="H333">
        <v>4.0599999999999996</v>
      </c>
      <c r="I333">
        <v>1.75</v>
      </c>
      <c r="J333">
        <v>0.97</v>
      </c>
      <c r="K333">
        <v>0.32</v>
      </c>
      <c r="L333">
        <v>1.02</v>
      </c>
      <c r="M333" t="s">
        <v>27</v>
      </c>
      <c r="N333" t="s">
        <v>1071</v>
      </c>
    </row>
    <row r="334" spans="1:14" x14ac:dyDescent="0.35">
      <c r="A334">
        <v>333</v>
      </c>
      <c r="B334" t="s">
        <v>375</v>
      </c>
      <c r="C334" t="s">
        <v>59</v>
      </c>
      <c r="D334" t="s">
        <v>48</v>
      </c>
      <c r="E334" t="s">
        <v>16</v>
      </c>
      <c r="F334">
        <v>1998</v>
      </c>
      <c r="G334">
        <v>61</v>
      </c>
      <c r="H334">
        <v>0.76</v>
      </c>
      <c r="I334">
        <v>0.28000000000000003</v>
      </c>
      <c r="J334">
        <v>0.25</v>
      </c>
      <c r="K334">
        <v>0.09</v>
      </c>
      <c r="L334">
        <v>0.14000000000000001</v>
      </c>
      <c r="M334" t="s">
        <v>17</v>
      </c>
      <c r="N334" t="s">
        <v>1071</v>
      </c>
    </row>
    <row r="335" spans="1:14" x14ac:dyDescent="0.35">
      <c r="A335">
        <v>334</v>
      </c>
      <c r="B335" t="s">
        <v>376</v>
      </c>
      <c r="C335" t="s">
        <v>23</v>
      </c>
      <c r="D335" t="s">
        <v>37</v>
      </c>
      <c r="E335" t="s">
        <v>16</v>
      </c>
      <c r="F335">
        <v>2024</v>
      </c>
      <c r="G335">
        <v>58</v>
      </c>
      <c r="H335">
        <v>0.85</v>
      </c>
      <c r="I335">
        <v>0.4</v>
      </c>
      <c r="J335">
        <v>0.28999999999999998</v>
      </c>
      <c r="K335">
        <v>0.14000000000000001</v>
      </c>
      <c r="L335">
        <v>0.02</v>
      </c>
      <c r="M335" t="s">
        <v>17</v>
      </c>
      <c r="N335" t="s">
        <v>1071</v>
      </c>
    </row>
    <row r="336" spans="1:14" x14ac:dyDescent="0.35">
      <c r="A336">
        <v>335</v>
      </c>
      <c r="B336" t="s">
        <v>377</v>
      </c>
      <c r="C336" t="s">
        <v>31</v>
      </c>
      <c r="D336" t="s">
        <v>2</v>
      </c>
      <c r="E336" t="s">
        <v>54</v>
      </c>
      <c r="F336">
        <v>2005</v>
      </c>
      <c r="G336">
        <v>79</v>
      </c>
      <c r="H336">
        <v>1.23</v>
      </c>
      <c r="I336">
        <v>0.51</v>
      </c>
      <c r="J336">
        <v>0.41</v>
      </c>
      <c r="K336">
        <v>0.14000000000000001</v>
      </c>
      <c r="L336">
        <v>0.17</v>
      </c>
      <c r="M336" t="s">
        <v>17</v>
      </c>
      <c r="N336" t="s">
        <v>1070</v>
      </c>
    </row>
    <row r="337" spans="1:14" x14ac:dyDescent="0.35">
      <c r="A337">
        <v>336</v>
      </c>
      <c r="B337" t="s">
        <v>378</v>
      </c>
      <c r="C337" t="s">
        <v>23</v>
      </c>
      <c r="D337" t="s">
        <v>48</v>
      </c>
      <c r="E337" t="s">
        <v>46</v>
      </c>
      <c r="F337">
        <v>2025</v>
      </c>
      <c r="G337">
        <v>73</v>
      </c>
      <c r="H337">
        <v>0.68</v>
      </c>
      <c r="I337">
        <v>0.28999999999999998</v>
      </c>
      <c r="J337">
        <v>0.21</v>
      </c>
      <c r="K337">
        <v>0.11</v>
      </c>
      <c r="L337">
        <v>7.0000000000000007E-2</v>
      </c>
      <c r="M337" t="s">
        <v>17</v>
      </c>
      <c r="N337" t="s">
        <v>1070</v>
      </c>
    </row>
    <row r="338" spans="1:14" x14ac:dyDescent="0.35">
      <c r="A338">
        <v>337</v>
      </c>
      <c r="B338" t="s">
        <v>379</v>
      </c>
      <c r="C338" t="s">
        <v>14</v>
      </c>
      <c r="D338" t="s">
        <v>65</v>
      </c>
      <c r="E338" t="s">
        <v>52</v>
      </c>
      <c r="F338">
        <v>2011</v>
      </c>
      <c r="G338">
        <v>94</v>
      </c>
      <c r="H338">
        <v>1.69</v>
      </c>
      <c r="I338">
        <v>0.9</v>
      </c>
      <c r="J338">
        <v>0.37</v>
      </c>
      <c r="K338">
        <v>0.26</v>
      </c>
      <c r="L338">
        <v>0.16</v>
      </c>
      <c r="M338" t="s">
        <v>17</v>
      </c>
      <c r="N338" t="s">
        <v>1068</v>
      </c>
    </row>
    <row r="339" spans="1:14" x14ac:dyDescent="0.35">
      <c r="A339">
        <v>338</v>
      </c>
      <c r="B339" t="s">
        <v>380</v>
      </c>
      <c r="C339" t="s">
        <v>31</v>
      </c>
      <c r="D339" t="s">
        <v>65</v>
      </c>
      <c r="E339" t="s">
        <v>43</v>
      </c>
      <c r="F339">
        <v>2004</v>
      </c>
      <c r="G339">
        <v>90</v>
      </c>
      <c r="H339">
        <v>0.62</v>
      </c>
      <c r="I339">
        <v>0.3</v>
      </c>
      <c r="J339">
        <v>0.16</v>
      </c>
      <c r="K339">
        <v>0.1</v>
      </c>
      <c r="L339">
        <v>0.06</v>
      </c>
      <c r="M339" t="s">
        <v>17</v>
      </c>
      <c r="N339" t="s">
        <v>1068</v>
      </c>
    </row>
    <row r="340" spans="1:14" x14ac:dyDescent="0.35">
      <c r="A340">
        <v>339</v>
      </c>
      <c r="B340" t="s">
        <v>381</v>
      </c>
      <c r="C340" t="s">
        <v>64</v>
      </c>
      <c r="D340" t="s">
        <v>51</v>
      </c>
      <c r="E340" t="s">
        <v>41</v>
      </c>
      <c r="F340">
        <v>2019</v>
      </c>
      <c r="G340">
        <v>61</v>
      </c>
      <c r="H340">
        <v>0.41</v>
      </c>
      <c r="I340">
        <v>0.21</v>
      </c>
      <c r="J340">
        <v>0.09</v>
      </c>
      <c r="K340">
        <v>0.04</v>
      </c>
      <c r="L340">
        <v>7.0000000000000007E-2</v>
      </c>
      <c r="M340" t="s">
        <v>24</v>
      </c>
      <c r="N340" t="s">
        <v>1071</v>
      </c>
    </row>
    <row r="341" spans="1:14" x14ac:dyDescent="0.35">
      <c r="A341">
        <v>340</v>
      </c>
      <c r="B341" t="s">
        <v>382</v>
      </c>
      <c r="C341" t="s">
        <v>14</v>
      </c>
      <c r="D341" t="s">
        <v>15</v>
      </c>
      <c r="E341" t="s">
        <v>46</v>
      </c>
      <c r="F341">
        <v>2008</v>
      </c>
      <c r="G341">
        <v>57</v>
      </c>
      <c r="H341">
        <v>0.4</v>
      </c>
      <c r="I341">
        <v>0.19</v>
      </c>
      <c r="J341">
        <v>0.12</v>
      </c>
      <c r="K341">
        <v>0.05</v>
      </c>
      <c r="L341">
        <v>0.04</v>
      </c>
      <c r="M341" t="s">
        <v>24</v>
      </c>
      <c r="N341" t="s">
        <v>1071</v>
      </c>
    </row>
    <row r="342" spans="1:14" x14ac:dyDescent="0.35">
      <c r="A342">
        <v>341</v>
      </c>
      <c r="B342" t="s">
        <v>383</v>
      </c>
      <c r="C342" t="s">
        <v>31</v>
      </c>
      <c r="D342" t="s">
        <v>65</v>
      </c>
      <c r="E342" t="s">
        <v>41</v>
      </c>
      <c r="F342">
        <v>2005</v>
      </c>
      <c r="G342">
        <v>73</v>
      </c>
      <c r="H342">
        <v>0.91</v>
      </c>
      <c r="I342">
        <v>0.39</v>
      </c>
      <c r="J342">
        <v>0.24</v>
      </c>
      <c r="K342">
        <v>0.15</v>
      </c>
      <c r="L342">
        <v>0.13</v>
      </c>
      <c r="M342" t="s">
        <v>17</v>
      </c>
      <c r="N342" t="s">
        <v>1070</v>
      </c>
    </row>
    <row r="343" spans="1:14" x14ac:dyDescent="0.35">
      <c r="A343">
        <v>342</v>
      </c>
      <c r="B343" t="s">
        <v>384</v>
      </c>
      <c r="C343" t="s">
        <v>57</v>
      </c>
      <c r="D343" t="s">
        <v>65</v>
      </c>
      <c r="E343" t="s">
        <v>20</v>
      </c>
      <c r="F343">
        <v>2009</v>
      </c>
      <c r="G343">
        <v>67</v>
      </c>
      <c r="H343">
        <v>1.1599999999999999</v>
      </c>
      <c r="I343">
        <v>0.59</v>
      </c>
      <c r="J343">
        <v>0.36</v>
      </c>
      <c r="K343">
        <v>0.21</v>
      </c>
      <c r="L343">
        <v>0</v>
      </c>
      <c r="M343" t="s">
        <v>17</v>
      </c>
      <c r="N343" t="s">
        <v>1071</v>
      </c>
    </row>
    <row r="344" spans="1:14" x14ac:dyDescent="0.35">
      <c r="A344">
        <v>343</v>
      </c>
      <c r="B344" t="s">
        <v>385</v>
      </c>
      <c r="C344" t="s">
        <v>57</v>
      </c>
      <c r="D344" t="s">
        <v>29</v>
      </c>
      <c r="E344" t="s">
        <v>74</v>
      </c>
      <c r="F344">
        <v>2014</v>
      </c>
      <c r="G344">
        <v>67</v>
      </c>
      <c r="H344">
        <v>0.33</v>
      </c>
      <c r="I344">
        <v>0.16</v>
      </c>
      <c r="J344">
        <v>0.08</v>
      </c>
      <c r="K344">
        <v>0.03</v>
      </c>
      <c r="L344">
        <v>0.06</v>
      </c>
      <c r="M344" t="s">
        <v>24</v>
      </c>
      <c r="N344" t="s">
        <v>1071</v>
      </c>
    </row>
    <row r="345" spans="1:14" x14ac:dyDescent="0.35">
      <c r="A345">
        <v>344</v>
      </c>
      <c r="B345" t="s">
        <v>386</v>
      </c>
      <c r="C345" t="s">
        <v>23</v>
      </c>
      <c r="D345" t="s">
        <v>45</v>
      </c>
      <c r="E345" t="s">
        <v>20</v>
      </c>
      <c r="F345">
        <v>2020</v>
      </c>
      <c r="G345">
        <v>90</v>
      </c>
      <c r="H345">
        <v>0.48</v>
      </c>
      <c r="I345">
        <v>0.25</v>
      </c>
      <c r="J345">
        <v>0.1</v>
      </c>
      <c r="K345">
        <v>0.06</v>
      </c>
      <c r="L345">
        <v>7.0000000000000007E-2</v>
      </c>
      <c r="M345" t="s">
        <v>24</v>
      </c>
      <c r="N345" t="s">
        <v>1068</v>
      </c>
    </row>
    <row r="346" spans="1:14" x14ac:dyDescent="0.35">
      <c r="A346">
        <v>345</v>
      </c>
      <c r="B346" t="s">
        <v>387</v>
      </c>
      <c r="C346" t="s">
        <v>31</v>
      </c>
      <c r="D346" t="s">
        <v>37</v>
      </c>
      <c r="E346" t="s">
        <v>43</v>
      </c>
      <c r="F346">
        <v>2000</v>
      </c>
      <c r="G346">
        <v>95</v>
      </c>
      <c r="H346">
        <v>1.1200000000000001</v>
      </c>
      <c r="I346">
        <v>0.5</v>
      </c>
      <c r="J346">
        <v>0.32</v>
      </c>
      <c r="K346">
        <v>0.12</v>
      </c>
      <c r="L346">
        <v>0.18</v>
      </c>
      <c r="M346" t="s">
        <v>17</v>
      </c>
      <c r="N346" t="s">
        <v>1068</v>
      </c>
    </row>
    <row r="347" spans="1:14" x14ac:dyDescent="0.35">
      <c r="A347">
        <v>346</v>
      </c>
      <c r="B347" t="s">
        <v>388</v>
      </c>
      <c r="C347" t="s">
        <v>64</v>
      </c>
      <c r="D347" t="s">
        <v>65</v>
      </c>
      <c r="E347" t="s">
        <v>52</v>
      </c>
      <c r="F347">
        <v>2016</v>
      </c>
      <c r="G347">
        <v>59</v>
      </c>
      <c r="H347">
        <v>0.5</v>
      </c>
      <c r="I347">
        <v>0.23</v>
      </c>
      <c r="J347">
        <v>0.13</v>
      </c>
      <c r="K347">
        <v>0.05</v>
      </c>
      <c r="L347">
        <v>0.09</v>
      </c>
      <c r="M347" t="s">
        <v>24</v>
      </c>
      <c r="N347" t="s">
        <v>1071</v>
      </c>
    </row>
    <row r="348" spans="1:14" x14ac:dyDescent="0.35">
      <c r="A348">
        <v>347</v>
      </c>
      <c r="B348" t="s">
        <v>389</v>
      </c>
      <c r="C348" t="s">
        <v>31</v>
      </c>
      <c r="D348" t="s">
        <v>29</v>
      </c>
      <c r="E348" t="s">
        <v>43</v>
      </c>
      <c r="F348">
        <v>2005</v>
      </c>
      <c r="G348">
        <v>68</v>
      </c>
      <c r="H348">
        <v>0.61</v>
      </c>
      <c r="I348">
        <v>0.31</v>
      </c>
      <c r="J348">
        <v>0.18</v>
      </c>
      <c r="K348">
        <v>0.04</v>
      </c>
      <c r="L348">
        <v>0.08</v>
      </c>
      <c r="M348" t="s">
        <v>17</v>
      </c>
      <c r="N348" t="s">
        <v>1071</v>
      </c>
    </row>
    <row r="349" spans="1:14" x14ac:dyDescent="0.35">
      <c r="A349">
        <v>348</v>
      </c>
      <c r="B349" t="s">
        <v>390</v>
      </c>
      <c r="C349" t="s">
        <v>14</v>
      </c>
      <c r="D349" t="s">
        <v>48</v>
      </c>
      <c r="E349" t="s">
        <v>74</v>
      </c>
      <c r="F349">
        <v>2013</v>
      </c>
      <c r="G349">
        <v>57</v>
      </c>
      <c r="H349">
        <v>0.89</v>
      </c>
      <c r="I349">
        <v>0.47</v>
      </c>
      <c r="J349">
        <v>0.3</v>
      </c>
      <c r="K349">
        <v>0.1</v>
      </c>
      <c r="L349">
        <v>0.02</v>
      </c>
      <c r="M349" t="s">
        <v>17</v>
      </c>
      <c r="N349" t="s">
        <v>1071</v>
      </c>
    </row>
    <row r="350" spans="1:14" x14ac:dyDescent="0.35">
      <c r="A350">
        <v>349</v>
      </c>
      <c r="B350" t="s">
        <v>391</v>
      </c>
      <c r="C350" t="s">
        <v>23</v>
      </c>
      <c r="D350" t="s">
        <v>51</v>
      </c>
      <c r="E350" t="s">
        <v>20</v>
      </c>
      <c r="F350">
        <v>2025</v>
      </c>
      <c r="G350">
        <v>87</v>
      </c>
      <c r="H350">
        <v>1.71</v>
      </c>
      <c r="I350">
        <v>0.61</v>
      </c>
      <c r="J350">
        <v>0.56999999999999995</v>
      </c>
      <c r="K350">
        <v>0.13</v>
      </c>
      <c r="L350">
        <v>0.4</v>
      </c>
      <c r="M350" t="s">
        <v>17</v>
      </c>
      <c r="N350" t="s">
        <v>1069</v>
      </c>
    </row>
    <row r="351" spans="1:14" x14ac:dyDescent="0.35">
      <c r="A351">
        <v>350</v>
      </c>
      <c r="B351" t="s">
        <v>392</v>
      </c>
      <c r="C351" t="s">
        <v>23</v>
      </c>
      <c r="D351" t="s">
        <v>33</v>
      </c>
      <c r="E351" t="s">
        <v>54</v>
      </c>
      <c r="F351">
        <v>2020</v>
      </c>
      <c r="G351">
        <v>55</v>
      </c>
      <c r="H351">
        <v>0.94</v>
      </c>
      <c r="I351">
        <v>0.45</v>
      </c>
      <c r="J351">
        <v>0.22</v>
      </c>
      <c r="K351">
        <v>0.14000000000000001</v>
      </c>
      <c r="L351">
        <v>0.13</v>
      </c>
      <c r="M351" t="s">
        <v>17</v>
      </c>
      <c r="N351" t="s">
        <v>1071</v>
      </c>
    </row>
    <row r="352" spans="1:14" x14ac:dyDescent="0.35">
      <c r="A352">
        <v>351</v>
      </c>
      <c r="B352" t="s">
        <v>393</v>
      </c>
      <c r="C352" t="s">
        <v>64</v>
      </c>
      <c r="D352" t="s">
        <v>48</v>
      </c>
      <c r="E352" t="s">
        <v>60</v>
      </c>
      <c r="F352">
        <v>2012</v>
      </c>
      <c r="G352">
        <v>98</v>
      </c>
      <c r="H352">
        <v>0.11</v>
      </c>
      <c r="I352">
        <v>0.05</v>
      </c>
      <c r="J352">
        <v>0.02</v>
      </c>
      <c r="K352">
        <v>0.01</v>
      </c>
      <c r="L352">
        <v>0.03</v>
      </c>
      <c r="M352" t="s">
        <v>24</v>
      </c>
      <c r="N352" t="s">
        <v>1068</v>
      </c>
    </row>
    <row r="353" spans="1:14" x14ac:dyDescent="0.35">
      <c r="A353">
        <v>352</v>
      </c>
      <c r="B353" t="s">
        <v>394</v>
      </c>
      <c r="C353" t="s">
        <v>64</v>
      </c>
      <c r="D353" t="s">
        <v>65</v>
      </c>
      <c r="E353" t="s">
        <v>49</v>
      </c>
      <c r="F353">
        <v>2015</v>
      </c>
      <c r="G353">
        <v>71</v>
      </c>
      <c r="H353">
        <v>0.23</v>
      </c>
      <c r="I353">
        <v>0.1</v>
      </c>
      <c r="J353">
        <v>0.06</v>
      </c>
      <c r="K353">
        <v>0.02</v>
      </c>
      <c r="L353">
        <v>0.05</v>
      </c>
      <c r="M353" t="s">
        <v>24</v>
      </c>
      <c r="N353" t="s">
        <v>1070</v>
      </c>
    </row>
    <row r="354" spans="1:14" x14ac:dyDescent="0.35">
      <c r="A354">
        <v>353</v>
      </c>
      <c r="B354" t="s">
        <v>395</v>
      </c>
      <c r="C354" t="s">
        <v>59</v>
      </c>
      <c r="D354" t="s">
        <v>15</v>
      </c>
      <c r="E354" t="s">
        <v>74</v>
      </c>
      <c r="F354">
        <v>1999</v>
      </c>
      <c r="G354">
        <v>57</v>
      </c>
      <c r="H354">
        <v>0.56999999999999995</v>
      </c>
      <c r="I354">
        <v>0.31</v>
      </c>
      <c r="J354">
        <v>0.12</v>
      </c>
      <c r="K354">
        <v>0.1</v>
      </c>
      <c r="L354">
        <v>0.04</v>
      </c>
      <c r="M354" t="s">
        <v>17</v>
      </c>
      <c r="N354" t="s">
        <v>1071</v>
      </c>
    </row>
    <row r="355" spans="1:14" x14ac:dyDescent="0.35">
      <c r="A355">
        <v>354</v>
      </c>
      <c r="B355" t="s">
        <v>396</v>
      </c>
      <c r="C355" t="s">
        <v>14</v>
      </c>
      <c r="D355" t="s">
        <v>51</v>
      </c>
      <c r="E355" t="s">
        <v>16</v>
      </c>
      <c r="F355">
        <v>2007</v>
      </c>
      <c r="G355">
        <v>97</v>
      </c>
      <c r="H355">
        <v>0.11</v>
      </c>
      <c r="I355">
        <v>0.06</v>
      </c>
      <c r="J355">
        <v>0.04</v>
      </c>
      <c r="K355">
        <v>0.01</v>
      </c>
      <c r="L355">
        <v>0</v>
      </c>
      <c r="M355" t="s">
        <v>24</v>
      </c>
      <c r="N355" t="s">
        <v>1068</v>
      </c>
    </row>
    <row r="356" spans="1:14" x14ac:dyDescent="0.35">
      <c r="A356">
        <v>355</v>
      </c>
      <c r="B356" t="s">
        <v>397</v>
      </c>
      <c r="C356" t="s">
        <v>57</v>
      </c>
      <c r="D356" t="s">
        <v>51</v>
      </c>
      <c r="E356" t="s">
        <v>43</v>
      </c>
      <c r="F356">
        <v>2006</v>
      </c>
      <c r="G356">
        <v>90</v>
      </c>
      <c r="H356">
        <v>0.57999999999999996</v>
      </c>
      <c r="I356">
        <v>0.27</v>
      </c>
      <c r="J356">
        <v>0.12</v>
      </c>
      <c r="K356">
        <v>0.05</v>
      </c>
      <c r="L356">
        <v>0.14000000000000001</v>
      </c>
      <c r="M356" t="s">
        <v>17</v>
      </c>
      <c r="N356" t="s">
        <v>1068</v>
      </c>
    </row>
    <row r="357" spans="1:14" x14ac:dyDescent="0.35">
      <c r="A357">
        <v>356</v>
      </c>
      <c r="B357" t="s">
        <v>398</v>
      </c>
      <c r="C357" t="s">
        <v>57</v>
      </c>
      <c r="D357" t="s">
        <v>48</v>
      </c>
      <c r="E357" t="s">
        <v>41</v>
      </c>
      <c r="F357">
        <v>2009</v>
      </c>
      <c r="G357">
        <v>65</v>
      </c>
      <c r="H357">
        <v>0.13</v>
      </c>
      <c r="I357">
        <v>0.05</v>
      </c>
      <c r="J357">
        <v>0.03</v>
      </c>
      <c r="K357">
        <v>0.02</v>
      </c>
      <c r="L357">
        <v>0.03</v>
      </c>
      <c r="M357" t="s">
        <v>24</v>
      </c>
      <c r="N357" t="s">
        <v>1071</v>
      </c>
    </row>
    <row r="358" spans="1:14" x14ac:dyDescent="0.35">
      <c r="A358">
        <v>357</v>
      </c>
      <c r="B358" t="s">
        <v>399</v>
      </c>
      <c r="C358" t="s">
        <v>23</v>
      </c>
      <c r="D358" t="s">
        <v>15</v>
      </c>
      <c r="E358" t="s">
        <v>60</v>
      </c>
      <c r="F358">
        <v>2026</v>
      </c>
      <c r="G358">
        <v>59</v>
      </c>
      <c r="H358">
        <v>0.52</v>
      </c>
      <c r="I358">
        <v>0.19</v>
      </c>
      <c r="J358">
        <v>0.16</v>
      </c>
      <c r="K358">
        <v>0.06</v>
      </c>
      <c r="L358">
        <v>0.11</v>
      </c>
      <c r="M358" t="s">
        <v>17</v>
      </c>
      <c r="N358" t="s">
        <v>1071</v>
      </c>
    </row>
    <row r="359" spans="1:14" x14ac:dyDescent="0.35">
      <c r="A359">
        <v>358</v>
      </c>
      <c r="B359" t="s">
        <v>400</v>
      </c>
      <c r="C359" t="s">
        <v>14</v>
      </c>
      <c r="D359" t="s">
        <v>37</v>
      </c>
      <c r="E359" t="s">
        <v>52</v>
      </c>
      <c r="F359">
        <v>2011</v>
      </c>
      <c r="G359">
        <v>94</v>
      </c>
      <c r="H359">
        <v>0.26</v>
      </c>
      <c r="I359">
        <v>0.12</v>
      </c>
      <c r="J359">
        <v>0.06</v>
      </c>
      <c r="K359">
        <v>0.04</v>
      </c>
      <c r="L359">
        <v>0.04</v>
      </c>
      <c r="M359" t="s">
        <v>24</v>
      </c>
      <c r="N359" t="s">
        <v>1068</v>
      </c>
    </row>
    <row r="360" spans="1:14" x14ac:dyDescent="0.35">
      <c r="A360">
        <v>359</v>
      </c>
      <c r="B360" t="s">
        <v>401</v>
      </c>
      <c r="C360" t="s">
        <v>57</v>
      </c>
      <c r="D360" t="s">
        <v>37</v>
      </c>
      <c r="E360" t="s">
        <v>74</v>
      </c>
      <c r="F360">
        <v>2013</v>
      </c>
      <c r="G360">
        <v>75</v>
      </c>
      <c r="H360">
        <v>0.12</v>
      </c>
      <c r="I360">
        <v>0.06</v>
      </c>
      <c r="J360">
        <v>0.04</v>
      </c>
      <c r="K360">
        <v>0.01</v>
      </c>
      <c r="L360">
        <v>0.01</v>
      </c>
      <c r="M360" t="s">
        <v>24</v>
      </c>
      <c r="N360" t="s">
        <v>1070</v>
      </c>
    </row>
    <row r="361" spans="1:14" x14ac:dyDescent="0.35">
      <c r="A361">
        <v>360</v>
      </c>
      <c r="B361" t="s">
        <v>402</v>
      </c>
      <c r="C361" t="s">
        <v>14</v>
      </c>
      <c r="D361" t="s">
        <v>29</v>
      </c>
      <c r="E361" t="s">
        <v>16</v>
      </c>
      <c r="F361">
        <v>2008</v>
      </c>
      <c r="G361">
        <v>77</v>
      </c>
      <c r="H361">
        <v>1.35</v>
      </c>
      <c r="I361">
        <v>0.5</v>
      </c>
      <c r="J361">
        <v>0.4</v>
      </c>
      <c r="K361">
        <v>0.08</v>
      </c>
      <c r="L361">
        <v>0.37</v>
      </c>
      <c r="M361" t="s">
        <v>17</v>
      </c>
      <c r="N361" t="s">
        <v>1070</v>
      </c>
    </row>
    <row r="362" spans="1:14" x14ac:dyDescent="0.35">
      <c r="A362">
        <v>361</v>
      </c>
      <c r="B362" t="s">
        <v>403</v>
      </c>
      <c r="C362" t="s">
        <v>14</v>
      </c>
      <c r="D362" t="s">
        <v>65</v>
      </c>
      <c r="E362" t="s">
        <v>52</v>
      </c>
      <c r="F362">
        <v>2008</v>
      </c>
      <c r="G362">
        <v>59</v>
      </c>
      <c r="H362">
        <v>1.74</v>
      </c>
      <c r="I362">
        <v>0.81</v>
      </c>
      <c r="J362">
        <v>0.55000000000000004</v>
      </c>
      <c r="K362">
        <v>0.14000000000000001</v>
      </c>
      <c r="L362">
        <v>0.24</v>
      </c>
      <c r="M362" t="s">
        <v>17</v>
      </c>
      <c r="N362" t="s">
        <v>1071</v>
      </c>
    </row>
    <row r="363" spans="1:14" x14ac:dyDescent="0.35">
      <c r="A363">
        <v>362</v>
      </c>
      <c r="B363" t="s">
        <v>404</v>
      </c>
      <c r="C363" t="s">
        <v>59</v>
      </c>
      <c r="D363" t="s">
        <v>51</v>
      </c>
      <c r="E363" t="s">
        <v>60</v>
      </c>
      <c r="F363">
        <v>1999</v>
      </c>
      <c r="G363">
        <v>96</v>
      </c>
      <c r="H363">
        <v>0.79</v>
      </c>
      <c r="I363">
        <v>0.31</v>
      </c>
      <c r="J363">
        <v>0.25</v>
      </c>
      <c r="K363">
        <v>0.13</v>
      </c>
      <c r="L363">
        <v>0.1</v>
      </c>
      <c r="M363" t="s">
        <v>17</v>
      </c>
      <c r="N363" t="s">
        <v>1068</v>
      </c>
    </row>
    <row r="364" spans="1:14" x14ac:dyDescent="0.35">
      <c r="A364">
        <v>363</v>
      </c>
      <c r="B364" t="s">
        <v>405</v>
      </c>
      <c r="C364" t="s">
        <v>14</v>
      </c>
      <c r="D364" t="s">
        <v>62</v>
      </c>
      <c r="E364" t="s">
        <v>60</v>
      </c>
      <c r="F364">
        <v>2008</v>
      </c>
      <c r="G364">
        <v>80</v>
      </c>
      <c r="H364">
        <v>0.94</v>
      </c>
      <c r="I364">
        <v>0.36</v>
      </c>
      <c r="J364">
        <v>0.27</v>
      </c>
      <c r="K364">
        <v>0.13</v>
      </c>
      <c r="L364">
        <v>0.18</v>
      </c>
      <c r="M364" t="s">
        <v>17</v>
      </c>
      <c r="N364" t="s">
        <v>1069</v>
      </c>
    </row>
    <row r="365" spans="1:14" x14ac:dyDescent="0.35">
      <c r="A365">
        <v>364</v>
      </c>
      <c r="B365" t="s">
        <v>406</v>
      </c>
      <c r="C365" t="s">
        <v>64</v>
      </c>
      <c r="D365" t="s">
        <v>62</v>
      </c>
      <c r="E365" t="s">
        <v>43</v>
      </c>
      <c r="F365">
        <v>2013</v>
      </c>
      <c r="G365">
        <v>86</v>
      </c>
      <c r="H365">
        <v>0.17</v>
      </c>
      <c r="I365">
        <v>7.0000000000000007E-2</v>
      </c>
      <c r="J365">
        <v>0.05</v>
      </c>
      <c r="K365">
        <v>0.02</v>
      </c>
      <c r="L365">
        <v>0.03</v>
      </c>
      <c r="M365" t="s">
        <v>24</v>
      </c>
      <c r="N365" t="s">
        <v>1069</v>
      </c>
    </row>
    <row r="366" spans="1:14" x14ac:dyDescent="0.35">
      <c r="A366">
        <v>365</v>
      </c>
      <c r="B366" t="s">
        <v>407</v>
      </c>
      <c r="C366" t="s">
        <v>64</v>
      </c>
      <c r="D366" t="s">
        <v>45</v>
      </c>
      <c r="E366" t="s">
        <v>16</v>
      </c>
      <c r="F366">
        <v>2016</v>
      </c>
      <c r="G366">
        <v>57</v>
      </c>
      <c r="H366">
        <v>0.88</v>
      </c>
      <c r="I366">
        <v>0.43</v>
      </c>
      <c r="J366">
        <v>0.24</v>
      </c>
      <c r="K366">
        <v>0.15</v>
      </c>
      <c r="L366">
        <v>0.06</v>
      </c>
      <c r="M366" t="s">
        <v>17</v>
      </c>
      <c r="N366" t="s">
        <v>1071</v>
      </c>
    </row>
    <row r="367" spans="1:14" x14ac:dyDescent="0.35">
      <c r="A367">
        <v>366</v>
      </c>
      <c r="B367" t="s">
        <v>408</v>
      </c>
      <c r="C367" t="s">
        <v>64</v>
      </c>
      <c r="D367" t="s">
        <v>2</v>
      </c>
      <c r="E367" t="s">
        <v>60</v>
      </c>
      <c r="F367">
        <v>2015</v>
      </c>
      <c r="G367">
        <v>79</v>
      </c>
      <c r="H367">
        <v>0.43</v>
      </c>
      <c r="I367">
        <v>0.21</v>
      </c>
      <c r="J367">
        <v>0.14000000000000001</v>
      </c>
      <c r="K367">
        <v>0.05</v>
      </c>
      <c r="L367">
        <v>0.03</v>
      </c>
      <c r="M367" t="s">
        <v>24</v>
      </c>
      <c r="N367" t="s">
        <v>1070</v>
      </c>
    </row>
    <row r="368" spans="1:14" x14ac:dyDescent="0.35">
      <c r="A368">
        <v>367</v>
      </c>
      <c r="B368" t="s">
        <v>409</v>
      </c>
      <c r="C368" t="s">
        <v>19</v>
      </c>
      <c r="D368" t="s">
        <v>65</v>
      </c>
      <c r="E368" t="s">
        <v>41</v>
      </c>
      <c r="F368">
        <v>2016</v>
      </c>
      <c r="G368">
        <v>86</v>
      </c>
      <c r="H368">
        <v>0.72</v>
      </c>
      <c r="I368">
        <v>0.33</v>
      </c>
      <c r="J368">
        <v>0.17</v>
      </c>
      <c r="K368">
        <v>0.05</v>
      </c>
      <c r="L368">
        <v>0.17</v>
      </c>
      <c r="M368" t="s">
        <v>17</v>
      </c>
      <c r="N368" t="s">
        <v>1069</v>
      </c>
    </row>
    <row r="369" spans="1:14" x14ac:dyDescent="0.35">
      <c r="A369">
        <v>368</v>
      </c>
      <c r="B369" t="s">
        <v>410</v>
      </c>
      <c r="C369" t="s">
        <v>31</v>
      </c>
      <c r="D369" t="s">
        <v>2</v>
      </c>
      <c r="E369" t="s">
        <v>49</v>
      </c>
      <c r="F369">
        <v>2002</v>
      </c>
      <c r="G369">
        <v>76</v>
      </c>
      <c r="H369">
        <v>1.28</v>
      </c>
      <c r="I369">
        <v>0.56999999999999995</v>
      </c>
      <c r="J369">
        <v>0.3</v>
      </c>
      <c r="K369">
        <v>0.09</v>
      </c>
      <c r="L369">
        <v>0.32</v>
      </c>
      <c r="M369" t="s">
        <v>17</v>
      </c>
      <c r="N369" t="s">
        <v>1070</v>
      </c>
    </row>
    <row r="370" spans="1:14" x14ac:dyDescent="0.35">
      <c r="A370">
        <v>369</v>
      </c>
      <c r="B370" t="s">
        <v>411</v>
      </c>
      <c r="C370" t="s">
        <v>64</v>
      </c>
      <c r="D370" t="s">
        <v>15</v>
      </c>
      <c r="E370" t="s">
        <v>52</v>
      </c>
      <c r="F370">
        <v>2017</v>
      </c>
      <c r="G370">
        <v>91</v>
      </c>
      <c r="H370">
        <v>0.35</v>
      </c>
      <c r="I370">
        <v>0.16</v>
      </c>
      <c r="J370">
        <v>0.12</v>
      </c>
      <c r="K370">
        <v>0.03</v>
      </c>
      <c r="L370">
        <v>0.04</v>
      </c>
      <c r="M370" t="s">
        <v>24</v>
      </c>
      <c r="N370" t="s">
        <v>1068</v>
      </c>
    </row>
    <row r="371" spans="1:14" x14ac:dyDescent="0.35">
      <c r="A371">
        <v>370</v>
      </c>
      <c r="B371" t="s">
        <v>412</v>
      </c>
      <c r="C371" t="s">
        <v>31</v>
      </c>
      <c r="D371" t="s">
        <v>37</v>
      </c>
      <c r="E371" t="s">
        <v>60</v>
      </c>
      <c r="F371">
        <v>2002</v>
      </c>
      <c r="G371">
        <v>91</v>
      </c>
      <c r="H371">
        <v>3.85</v>
      </c>
      <c r="I371">
        <v>1.89</v>
      </c>
      <c r="J371">
        <v>1.23</v>
      </c>
      <c r="K371">
        <v>0.73</v>
      </c>
      <c r="L371">
        <v>0</v>
      </c>
      <c r="M371" t="s">
        <v>27</v>
      </c>
      <c r="N371" t="s">
        <v>1068</v>
      </c>
    </row>
    <row r="372" spans="1:14" x14ac:dyDescent="0.35">
      <c r="A372">
        <v>371</v>
      </c>
      <c r="B372" t="s">
        <v>413</v>
      </c>
      <c r="C372" t="s">
        <v>31</v>
      </c>
      <c r="D372" t="s">
        <v>2</v>
      </c>
      <c r="E372" t="s">
        <v>16</v>
      </c>
      <c r="F372">
        <v>2003</v>
      </c>
      <c r="G372">
        <v>69</v>
      </c>
      <c r="H372">
        <v>2.38</v>
      </c>
      <c r="I372">
        <v>1.21</v>
      </c>
      <c r="J372">
        <v>0.77</v>
      </c>
      <c r="K372">
        <v>0.18</v>
      </c>
      <c r="L372">
        <v>0.22</v>
      </c>
      <c r="M372" t="s">
        <v>27</v>
      </c>
      <c r="N372" t="s">
        <v>1071</v>
      </c>
    </row>
    <row r="373" spans="1:14" x14ac:dyDescent="0.35">
      <c r="A373">
        <v>372</v>
      </c>
      <c r="B373" t="s">
        <v>414</v>
      </c>
      <c r="C373" t="s">
        <v>57</v>
      </c>
      <c r="D373" t="s">
        <v>51</v>
      </c>
      <c r="E373" t="s">
        <v>54</v>
      </c>
      <c r="F373">
        <v>2012</v>
      </c>
      <c r="G373">
        <v>93</v>
      </c>
      <c r="H373">
        <v>0.56999999999999995</v>
      </c>
      <c r="I373">
        <v>0.24</v>
      </c>
      <c r="J373">
        <v>0.12</v>
      </c>
      <c r="K373">
        <v>0.05</v>
      </c>
      <c r="L373">
        <v>0.16</v>
      </c>
      <c r="M373" t="s">
        <v>17</v>
      </c>
      <c r="N373" t="s">
        <v>1068</v>
      </c>
    </row>
    <row r="374" spans="1:14" x14ac:dyDescent="0.35">
      <c r="A374">
        <v>373</v>
      </c>
      <c r="B374" t="s">
        <v>415</v>
      </c>
      <c r="C374" t="s">
        <v>64</v>
      </c>
      <c r="D374" t="s">
        <v>45</v>
      </c>
      <c r="E374" t="s">
        <v>54</v>
      </c>
      <c r="F374">
        <v>2019</v>
      </c>
      <c r="G374">
        <v>66</v>
      </c>
      <c r="H374">
        <v>0.27</v>
      </c>
      <c r="I374">
        <v>0.1</v>
      </c>
      <c r="J374">
        <v>0.09</v>
      </c>
      <c r="K374">
        <v>0.03</v>
      </c>
      <c r="L374">
        <v>0.05</v>
      </c>
      <c r="M374" t="s">
        <v>24</v>
      </c>
      <c r="N374" t="s">
        <v>1071</v>
      </c>
    </row>
    <row r="375" spans="1:14" x14ac:dyDescent="0.35">
      <c r="A375">
        <v>374</v>
      </c>
      <c r="B375" t="s">
        <v>416</v>
      </c>
      <c r="C375" t="s">
        <v>59</v>
      </c>
      <c r="D375" t="s">
        <v>62</v>
      </c>
      <c r="E375" t="s">
        <v>54</v>
      </c>
      <c r="F375">
        <v>1995</v>
      </c>
      <c r="G375">
        <v>55</v>
      </c>
      <c r="H375">
        <v>0.66</v>
      </c>
      <c r="I375">
        <v>0.28000000000000003</v>
      </c>
      <c r="J375">
        <v>0.14000000000000001</v>
      </c>
      <c r="K375">
        <v>0.09</v>
      </c>
      <c r="L375">
        <v>0.15</v>
      </c>
      <c r="M375" t="s">
        <v>17</v>
      </c>
      <c r="N375" t="s">
        <v>1071</v>
      </c>
    </row>
    <row r="376" spans="1:14" x14ac:dyDescent="0.35">
      <c r="A376">
        <v>375</v>
      </c>
      <c r="B376" t="s">
        <v>417</v>
      </c>
      <c r="C376" t="s">
        <v>31</v>
      </c>
      <c r="D376" t="s">
        <v>62</v>
      </c>
      <c r="E376" t="s">
        <v>41</v>
      </c>
      <c r="F376">
        <v>2006</v>
      </c>
      <c r="G376">
        <v>91</v>
      </c>
      <c r="H376">
        <v>0.63</v>
      </c>
      <c r="I376">
        <v>0.33</v>
      </c>
      <c r="J376">
        <v>0.15</v>
      </c>
      <c r="K376">
        <v>0.11</v>
      </c>
      <c r="L376">
        <v>0.04</v>
      </c>
      <c r="M376" t="s">
        <v>17</v>
      </c>
      <c r="N376" t="s">
        <v>1068</v>
      </c>
    </row>
    <row r="377" spans="1:14" x14ac:dyDescent="0.35">
      <c r="A377">
        <v>376</v>
      </c>
      <c r="B377" t="s">
        <v>418</v>
      </c>
      <c r="C377" t="s">
        <v>19</v>
      </c>
      <c r="D377" t="s">
        <v>48</v>
      </c>
      <c r="E377" t="s">
        <v>20</v>
      </c>
      <c r="F377">
        <v>2017</v>
      </c>
      <c r="G377">
        <v>88</v>
      </c>
      <c r="H377">
        <v>1.74</v>
      </c>
      <c r="I377">
        <v>0.72</v>
      </c>
      <c r="J377">
        <v>0.44</v>
      </c>
      <c r="K377">
        <v>0.13</v>
      </c>
      <c r="L377">
        <v>0.45</v>
      </c>
      <c r="M377" t="s">
        <v>17</v>
      </c>
      <c r="N377" t="s">
        <v>1069</v>
      </c>
    </row>
    <row r="378" spans="1:14" x14ac:dyDescent="0.35">
      <c r="A378">
        <v>377</v>
      </c>
      <c r="B378" t="s">
        <v>419</v>
      </c>
      <c r="C378" t="s">
        <v>57</v>
      </c>
      <c r="D378" t="s">
        <v>51</v>
      </c>
      <c r="E378" t="s">
        <v>46</v>
      </c>
      <c r="F378">
        <v>2013</v>
      </c>
      <c r="G378">
        <v>91</v>
      </c>
      <c r="H378">
        <v>0.36</v>
      </c>
      <c r="I378">
        <v>0.18</v>
      </c>
      <c r="J378">
        <v>0.11</v>
      </c>
      <c r="K378">
        <v>0.04</v>
      </c>
      <c r="L378">
        <v>0.03</v>
      </c>
      <c r="M378" t="s">
        <v>24</v>
      </c>
      <c r="N378" t="s">
        <v>1068</v>
      </c>
    </row>
    <row r="379" spans="1:14" x14ac:dyDescent="0.35">
      <c r="A379">
        <v>378</v>
      </c>
      <c r="B379" t="s">
        <v>420</v>
      </c>
      <c r="C379" t="s">
        <v>64</v>
      </c>
      <c r="D379" t="s">
        <v>62</v>
      </c>
      <c r="E379" t="s">
        <v>54</v>
      </c>
      <c r="F379">
        <v>2019</v>
      </c>
      <c r="G379">
        <v>90</v>
      </c>
      <c r="H379">
        <v>0.05</v>
      </c>
      <c r="I379">
        <v>0.02</v>
      </c>
      <c r="J379">
        <v>0.02</v>
      </c>
      <c r="K379">
        <v>0.01</v>
      </c>
      <c r="L379">
        <v>0</v>
      </c>
      <c r="M379" t="s">
        <v>24</v>
      </c>
      <c r="N379" t="s">
        <v>1068</v>
      </c>
    </row>
    <row r="380" spans="1:14" x14ac:dyDescent="0.35">
      <c r="A380">
        <v>379</v>
      </c>
      <c r="B380" t="s">
        <v>421</v>
      </c>
      <c r="C380" t="s">
        <v>31</v>
      </c>
      <c r="D380" t="s">
        <v>33</v>
      </c>
      <c r="E380" t="s">
        <v>52</v>
      </c>
      <c r="F380">
        <v>2006</v>
      </c>
      <c r="G380">
        <v>61</v>
      </c>
      <c r="H380">
        <v>0.32</v>
      </c>
      <c r="I380">
        <v>0.13</v>
      </c>
      <c r="J380">
        <v>0.09</v>
      </c>
      <c r="K380">
        <v>0.05</v>
      </c>
      <c r="L380">
        <v>0.05</v>
      </c>
      <c r="M380" t="s">
        <v>24</v>
      </c>
      <c r="N380" t="s">
        <v>1071</v>
      </c>
    </row>
    <row r="381" spans="1:14" x14ac:dyDescent="0.35">
      <c r="A381">
        <v>380</v>
      </c>
      <c r="B381" t="s">
        <v>422</v>
      </c>
      <c r="C381" t="s">
        <v>57</v>
      </c>
      <c r="D381" t="s">
        <v>37</v>
      </c>
      <c r="E381" t="s">
        <v>41</v>
      </c>
      <c r="F381">
        <v>2004</v>
      </c>
      <c r="G381">
        <v>64</v>
      </c>
      <c r="H381">
        <v>0.43</v>
      </c>
      <c r="I381">
        <v>0.16</v>
      </c>
      <c r="J381">
        <v>0.1</v>
      </c>
      <c r="K381">
        <v>0.05</v>
      </c>
      <c r="L381">
        <v>0.12</v>
      </c>
      <c r="M381" t="s">
        <v>24</v>
      </c>
      <c r="N381" t="s">
        <v>1071</v>
      </c>
    </row>
    <row r="382" spans="1:14" x14ac:dyDescent="0.35">
      <c r="A382">
        <v>381</v>
      </c>
      <c r="B382" t="s">
        <v>423</v>
      </c>
      <c r="C382" t="s">
        <v>23</v>
      </c>
      <c r="D382" t="s">
        <v>45</v>
      </c>
      <c r="E382" t="s">
        <v>41</v>
      </c>
      <c r="F382">
        <v>2020</v>
      </c>
      <c r="G382">
        <v>73</v>
      </c>
      <c r="H382">
        <v>1.67</v>
      </c>
      <c r="I382">
        <v>0.89</v>
      </c>
      <c r="J382">
        <v>0.54</v>
      </c>
      <c r="K382">
        <v>0.24</v>
      </c>
      <c r="L382">
        <v>0</v>
      </c>
      <c r="M382" t="s">
        <v>17</v>
      </c>
      <c r="N382" t="s">
        <v>1070</v>
      </c>
    </row>
    <row r="383" spans="1:14" x14ac:dyDescent="0.35">
      <c r="A383">
        <v>382</v>
      </c>
      <c r="B383" t="s">
        <v>424</v>
      </c>
      <c r="C383" t="s">
        <v>19</v>
      </c>
      <c r="D383" t="s">
        <v>48</v>
      </c>
      <c r="E383" t="s">
        <v>60</v>
      </c>
      <c r="F383">
        <v>2013</v>
      </c>
      <c r="G383">
        <v>57</v>
      </c>
      <c r="H383">
        <v>1.98</v>
      </c>
      <c r="I383">
        <v>0.97</v>
      </c>
      <c r="J383">
        <v>0.57999999999999996</v>
      </c>
      <c r="K383">
        <v>0.3</v>
      </c>
      <c r="L383">
        <v>0.13</v>
      </c>
      <c r="M383" t="s">
        <v>17</v>
      </c>
      <c r="N383" t="s">
        <v>1071</v>
      </c>
    </row>
    <row r="384" spans="1:14" x14ac:dyDescent="0.35">
      <c r="A384">
        <v>383</v>
      </c>
      <c r="B384" t="s">
        <v>425</v>
      </c>
      <c r="C384" t="s">
        <v>14</v>
      </c>
      <c r="D384" t="s">
        <v>15</v>
      </c>
      <c r="E384" t="s">
        <v>54</v>
      </c>
      <c r="F384">
        <v>2009</v>
      </c>
      <c r="G384">
        <v>80</v>
      </c>
      <c r="H384">
        <v>0.41</v>
      </c>
      <c r="I384">
        <v>0.19</v>
      </c>
      <c r="J384">
        <v>0.11</v>
      </c>
      <c r="K384">
        <v>7.0000000000000007E-2</v>
      </c>
      <c r="L384">
        <v>0.04</v>
      </c>
      <c r="M384" t="s">
        <v>24</v>
      </c>
      <c r="N384" t="s">
        <v>1069</v>
      </c>
    </row>
    <row r="385" spans="1:14" x14ac:dyDescent="0.35">
      <c r="A385">
        <v>384</v>
      </c>
      <c r="B385" t="s">
        <v>426</v>
      </c>
      <c r="C385" t="s">
        <v>59</v>
      </c>
      <c r="D385" t="s">
        <v>65</v>
      </c>
      <c r="E385" t="s">
        <v>46</v>
      </c>
      <c r="F385">
        <v>1995</v>
      </c>
      <c r="G385">
        <v>77</v>
      </c>
      <c r="H385">
        <v>0.11</v>
      </c>
      <c r="I385">
        <v>0.04</v>
      </c>
      <c r="J385">
        <v>0.04</v>
      </c>
      <c r="K385">
        <v>0.01</v>
      </c>
      <c r="L385">
        <v>0.02</v>
      </c>
      <c r="M385" t="s">
        <v>24</v>
      </c>
      <c r="N385" t="s">
        <v>1070</v>
      </c>
    </row>
    <row r="386" spans="1:14" x14ac:dyDescent="0.35">
      <c r="A386">
        <v>385</v>
      </c>
      <c r="B386" t="s">
        <v>427</v>
      </c>
      <c r="C386" t="s">
        <v>19</v>
      </c>
      <c r="D386" t="s">
        <v>51</v>
      </c>
      <c r="E386" t="s">
        <v>54</v>
      </c>
      <c r="F386">
        <v>2013</v>
      </c>
      <c r="G386">
        <v>61</v>
      </c>
      <c r="H386">
        <v>0.97</v>
      </c>
      <c r="I386">
        <v>0.41</v>
      </c>
      <c r="J386">
        <v>0.21</v>
      </c>
      <c r="K386">
        <v>0.12</v>
      </c>
      <c r="L386">
        <v>0.23</v>
      </c>
      <c r="M386" t="s">
        <v>17</v>
      </c>
      <c r="N386" t="s">
        <v>1071</v>
      </c>
    </row>
    <row r="387" spans="1:14" x14ac:dyDescent="0.35">
      <c r="A387">
        <v>386</v>
      </c>
      <c r="B387" t="s">
        <v>428</v>
      </c>
      <c r="C387" t="s">
        <v>14</v>
      </c>
      <c r="D387" t="s">
        <v>62</v>
      </c>
      <c r="E387" t="s">
        <v>41</v>
      </c>
      <c r="F387">
        <v>2010</v>
      </c>
      <c r="G387">
        <v>70</v>
      </c>
      <c r="H387">
        <v>0.52</v>
      </c>
      <c r="I387">
        <v>0.24</v>
      </c>
      <c r="J387">
        <v>0.11</v>
      </c>
      <c r="K387">
        <v>0.04</v>
      </c>
      <c r="L387">
        <v>0.13</v>
      </c>
      <c r="M387" t="s">
        <v>17</v>
      </c>
      <c r="N387" t="s">
        <v>1070</v>
      </c>
    </row>
    <row r="388" spans="1:14" x14ac:dyDescent="0.35">
      <c r="A388">
        <v>387</v>
      </c>
      <c r="B388" t="s">
        <v>429</v>
      </c>
      <c r="C388" t="s">
        <v>59</v>
      </c>
      <c r="D388" t="s">
        <v>48</v>
      </c>
      <c r="E388" t="s">
        <v>52</v>
      </c>
      <c r="F388">
        <v>1998</v>
      </c>
      <c r="G388">
        <v>77</v>
      </c>
      <c r="H388">
        <v>0.42</v>
      </c>
      <c r="I388">
        <v>0.22</v>
      </c>
      <c r="J388">
        <v>0.1</v>
      </c>
      <c r="K388">
        <v>0.03</v>
      </c>
      <c r="L388">
        <v>7.0000000000000007E-2</v>
      </c>
      <c r="M388" t="s">
        <v>24</v>
      </c>
      <c r="N388" t="s">
        <v>1070</v>
      </c>
    </row>
    <row r="389" spans="1:14" x14ac:dyDescent="0.35">
      <c r="A389">
        <v>388</v>
      </c>
      <c r="B389" t="s">
        <v>430</v>
      </c>
      <c r="C389" t="s">
        <v>57</v>
      </c>
      <c r="D389" t="s">
        <v>33</v>
      </c>
      <c r="E389" t="s">
        <v>60</v>
      </c>
      <c r="F389">
        <v>2009</v>
      </c>
      <c r="G389">
        <v>75</v>
      </c>
      <c r="H389">
        <v>0.06</v>
      </c>
      <c r="I389">
        <v>0.02</v>
      </c>
      <c r="J389">
        <v>0.02</v>
      </c>
      <c r="K389">
        <v>0.01</v>
      </c>
      <c r="L389">
        <v>0.01</v>
      </c>
      <c r="M389" t="s">
        <v>24</v>
      </c>
      <c r="N389" t="s">
        <v>1070</v>
      </c>
    </row>
    <row r="390" spans="1:14" x14ac:dyDescent="0.35">
      <c r="A390">
        <v>389</v>
      </c>
      <c r="B390" t="s">
        <v>431</v>
      </c>
      <c r="C390" t="s">
        <v>31</v>
      </c>
      <c r="D390" t="s">
        <v>48</v>
      </c>
      <c r="E390" t="s">
        <v>52</v>
      </c>
      <c r="F390">
        <v>2003</v>
      </c>
      <c r="G390">
        <v>68</v>
      </c>
      <c r="H390">
        <v>1.49</v>
      </c>
      <c r="I390">
        <v>0.75</v>
      </c>
      <c r="J390">
        <v>0.32</v>
      </c>
      <c r="K390">
        <v>0.09</v>
      </c>
      <c r="L390">
        <v>0.33</v>
      </c>
      <c r="M390" t="s">
        <v>17</v>
      </c>
      <c r="N390" t="s">
        <v>1071</v>
      </c>
    </row>
    <row r="391" spans="1:14" x14ac:dyDescent="0.35">
      <c r="A391">
        <v>390</v>
      </c>
      <c r="B391" t="s">
        <v>432</v>
      </c>
      <c r="C391" t="s">
        <v>57</v>
      </c>
      <c r="D391" t="s">
        <v>2</v>
      </c>
      <c r="E391" t="s">
        <v>20</v>
      </c>
      <c r="F391">
        <v>2011</v>
      </c>
      <c r="G391">
        <v>85</v>
      </c>
      <c r="H391">
        <v>0.36</v>
      </c>
      <c r="I391">
        <v>0.19</v>
      </c>
      <c r="J391">
        <v>0.12</v>
      </c>
      <c r="K391">
        <v>0.05</v>
      </c>
      <c r="L391">
        <v>0</v>
      </c>
      <c r="M391" t="s">
        <v>24</v>
      </c>
      <c r="N391" t="s">
        <v>1069</v>
      </c>
    </row>
    <row r="392" spans="1:14" x14ac:dyDescent="0.35">
      <c r="A392">
        <v>391</v>
      </c>
      <c r="B392" t="s">
        <v>433</v>
      </c>
      <c r="C392" t="s">
        <v>14</v>
      </c>
      <c r="D392" t="s">
        <v>37</v>
      </c>
      <c r="E392" t="s">
        <v>60</v>
      </c>
      <c r="F392">
        <v>2013</v>
      </c>
      <c r="G392">
        <v>69</v>
      </c>
      <c r="H392">
        <v>0.92</v>
      </c>
      <c r="I392">
        <v>0.42</v>
      </c>
      <c r="J392">
        <v>0.24</v>
      </c>
      <c r="K392">
        <v>0.18</v>
      </c>
      <c r="L392">
        <v>0.08</v>
      </c>
      <c r="M392" t="s">
        <v>17</v>
      </c>
      <c r="N392" t="s">
        <v>1071</v>
      </c>
    </row>
    <row r="393" spans="1:14" x14ac:dyDescent="0.35">
      <c r="A393">
        <v>392</v>
      </c>
      <c r="B393" t="s">
        <v>434</v>
      </c>
      <c r="C393" t="s">
        <v>59</v>
      </c>
      <c r="D393" t="s">
        <v>29</v>
      </c>
      <c r="E393" t="s">
        <v>41</v>
      </c>
      <c r="F393">
        <v>1999</v>
      </c>
      <c r="G393">
        <v>62</v>
      </c>
      <c r="H393">
        <v>0.71</v>
      </c>
      <c r="I393">
        <v>0.35</v>
      </c>
      <c r="J393">
        <v>0.14000000000000001</v>
      </c>
      <c r="K393">
        <v>0.06</v>
      </c>
      <c r="L393">
        <v>0.16</v>
      </c>
      <c r="M393" t="s">
        <v>17</v>
      </c>
      <c r="N393" t="s">
        <v>1071</v>
      </c>
    </row>
    <row r="394" spans="1:14" x14ac:dyDescent="0.35">
      <c r="A394">
        <v>393</v>
      </c>
      <c r="B394" t="s">
        <v>435</v>
      </c>
      <c r="C394" t="s">
        <v>23</v>
      </c>
      <c r="D394" t="s">
        <v>29</v>
      </c>
      <c r="E394" t="s">
        <v>43</v>
      </c>
      <c r="F394">
        <v>2020</v>
      </c>
      <c r="G394">
        <v>66</v>
      </c>
      <c r="H394">
        <v>0.81</v>
      </c>
      <c r="I394">
        <v>0.36</v>
      </c>
      <c r="J394">
        <v>0.24</v>
      </c>
      <c r="K394">
        <v>0.08</v>
      </c>
      <c r="L394">
        <v>0.13</v>
      </c>
      <c r="M394" t="s">
        <v>17</v>
      </c>
      <c r="N394" t="s">
        <v>1071</v>
      </c>
    </row>
    <row r="395" spans="1:14" x14ac:dyDescent="0.35">
      <c r="A395">
        <v>394</v>
      </c>
      <c r="B395" t="s">
        <v>436</v>
      </c>
      <c r="C395" t="s">
        <v>19</v>
      </c>
      <c r="D395" t="s">
        <v>48</v>
      </c>
      <c r="E395" t="s">
        <v>41</v>
      </c>
      <c r="F395">
        <v>2019</v>
      </c>
      <c r="G395">
        <v>80</v>
      </c>
      <c r="H395">
        <v>0.54</v>
      </c>
      <c r="I395">
        <v>0.2</v>
      </c>
      <c r="J395">
        <v>0.15</v>
      </c>
      <c r="K395">
        <v>0.05</v>
      </c>
      <c r="L395">
        <v>0.14000000000000001</v>
      </c>
      <c r="M395" t="s">
        <v>17</v>
      </c>
      <c r="N395" t="s">
        <v>1069</v>
      </c>
    </row>
    <row r="396" spans="1:14" x14ac:dyDescent="0.35">
      <c r="A396">
        <v>395</v>
      </c>
      <c r="B396" t="s">
        <v>437</v>
      </c>
      <c r="C396" t="s">
        <v>59</v>
      </c>
      <c r="D396" t="s">
        <v>51</v>
      </c>
      <c r="E396" t="s">
        <v>52</v>
      </c>
      <c r="F396">
        <v>2000</v>
      </c>
      <c r="G396">
        <v>79</v>
      </c>
      <c r="H396">
        <v>0.82</v>
      </c>
      <c r="I396">
        <v>0.28999999999999998</v>
      </c>
      <c r="J396">
        <v>0.22</v>
      </c>
      <c r="K396">
        <v>0.06</v>
      </c>
      <c r="L396">
        <v>0.25</v>
      </c>
      <c r="M396" t="s">
        <v>17</v>
      </c>
      <c r="N396" t="s">
        <v>1070</v>
      </c>
    </row>
    <row r="397" spans="1:14" x14ac:dyDescent="0.35">
      <c r="A397">
        <v>396</v>
      </c>
      <c r="B397" t="s">
        <v>438</v>
      </c>
      <c r="C397" t="s">
        <v>64</v>
      </c>
      <c r="D397" t="s">
        <v>65</v>
      </c>
      <c r="E397" t="s">
        <v>43</v>
      </c>
      <c r="F397">
        <v>2019</v>
      </c>
      <c r="G397">
        <v>71</v>
      </c>
      <c r="H397">
        <v>0.37</v>
      </c>
      <c r="I397">
        <v>0.16</v>
      </c>
      <c r="J397">
        <v>0.11</v>
      </c>
      <c r="K397">
        <v>0.02</v>
      </c>
      <c r="L397">
        <v>0.08</v>
      </c>
      <c r="M397" t="s">
        <v>24</v>
      </c>
      <c r="N397" t="s">
        <v>1070</v>
      </c>
    </row>
    <row r="398" spans="1:14" x14ac:dyDescent="0.35">
      <c r="A398">
        <v>397</v>
      </c>
      <c r="B398" t="s">
        <v>439</v>
      </c>
      <c r="C398" t="s">
        <v>64</v>
      </c>
      <c r="D398" t="s">
        <v>62</v>
      </c>
      <c r="E398" t="s">
        <v>49</v>
      </c>
      <c r="F398">
        <v>2015</v>
      </c>
      <c r="G398">
        <v>71</v>
      </c>
      <c r="H398">
        <v>0.18</v>
      </c>
      <c r="I398">
        <v>0.1</v>
      </c>
      <c r="J398">
        <v>0.04</v>
      </c>
      <c r="K398">
        <v>0.01</v>
      </c>
      <c r="L398">
        <v>0.03</v>
      </c>
      <c r="M398" t="s">
        <v>24</v>
      </c>
      <c r="N398" t="s">
        <v>1070</v>
      </c>
    </row>
    <row r="399" spans="1:14" x14ac:dyDescent="0.35">
      <c r="A399">
        <v>398</v>
      </c>
      <c r="B399" t="s">
        <v>440</v>
      </c>
      <c r="C399" t="s">
        <v>59</v>
      </c>
      <c r="D399" t="s">
        <v>2</v>
      </c>
      <c r="E399" t="s">
        <v>52</v>
      </c>
      <c r="F399">
        <v>1997</v>
      </c>
      <c r="G399">
        <v>96</v>
      </c>
      <c r="H399">
        <v>0.54</v>
      </c>
      <c r="I399">
        <v>0.27</v>
      </c>
      <c r="J399">
        <v>0.14000000000000001</v>
      </c>
      <c r="K399">
        <v>0.08</v>
      </c>
      <c r="L399">
        <v>0.05</v>
      </c>
      <c r="M399" t="s">
        <v>17</v>
      </c>
      <c r="N399" t="s">
        <v>1068</v>
      </c>
    </row>
    <row r="400" spans="1:14" x14ac:dyDescent="0.35">
      <c r="A400">
        <v>399</v>
      </c>
      <c r="B400" t="s">
        <v>441</v>
      </c>
      <c r="C400" t="s">
        <v>19</v>
      </c>
      <c r="D400" t="s">
        <v>33</v>
      </c>
      <c r="E400" t="s">
        <v>41</v>
      </c>
      <c r="F400">
        <v>2020</v>
      </c>
      <c r="G400">
        <v>84</v>
      </c>
      <c r="H400">
        <v>1.03</v>
      </c>
      <c r="I400">
        <v>0.4</v>
      </c>
      <c r="J400">
        <v>0.33</v>
      </c>
      <c r="K400">
        <v>0.1</v>
      </c>
      <c r="L400">
        <v>0.2</v>
      </c>
      <c r="M400" t="s">
        <v>17</v>
      </c>
      <c r="N400" t="s">
        <v>1069</v>
      </c>
    </row>
    <row r="401" spans="1:14" x14ac:dyDescent="0.35">
      <c r="A401">
        <v>400</v>
      </c>
      <c r="B401" t="s">
        <v>442</v>
      </c>
      <c r="C401" t="s">
        <v>57</v>
      </c>
      <c r="D401" t="s">
        <v>2</v>
      </c>
      <c r="E401" t="s">
        <v>41</v>
      </c>
      <c r="F401">
        <v>2013</v>
      </c>
      <c r="G401">
        <v>65</v>
      </c>
      <c r="H401">
        <v>0.34</v>
      </c>
      <c r="I401">
        <v>0.16</v>
      </c>
      <c r="J401">
        <v>0.1</v>
      </c>
      <c r="K401">
        <v>0.05</v>
      </c>
      <c r="L401">
        <v>0.03</v>
      </c>
      <c r="M401" t="s">
        <v>24</v>
      </c>
      <c r="N401" t="s">
        <v>1071</v>
      </c>
    </row>
    <row r="402" spans="1:14" x14ac:dyDescent="0.35">
      <c r="A402">
        <v>401</v>
      </c>
      <c r="B402" t="s">
        <v>443</v>
      </c>
      <c r="C402" t="s">
        <v>19</v>
      </c>
      <c r="D402" t="s">
        <v>62</v>
      </c>
      <c r="E402" t="s">
        <v>43</v>
      </c>
      <c r="F402">
        <v>2017</v>
      </c>
      <c r="G402">
        <v>83</v>
      </c>
      <c r="H402">
        <v>0.69</v>
      </c>
      <c r="I402">
        <v>0.24</v>
      </c>
      <c r="J402">
        <v>0.21</v>
      </c>
      <c r="K402">
        <v>0.1</v>
      </c>
      <c r="L402">
        <v>0.14000000000000001</v>
      </c>
      <c r="M402" t="s">
        <v>17</v>
      </c>
      <c r="N402" t="s">
        <v>1069</v>
      </c>
    </row>
    <row r="403" spans="1:14" x14ac:dyDescent="0.35">
      <c r="A403">
        <v>402</v>
      </c>
      <c r="B403" t="s">
        <v>444</v>
      </c>
      <c r="C403" t="s">
        <v>57</v>
      </c>
      <c r="D403" t="s">
        <v>48</v>
      </c>
      <c r="E403" t="s">
        <v>54</v>
      </c>
      <c r="F403">
        <v>2005</v>
      </c>
      <c r="G403">
        <v>61</v>
      </c>
      <c r="H403">
        <v>0.52</v>
      </c>
      <c r="I403">
        <v>0.22</v>
      </c>
      <c r="J403">
        <v>0.16</v>
      </c>
      <c r="K403">
        <v>0.03</v>
      </c>
      <c r="L403">
        <v>0.11</v>
      </c>
      <c r="M403" t="s">
        <v>17</v>
      </c>
      <c r="N403" t="s">
        <v>1071</v>
      </c>
    </row>
    <row r="404" spans="1:14" x14ac:dyDescent="0.35">
      <c r="A404">
        <v>403</v>
      </c>
      <c r="B404" t="s">
        <v>445</v>
      </c>
      <c r="C404" t="s">
        <v>14</v>
      </c>
      <c r="D404" t="s">
        <v>33</v>
      </c>
      <c r="E404" t="s">
        <v>41</v>
      </c>
      <c r="F404">
        <v>2008</v>
      </c>
      <c r="G404">
        <v>70</v>
      </c>
      <c r="H404">
        <v>1.1399999999999999</v>
      </c>
      <c r="I404">
        <v>0.43</v>
      </c>
      <c r="J404">
        <v>0.32</v>
      </c>
      <c r="K404">
        <v>0.09</v>
      </c>
      <c r="L404">
        <v>0.3</v>
      </c>
      <c r="M404" t="s">
        <v>17</v>
      </c>
      <c r="N404" t="s">
        <v>1070</v>
      </c>
    </row>
    <row r="405" spans="1:14" x14ac:dyDescent="0.35">
      <c r="A405">
        <v>404</v>
      </c>
      <c r="B405" t="s">
        <v>446</v>
      </c>
      <c r="C405" t="s">
        <v>59</v>
      </c>
      <c r="D405" t="s">
        <v>29</v>
      </c>
      <c r="E405" t="s">
        <v>43</v>
      </c>
      <c r="F405">
        <v>2000</v>
      </c>
      <c r="G405">
        <v>89</v>
      </c>
      <c r="H405">
        <v>1.79</v>
      </c>
      <c r="I405">
        <v>0.67</v>
      </c>
      <c r="J405">
        <v>0.61</v>
      </c>
      <c r="K405">
        <v>0.23</v>
      </c>
      <c r="L405">
        <v>0.28000000000000003</v>
      </c>
      <c r="M405" t="s">
        <v>17</v>
      </c>
      <c r="N405" t="s">
        <v>1069</v>
      </c>
    </row>
    <row r="406" spans="1:14" x14ac:dyDescent="0.35">
      <c r="A406">
        <v>405</v>
      </c>
      <c r="B406" t="s">
        <v>447</v>
      </c>
      <c r="C406" t="s">
        <v>23</v>
      </c>
      <c r="D406" t="s">
        <v>62</v>
      </c>
      <c r="E406" t="s">
        <v>74</v>
      </c>
      <c r="F406">
        <v>2024</v>
      </c>
      <c r="G406">
        <v>95</v>
      </c>
      <c r="H406">
        <v>1.01</v>
      </c>
      <c r="I406">
        <v>0.42</v>
      </c>
      <c r="J406">
        <v>0.28000000000000003</v>
      </c>
      <c r="K406">
        <v>0.17</v>
      </c>
      <c r="L406">
        <v>0.14000000000000001</v>
      </c>
      <c r="M406" t="s">
        <v>17</v>
      </c>
      <c r="N406" t="s">
        <v>1068</v>
      </c>
    </row>
    <row r="407" spans="1:14" x14ac:dyDescent="0.35">
      <c r="A407">
        <v>406</v>
      </c>
      <c r="B407" t="s">
        <v>448</v>
      </c>
      <c r="C407" t="s">
        <v>19</v>
      </c>
      <c r="D407" t="s">
        <v>29</v>
      </c>
      <c r="E407" t="s">
        <v>41</v>
      </c>
      <c r="F407">
        <v>2017</v>
      </c>
      <c r="G407">
        <v>74</v>
      </c>
      <c r="H407">
        <v>1.29</v>
      </c>
      <c r="I407">
        <v>0.53</v>
      </c>
      <c r="J407">
        <v>0.36</v>
      </c>
      <c r="K407">
        <v>0.2</v>
      </c>
      <c r="L407">
        <v>0.2</v>
      </c>
      <c r="M407" t="s">
        <v>17</v>
      </c>
      <c r="N407" t="s">
        <v>1070</v>
      </c>
    </row>
    <row r="408" spans="1:14" x14ac:dyDescent="0.35">
      <c r="A408">
        <v>407</v>
      </c>
      <c r="B408" t="s">
        <v>449</v>
      </c>
      <c r="C408" t="s">
        <v>19</v>
      </c>
      <c r="D408" t="s">
        <v>51</v>
      </c>
      <c r="E408" t="s">
        <v>20</v>
      </c>
      <c r="F408">
        <v>2020</v>
      </c>
      <c r="G408">
        <v>93</v>
      </c>
      <c r="H408">
        <v>0.57999999999999996</v>
      </c>
      <c r="I408">
        <v>0.27</v>
      </c>
      <c r="J408">
        <v>0.15</v>
      </c>
      <c r="K408">
        <v>0.04</v>
      </c>
      <c r="L408">
        <v>0.12</v>
      </c>
      <c r="M408" t="s">
        <v>17</v>
      </c>
      <c r="N408" t="s">
        <v>1068</v>
      </c>
    </row>
    <row r="409" spans="1:14" x14ac:dyDescent="0.35">
      <c r="A409">
        <v>408</v>
      </c>
      <c r="B409" t="s">
        <v>450</v>
      </c>
      <c r="C409" t="s">
        <v>57</v>
      </c>
      <c r="D409" t="s">
        <v>45</v>
      </c>
      <c r="E409" t="s">
        <v>41</v>
      </c>
      <c r="F409">
        <v>2014</v>
      </c>
      <c r="G409">
        <v>60</v>
      </c>
      <c r="H409">
        <v>0.42</v>
      </c>
      <c r="I409">
        <v>0.21</v>
      </c>
      <c r="J409">
        <v>0.14000000000000001</v>
      </c>
      <c r="K409">
        <v>7.0000000000000007E-2</v>
      </c>
      <c r="L409">
        <v>0</v>
      </c>
      <c r="M409" t="s">
        <v>24</v>
      </c>
      <c r="N409" t="s">
        <v>1071</v>
      </c>
    </row>
    <row r="410" spans="1:14" x14ac:dyDescent="0.35">
      <c r="A410">
        <v>409</v>
      </c>
      <c r="B410" t="s">
        <v>451</v>
      </c>
      <c r="C410" t="s">
        <v>57</v>
      </c>
      <c r="D410" t="s">
        <v>51</v>
      </c>
      <c r="E410" t="s">
        <v>60</v>
      </c>
      <c r="F410">
        <v>2008</v>
      </c>
      <c r="G410">
        <v>67</v>
      </c>
      <c r="H410">
        <v>0.93</v>
      </c>
      <c r="I410">
        <v>0.38</v>
      </c>
      <c r="J410">
        <v>0.27</v>
      </c>
      <c r="K410">
        <v>0.13</v>
      </c>
      <c r="L410">
        <v>0.15</v>
      </c>
      <c r="M410" t="s">
        <v>17</v>
      </c>
      <c r="N410" t="s">
        <v>1071</v>
      </c>
    </row>
    <row r="411" spans="1:14" x14ac:dyDescent="0.35">
      <c r="A411">
        <v>410</v>
      </c>
      <c r="B411" t="s">
        <v>452</v>
      </c>
      <c r="C411" t="s">
        <v>14</v>
      </c>
      <c r="D411" t="s">
        <v>48</v>
      </c>
      <c r="E411" t="s">
        <v>43</v>
      </c>
      <c r="F411">
        <v>2013</v>
      </c>
      <c r="G411">
        <v>58</v>
      </c>
      <c r="H411">
        <v>1.63</v>
      </c>
      <c r="I411">
        <v>0.61</v>
      </c>
      <c r="J411">
        <v>0.43</v>
      </c>
      <c r="K411">
        <v>0.08</v>
      </c>
      <c r="L411">
        <v>0.51</v>
      </c>
      <c r="M411" t="s">
        <v>17</v>
      </c>
      <c r="N411" t="s">
        <v>1071</v>
      </c>
    </row>
    <row r="412" spans="1:14" x14ac:dyDescent="0.35">
      <c r="A412">
        <v>411</v>
      </c>
      <c r="B412" t="s">
        <v>453</v>
      </c>
      <c r="C412" t="s">
        <v>59</v>
      </c>
      <c r="D412" t="s">
        <v>15</v>
      </c>
      <c r="E412" t="s">
        <v>16</v>
      </c>
      <c r="F412">
        <v>1996</v>
      </c>
      <c r="G412">
        <v>81</v>
      </c>
      <c r="H412">
        <v>0.09</v>
      </c>
      <c r="I412">
        <v>0.05</v>
      </c>
      <c r="J412">
        <v>0.02</v>
      </c>
      <c r="K412">
        <v>0.02</v>
      </c>
      <c r="L412">
        <v>0</v>
      </c>
      <c r="M412" t="s">
        <v>24</v>
      </c>
      <c r="N412" t="s">
        <v>1069</v>
      </c>
    </row>
    <row r="413" spans="1:14" x14ac:dyDescent="0.35">
      <c r="A413">
        <v>412</v>
      </c>
      <c r="B413" t="s">
        <v>454</v>
      </c>
      <c r="C413" t="s">
        <v>14</v>
      </c>
      <c r="D413" t="s">
        <v>37</v>
      </c>
      <c r="E413" t="s">
        <v>20</v>
      </c>
      <c r="F413">
        <v>2007</v>
      </c>
      <c r="G413">
        <v>59</v>
      </c>
      <c r="H413">
        <v>0.64</v>
      </c>
      <c r="I413">
        <v>0.34</v>
      </c>
      <c r="J413">
        <v>0.15</v>
      </c>
      <c r="K413">
        <v>7.0000000000000007E-2</v>
      </c>
      <c r="L413">
        <v>0.08</v>
      </c>
      <c r="M413" t="s">
        <v>17</v>
      </c>
      <c r="N413" t="s">
        <v>1071</v>
      </c>
    </row>
    <row r="414" spans="1:14" x14ac:dyDescent="0.35">
      <c r="A414">
        <v>413</v>
      </c>
      <c r="B414" t="s">
        <v>455</v>
      </c>
      <c r="C414" t="s">
        <v>59</v>
      </c>
      <c r="D414" t="s">
        <v>48</v>
      </c>
      <c r="E414" t="s">
        <v>41</v>
      </c>
      <c r="F414">
        <v>1995</v>
      </c>
      <c r="G414">
        <v>57</v>
      </c>
      <c r="H414">
        <v>7.0000000000000007E-2</v>
      </c>
      <c r="I414">
        <v>0.03</v>
      </c>
      <c r="J414">
        <v>0.02</v>
      </c>
      <c r="K414">
        <v>0.01</v>
      </c>
      <c r="L414">
        <v>0.01</v>
      </c>
      <c r="M414" t="s">
        <v>24</v>
      </c>
      <c r="N414" t="s">
        <v>1071</v>
      </c>
    </row>
    <row r="415" spans="1:14" x14ac:dyDescent="0.35">
      <c r="A415">
        <v>414</v>
      </c>
      <c r="B415" t="s">
        <v>456</v>
      </c>
      <c r="C415" t="s">
        <v>19</v>
      </c>
      <c r="D415" t="s">
        <v>29</v>
      </c>
      <c r="E415" t="s">
        <v>54</v>
      </c>
      <c r="F415">
        <v>2017</v>
      </c>
      <c r="G415">
        <v>88</v>
      </c>
      <c r="H415">
        <v>0.26</v>
      </c>
      <c r="I415">
        <v>0.11</v>
      </c>
      <c r="J415">
        <v>7.0000000000000007E-2</v>
      </c>
      <c r="K415">
        <v>0.02</v>
      </c>
      <c r="L415">
        <v>0.06</v>
      </c>
      <c r="M415" t="s">
        <v>24</v>
      </c>
      <c r="N415" t="s">
        <v>1069</v>
      </c>
    </row>
    <row r="416" spans="1:14" x14ac:dyDescent="0.35">
      <c r="A416">
        <v>415</v>
      </c>
      <c r="B416" t="s">
        <v>457</v>
      </c>
      <c r="C416" t="s">
        <v>57</v>
      </c>
      <c r="D416" t="s">
        <v>33</v>
      </c>
      <c r="E416" t="s">
        <v>52</v>
      </c>
      <c r="F416">
        <v>2007</v>
      </c>
      <c r="G416">
        <v>55</v>
      </c>
      <c r="H416">
        <v>0.24</v>
      </c>
      <c r="I416">
        <v>0.09</v>
      </c>
      <c r="J416">
        <v>0.08</v>
      </c>
      <c r="K416">
        <v>0.01</v>
      </c>
      <c r="L416">
        <v>0.06</v>
      </c>
      <c r="M416" t="s">
        <v>24</v>
      </c>
      <c r="N416" t="s">
        <v>1071</v>
      </c>
    </row>
    <row r="417" spans="1:14" x14ac:dyDescent="0.35">
      <c r="A417">
        <v>416</v>
      </c>
      <c r="B417" t="s">
        <v>458</v>
      </c>
      <c r="C417" t="s">
        <v>59</v>
      </c>
      <c r="D417" t="s">
        <v>62</v>
      </c>
      <c r="E417" t="s">
        <v>74</v>
      </c>
      <c r="F417">
        <v>1999</v>
      </c>
      <c r="G417">
        <v>60</v>
      </c>
      <c r="H417">
        <v>0.19</v>
      </c>
      <c r="I417">
        <v>0.09</v>
      </c>
      <c r="J417">
        <v>0.05</v>
      </c>
      <c r="K417">
        <v>0.04</v>
      </c>
      <c r="L417">
        <v>0.01</v>
      </c>
      <c r="M417" t="s">
        <v>24</v>
      </c>
      <c r="N417" t="s">
        <v>1071</v>
      </c>
    </row>
    <row r="418" spans="1:14" x14ac:dyDescent="0.35">
      <c r="A418">
        <v>417</v>
      </c>
      <c r="B418" t="s">
        <v>459</v>
      </c>
      <c r="C418" t="s">
        <v>64</v>
      </c>
      <c r="D418" t="s">
        <v>15</v>
      </c>
      <c r="E418" t="s">
        <v>43</v>
      </c>
      <c r="F418">
        <v>2011</v>
      </c>
      <c r="G418">
        <v>61</v>
      </c>
      <c r="H418">
        <v>0.14000000000000001</v>
      </c>
      <c r="I418">
        <v>0.08</v>
      </c>
      <c r="J418">
        <v>0.04</v>
      </c>
      <c r="K418">
        <v>0.02</v>
      </c>
      <c r="L418">
        <v>0</v>
      </c>
      <c r="M418" t="s">
        <v>24</v>
      </c>
      <c r="N418" t="s">
        <v>1071</v>
      </c>
    </row>
    <row r="419" spans="1:14" x14ac:dyDescent="0.35">
      <c r="A419">
        <v>418</v>
      </c>
      <c r="B419" t="s">
        <v>460</v>
      </c>
      <c r="C419" t="s">
        <v>64</v>
      </c>
      <c r="D419" t="s">
        <v>48</v>
      </c>
      <c r="E419" t="s">
        <v>20</v>
      </c>
      <c r="F419">
        <v>2018</v>
      </c>
      <c r="G419">
        <v>63</v>
      </c>
      <c r="H419">
        <v>0.61</v>
      </c>
      <c r="I419">
        <v>0.28000000000000003</v>
      </c>
      <c r="J419">
        <v>0.17</v>
      </c>
      <c r="K419">
        <v>0.08</v>
      </c>
      <c r="L419">
        <v>0.08</v>
      </c>
      <c r="M419" t="s">
        <v>17</v>
      </c>
      <c r="N419" t="s">
        <v>1071</v>
      </c>
    </row>
    <row r="420" spans="1:14" x14ac:dyDescent="0.35">
      <c r="A420">
        <v>419</v>
      </c>
      <c r="B420" t="s">
        <v>461</v>
      </c>
      <c r="C420" t="s">
        <v>23</v>
      </c>
      <c r="D420" t="s">
        <v>29</v>
      </c>
      <c r="E420" t="s">
        <v>16</v>
      </c>
      <c r="F420">
        <v>2022</v>
      </c>
      <c r="G420">
        <v>90</v>
      </c>
      <c r="H420">
        <v>0.24</v>
      </c>
      <c r="I420">
        <v>0.11</v>
      </c>
      <c r="J420">
        <v>0.08</v>
      </c>
      <c r="K420">
        <v>0.03</v>
      </c>
      <c r="L420">
        <v>0.02</v>
      </c>
      <c r="M420" t="s">
        <v>24</v>
      </c>
      <c r="N420" t="s">
        <v>1068</v>
      </c>
    </row>
    <row r="421" spans="1:14" x14ac:dyDescent="0.35">
      <c r="A421">
        <v>420</v>
      </c>
      <c r="B421" t="s">
        <v>462</v>
      </c>
      <c r="C421" t="s">
        <v>19</v>
      </c>
      <c r="D421" t="s">
        <v>65</v>
      </c>
      <c r="E421" t="s">
        <v>41</v>
      </c>
      <c r="F421">
        <v>2013</v>
      </c>
      <c r="G421">
        <v>94</v>
      </c>
      <c r="H421">
        <v>0.19</v>
      </c>
      <c r="I421">
        <v>0.09</v>
      </c>
      <c r="J421">
        <v>0.05</v>
      </c>
      <c r="K421">
        <v>0.02</v>
      </c>
      <c r="L421">
        <v>0.03</v>
      </c>
      <c r="M421" t="s">
        <v>24</v>
      </c>
      <c r="N421" t="s">
        <v>1068</v>
      </c>
    </row>
    <row r="422" spans="1:14" x14ac:dyDescent="0.35">
      <c r="A422">
        <v>421</v>
      </c>
      <c r="B422" t="s">
        <v>463</v>
      </c>
      <c r="C422" t="s">
        <v>23</v>
      </c>
      <c r="D422" t="s">
        <v>62</v>
      </c>
      <c r="E422" t="s">
        <v>60</v>
      </c>
      <c r="F422">
        <v>2025</v>
      </c>
      <c r="G422">
        <v>73</v>
      </c>
      <c r="H422">
        <v>0.34</v>
      </c>
      <c r="I422">
        <v>0.13</v>
      </c>
      <c r="J422">
        <v>0.09</v>
      </c>
      <c r="K422">
        <v>0.02</v>
      </c>
      <c r="L422">
        <v>0.1</v>
      </c>
      <c r="M422" t="s">
        <v>24</v>
      </c>
      <c r="N422" t="s">
        <v>1070</v>
      </c>
    </row>
    <row r="423" spans="1:14" x14ac:dyDescent="0.35">
      <c r="A423">
        <v>422</v>
      </c>
      <c r="B423" t="s">
        <v>464</v>
      </c>
      <c r="C423" t="s">
        <v>64</v>
      </c>
      <c r="D423" t="s">
        <v>37</v>
      </c>
      <c r="E423" t="s">
        <v>20</v>
      </c>
      <c r="F423">
        <v>2013</v>
      </c>
      <c r="G423">
        <v>86</v>
      </c>
      <c r="H423">
        <v>0.42</v>
      </c>
      <c r="I423">
        <v>0.19</v>
      </c>
      <c r="J423">
        <v>0.12</v>
      </c>
      <c r="K423">
        <v>0.06</v>
      </c>
      <c r="L423">
        <v>0.05</v>
      </c>
      <c r="M423" t="s">
        <v>24</v>
      </c>
      <c r="N423" t="s">
        <v>1069</v>
      </c>
    </row>
    <row r="424" spans="1:14" x14ac:dyDescent="0.35">
      <c r="A424">
        <v>423</v>
      </c>
      <c r="B424" t="s">
        <v>465</v>
      </c>
      <c r="C424" t="s">
        <v>59</v>
      </c>
      <c r="D424" t="s">
        <v>48</v>
      </c>
      <c r="E424" t="s">
        <v>74</v>
      </c>
      <c r="F424">
        <v>1997</v>
      </c>
      <c r="G424">
        <v>68</v>
      </c>
      <c r="H424">
        <v>1.06</v>
      </c>
      <c r="I424">
        <v>0.51</v>
      </c>
      <c r="J424">
        <v>0.27</v>
      </c>
      <c r="K424">
        <v>0.17</v>
      </c>
      <c r="L424">
        <v>0.11</v>
      </c>
      <c r="M424" t="s">
        <v>17</v>
      </c>
      <c r="N424" t="s">
        <v>1071</v>
      </c>
    </row>
    <row r="425" spans="1:14" x14ac:dyDescent="0.35">
      <c r="A425">
        <v>424</v>
      </c>
      <c r="B425" t="s">
        <v>466</v>
      </c>
      <c r="C425" t="s">
        <v>19</v>
      </c>
      <c r="D425" t="s">
        <v>15</v>
      </c>
      <c r="E425" t="s">
        <v>74</v>
      </c>
      <c r="F425">
        <v>2018</v>
      </c>
      <c r="G425">
        <v>57</v>
      </c>
      <c r="H425">
        <v>7.21</v>
      </c>
      <c r="I425">
        <v>2.64</v>
      </c>
      <c r="J425">
        <v>1.68</v>
      </c>
      <c r="K425">
        <v>0.92</v>
      </c>
      <c r="L425">
        <v>1.97</v>
      </c>
      <c r="M425" t="s">
        <v>21</v>
      </c>
      <c r="N425" t="s">
        <v>1071</v>
      </c>
    </row>
    <row r="426" spans="1:14" x14ac:dyDescent="0.35">
      <c r="A426">
        <v>425</v>
      </c>
      <c r="B426" t="s">
        <v>467</v>
      </c>
      <c r="C426" t="s">
        <v>59</v>
      </c>
      <c r="D426" t="s">
        <v>48</v>
      </c>
      <c r="E426" t="s">
        <v>60</v>
      </c>
      <c r="F426">
        <v>2000</v>
      </c>
      <c r="G426">
        <v>67</v>
      </c>
      <c r="H426">
        <v>0.43</v>
      </c>
      <c r="I426">
        <v>0.2</v>
      </c>
      <c r="J426">
        <v>0.1</v>
      </c>
      <c r="K426">
        <v>7.0000000000000007E-2</v>
      </c>
      <c r="L426">
        <v>0.06</v>
      </c>
      <c r="M426" t="s">
        <v>24</v>
      </c>
      <c r="N426" t="s">
        <v>1071</v>
      </c>
    </row>
    <row r="427" spans="1:14" x14ac:dyDescent="0.35">
      <c r="A427">
        <v>426</v>
      </c>
      <c r="B427" t="s">
        <v>468</v>
      </c>
      <c r="C427" t="s">
        <v>19</v>
      </c>
      <c r="D427" t="s">
        <v>2</v>
      </c>
      <c r="E427" t="s">
        <v>43</v>
      </c>
      <c r="F427">
        <v>2014</v>
      </c>
      <c r="G427">
        <v>61</v>
      </c>
      <c r="H427">
        <v>0.43</v>
      </c>
      <c r="I427">
        <v>0.19</v>
      </c>
      <c r="J427">
        <v>0.11</v>
      </c>
      <c r="K427">
        <v>0.03</v>
      </c>
      <c r="L427">
        <v>0.1</v>
      </c>
      <c r="M427" t="s">
        <v>24</v>
      </c>
      <c r="N427" t="s">
        <v>1071</v>
      </c>
    </row>
    <row r="428" spans="1:14" x14ac:dyDescent="0.35">
      <c r="A428">
        <v>427</v>
      </c>
      <c r="B428" t="s">
        <v>469</v>
      </c>
      <c r="C428" t="s">
        <v>23</v>
      </c>
      <c r="D428" t="s">
        <v>29</v>
      </c>
      <c r="E428" t="s">
        <v>43</v>
      </c>
      <c r="F428">
        <v>2023</v>
      </c>
      <c r="G428">
        <v>78</v>
      </c>
      <c r="H428">
        <v>0.51</v>
      </c>
      <c r="I428">
        <v>0.26</v>
      </c>
      <c r="J428">
        <v>0.13</v>
      </c>
      <c r="K428">
        <v>0.04</v>
      </c>
      <c r="L428">
        <v>0.08</v>
      </c>
      <c r="M428" t="s">
        <v>17</v>
      </c>
      <c r="N428" t="s">
        <v>1070</v>
      </c>
    </row>
    <row r="429" spans="1:14" x14ac:dyDescent="0.35">
      <c r="A429">
        <v>428</v>
      </c>
      <c r="B429" t="s">
        <v>470</v>
      </c>
      <c r="C429" t="s">
        <v>23</v>
      </c>
      <c r="D429" t="s">
        <v>45</v>
      </c>
      <c r="E429" t="s">
        <v>60</v>
      </c>
      <c r="F429">
        <v>2021</v>
      </c>
      <c r="G429">
        <v>83</v>
      </c>
      <c r="H429">
        <v>0.64</v>
      </c>
      <c r="I429">
        <v>0.32</v>
      </c>
      <c r="J429">
        <v>0.22</v>
      </c>
      <c r="K429">
        <v>0.09</v>
      </c>
      <c r="L429">
        <v>0.01</v>
      </c>
      <c r="M429" t="s">
        <v>17</v>
      </c>
      <c r="N429" t="s">
        <v>1069</v>
      </c>
    </row>
    <row r="430" spans="1:14" x14ac:dyDescent="0.35">
      <c r="A430">
        <v>429</v>
      </c>
      <c r="B430" t="s">
        <v>471</v>
      </c>
      <c r="C430" t="s">
        <v>23</v>
      </c>
      <c r="D430" t="s">
        <v>51</v>
      </c>
      <c r="E430" t="s">
        <v>20</v>
      </c>
      <c r="F430">
        <v>2021</v>
      </c>
      <c r="G430">
        <v>68</v>
      </c>
      <c r="H430">
        <v>3.66</v>
      </c>
      <c r="I430">
        <v>1.48</v>
      </c>
      <c r="J430">
        <v>1.04</v>
      </c>
      <c r="K430">
        <v>0.49</v>
      </c>
      <c r="L430">
        <v>0.65</v>
      </c>
      <c r="M430" t="s">
        <v>27</v>
      </c>
      <c r="N430" t="s">
        <v>1071</v>
      </c>
    </row>
    <row r="431" spans="1:14" x14ac:dyDescent="0.35">
      <c r="A431">
        <v>430</v>
      </c>
      <c r="B431" t="s">
        <v>472</v>
      </c>
      <c r="C431" t="s">
        <v>23</v>
      </c>
      <c r="D431" t="s">
        <v>33</v>
      </c>
      <c r="E431" t="s">
        <v>20</v>
      </c>
      <c r="F431">
        <v>2021</v>
      </c>
      <c r="G431">
        <v>64</v>
      </c>
      <c r="H431">
        <v>0.3</v>
      </c>
      <c r="I431">
        <v>0.14000000000000001</v>
      </c>
      <c r="J431">
        <v>7.0000000000000007E-2</v>
      </c>
      <c r="K431">
        <v>0.05</v>
      </c>
      <c r="L431">
        <v>0.04</v>
      </c>
      <c r="M431" t="s">
        <v>24</v>
      </c>
      <c r="N431" t="s">
        <v>1071</v>
      </c>
    </row>
    <row r="432" spans="1:14" x14ac:dyDescent="0.35">
      <c r="A432">
        <v>431</v>
      </c>
      <c r="B432" t="s">
        <v>473</v>
      </c>
      <c r="C432" t="s">
        <v>59</v>
      </c>
      <c r="D432" t="s">
        <v>45</v>
      </c>
      <c r="E432" t="s">
        <v>74</v>
      </c>
      <c r="F432">
        <v>1999</v>
      </c>
      <c r="G432">
        <v>75</v>
      </c>
      <c r="H432">
        <v>0.7</v>
      </c>
      <c r="I432">
        <v>0.36</v>
      </c>
      <c r="J432">
        <v>0.21</v>
      </c>
      <c r="K432">
        <v>0.1</v>
      </c>
      <c r="L432">
        <v>0.03</v>
      </c>
      <c r="M432" t="s">
        <v>17</v>
      </c>
      <c r="N432" t="s">
        <v>1070</v>
      </c>
    </row>
    <row r="433" spans="1:14" x14ac:dyDescent="0.35">
      <c r="A433">
        <v>432</v>
      </c>
      <c r="B433" t="s">
        <v>474</v>
      </c>
      <c r="C433" t="s">
        <v>59</v>
      </c>
      <c r="D433" t="s">
        <v>51</v>
      </c>
      <c r="E433" t="s">
        <v>20</v>
      </c>
      <c r="F433">
        <v>1999</v>
      </c>
      <c r="G433">
        <v>60</v>
      </c>
      <c r="H433">
        <v>0.05</v>
      </c>
      <c r="I433">
        <v>0.02</v>
      </c>
      <c r="J433">
        <v>0.02</v>
      </c>
      <c r="K433">
        <v>0</v>
      </c>
      <c r="L433">
        <v>0.01</v>
      </c>
      <c r="M433" t="s">
        <v>24</v>
      </c>
      <c r="N433" t="s">
        <v>1071</v>
      </c>
    </row>
    <row r="434" spans="1:14" x14ac:dyDescent="0.35">
      <c r="A434">
        <v>433</v>
      </c>
      <c r="B434" t="s">
        <v>475</v>
      </c>
      <c r="C434" t="s">
        <v>64</v>
      </c>
      <c r="D434" t="s">
        <v>2</v>
      </c>
      <c r="E434" t="s">
        <v>20</v>
      </c>
      <c r="F434">
        <v>2014</v>
      </c>
      <c r="G434">
        <v>74</v>
      </c>
      <c r="H434">
        <v>0.31</v>
      </c>
      <c r="I434">
        <v>0.14000000000000001</v>
      </c>
      <c r="J434">
        <v>0.08</v>
      </c>
      <c r="K434">
        <v>0.05</v>
      </c>
      <c r="L434">
        <v>0.04</v>
      </c>
      <c r="M434" t="s">
        <v>24</v>
      </c>
      <c r="N434" t="s">
        <v>1070</v>
      </c>
    </row>
    <row r="435" spans="1:14" x14ac:dyDescent="0.35">
      <c r="A435">
        <v>434</v>
      </c>
      <c r="B435" t="s">
        <v>476</v>
      </c>
      <c r="C435" t="s">
        <v>31</v>
      </c>
      <c r="D435" t="s">
        <v>45</v>
      </c>
      <c r="E435" t="s">
        <v>16</v>
      </c>
      <c r="F435">
        <v>2000</v>
      </c>
      <c r="G435">
        <v>87</v>
      </c>
      <c r="H435">
        <v>0.22</v>
      </c>
      <c r="I435">
        <v>0.11</v>
      </c>
      <c r="J435">
        <v>0.05</v>
      </c>
      <c r="K435">
        <v>0.02</v>
      </c>
      <c r="L435">
        <v>0.04</v>
      </c>
      <c r="M435" t="s">
        <v>24</v>
      </c>
      <c r="N435" t="s">
        <v>1069</v>
      </c>
    </row>
    <row r="436" spans="1:14" x14ac:dyDescent="0.35">
      <c r="A436">
        <v>435</v>
      </c>
      <c r="B436" t="s">
        <v>477</v>
      </c>
      <c r="C436" t="s">
        <v>19</v>
      </c>
      <c r="D436" t="s">
        <v>65</v>
      </c>
      <c r="E436" t="s">
        <v>41</v>
      </c>
      <c r="F436">
        <v>2013</v>
      </c>
      <c r="G436">
        <v>80</v>
      </c>
      <c r="H436">
        <v>0.82</v>
      </c>
      <c r="I436">
        <v>0.31</v>
      </c>
      <c r="J436">
        <v>0.18</v>
      </c>
      <c r="K436">
        <v>0.11</v>
      </c>
      <c r="L436">
        <v>0.22</v>
      </c>
      <c r="M436" t="s">
        <v>17</v>
      </c>
      <c r="N436" t="s">
        <v>1069</v>
      </c>
    </row>
    <row r="437" spans="1:14" x14ac:dyDescent="0.35">
      <c r="A437">
        <v>436</v>
      </c>
      <c r="B437" t="s">
        <v>478</v>
      </c>
      <c r="C437" t="s">
        <v>19</v>
      </c>
      <c r="D437" t="s">
        <v>2</v>
      </c>
      <c r="E437" t="s">
        <v>52</v>
      </c>
      <c r="F437">
        <v>2019</v>
      </c>
      <c r="G437">
        <v>88</v>
      </c>
      <c r="H437">
        <v>0.53</v>
      </c>
      <c r="I437">
        <v>0.27</v>
      </c>
      <c r="J437">
        <v>0.13</v>
      </c>
      <c r="K437">
        <v>0.1</v>
      </c>
      <c r="L437">
        <v>0.03</v>
      </c>
      <c r="M437" t="s">
        <v>17</v>
      </c>
      <c r="N437" t="s">
        <v>1069</v>
      </c>
    </row>
    <row r="438" spans="1:14" x14ac:dyDescent="0.35">
      <c r="A438">
        <v>437</v>
      </c>
      <c r="B438" t="s">
        <v>479</v>
      </c>
      <c r="C438" t="s">
        <v>59</v>
      </c>
      <c r="D438" t="s">
        <v>45</v>
      </c>
      <c r="E438" t="s">
        <v>41</v>
      </c>
      <c r="F438">
        <v>1995</v>
      </c>
      <c r="G438">
        <v>67</v>
      </c>
      <c r="H438">
        <v>0.2</v>
      </c>
      <c r="I438">
        <v>7.0000000000000007E-2</v>
      </c>
      <c r="J438">
        <v>0.05</v>
      </c>
      <c r="K438">
        <v>0.04</v>
      </c>
      <c r="L438">
        <v>0.04</v>
      </c>
      <c r="M438" t="s">
        <v>24</v>
      </c>
      <c r="N438" t="s">
        <v>1071</v>
      </c>
    </row>
    <row r="439" spans="1:14" x14ac:dyDescent="0.35">
      <c r="A439">
        <v>438</v>
      </c>
      <c r="B439" t="s">
        <v>480</v>
      </c>
      <c r="C439" t="s">
        <v>23</v>
      </c>
      <c r="D439" t="s">
        <v>62</v>
      </c>
      <c r="E439" t="s">
        <v>74</v>
      </c>
      <c r="F439">
        <v>2026</v>
      </c>
      <c r="G439">
        <v>57</v>
      </c>
      <c r="H439">
        <v>1.73</v>
      </c>
      <c r="I439">
        <v>0.84</v>
      </c>
      <c r="J439">
        <v>0.39</v>
      </c>
      <c r="K439">
        <v>0.28000000000000003</v>
      </c>
      <c r="L439">
        <v>0.22</v>
      </c>
      <c r="M439" t="s">
        <v>17</v>
      </c>
      <c r="N439" t="s">
        <v>1071</v>
      </c>
    </row>
    <row r="440" spans="1:14" x14ac:dyDescent="0.35">
      <c r="A440">
        <v>439</v>
      </c>
      <c r="B440" t="s">
        <v>481</v>
      </c>
      <c r="C440" t="s">
        <v>59</v>
      </c>
      <c r="D440" t="s">
        <v>15</v>
      </c>
      <c r="E440" t="s">
        <v>52</v>
      </c>
      <c r="F440">
        <v>1995</v>
      </c>
      <c r="G440">
        <v>73</v>
      </c>
      <c r="H440">
        <v>0.14000000000000001</v>
      </c>
      <c r="I440">
        <v>0.05</v>
      </c>
      <c r="J440">
        <v>0.03</v>
      </c>
      <c r="K440">
        <v>0.02</v>
      </c>
      <c r="L440">
        <v>0.04</v>
      </c>
      <c r="M440" t="s">
        <v>24</v>
      </c>
      <c r="N440" t="s">
        <v>1070</v>
      </c>
    </row>
    <row r="441" spans="1:14" x14ac:dyDescent="0.35">
      <c r="A441">
        <v>440</v>
      </c>
      <c r="B441" t="s">
        <v>482</v>
      </c>
      <c r="C441" t="s">
        <v>31</v>
      </c>
      <c r="D441" t="s">
        <v>65</v>
      </c>
      <c r="E441" t="s">
        <v>46</v>
      </c>
      <c r="F441">
        <v>2004</v>
      </c>
      <c r="G441">
        <v>94</v>
      </c>
      <c r="H441">
        <v>1</v>
      </c>
      <c r="I441">
        <v>0.49</v>
      </c>
      <c r="J441">
        <v>0.2</v>
      </c>
      <c r="K441">
        <v>0.14000000000000001</v>
      </c>
      <c r="L441">
        <v>0.17</v>
      </c>
      <c r="M441" t="s">
        <v>17</v>
      </c>
      <c r="N441" t="s">
        <v>1068</v>
      </c>
    </row>
    <row r="442" spans="1:14" x14ac:dyDescent="0.35">
      <c r="A442">
        <v>441</v>
      </c>
      <c r="B442" t="s">
        <v>483</v>
      </c>
      <c r="C442" t="s">
        <v>57</v>
      </c>
      <c r="D442" t="s">
        <v>15</v>
      </c>
      <c r="E442" t="s">
        <v>46</v>
      </c>
      <c r="F442">
        <v>2012</v>
      </c>
      <c r="G442">
        <v>73</v>
      </c>
      <c r="H442">
        <v>0.1</v>
      </c>
      <c r="I442">
        <v>0.04</v>
      </c>
      <c r="J442">
        <v>0.03</v>
      </c>
      <c r="K442">
        <v>0.02</v>
      </c>
      <c r="L442">
        <v>0.01</v>
      </c>
      <c r="M442" t="s">
        <v>24</v>
      </c>
      <c r="N442" t="s">
        <v>1070</v>
      </c>
    </row>
    <row r="443" spans="1:14" x14ac:dyDescent="0.35">
      <c r="A443">
        <v>442</v>
      </c>
      <c r="B443" t="s">
        <v>484</v>
      </c>
      <c r="C443" t="s">
        <v>59</v>
      </c>
      <c r="D443" t="s">
        <v>51</v>
      </c>
      <c r="E443" t="s">
        <v>43</v>
      </c>
      <c r="F443">
        <v>1998</v>
      </c>
      <c r="G443">
        <v>73</v>
      </c>
      <c r="H443">
        <v>2.04</v>
      </c>
      <c r="I443">
        <v>0.81</v>
      </c>
      <c r="J443">
        <v>0.52</v>
      </c>
      <c r="K443">
        <v>0.4</v>
      </c>
      <c r="L443">
        <v>0.31</v>
      </c>
      <c r="M443" t="s">
        <v>27</v>
      </c>
      <c r="N443" t="s">
        <v>1070</v>
      </c>
    </row>
    <row r="444" spans="1:14" x14ac:dyDescent="0.35">
      <c r="A444">
        <v>443</v>
      </c>
      <c r="B444" t="s">
        <v>485</v>
      </c>
      <c r="C444" t="s">
        <v>59</v>
      </c>
      <c r="D444" t="s">
        <v>62</v>
      </c>
      <c r="E444" t="s">
        <v>74</v>
      </c>
      <c r="F444">
        <v>1997</v>
      </c>
      <c r="G444">
        <v>66</v>
      </c>
      <c r="H444">
        <v>0.56000000000000005</v>
      </c>
      <c r="I444">
        <v>0.2</v>
      </c>
      <c r="J444">
        <v>0.19</v>
      </c>
      <c r="K444">
        <v>0.05</v>
      </c>
      <c r="L444">
        <v>0.12</v>
      </c>
      <c r="M444" t="s">
        <v>17</v>
      </c>
      <c r="N444" t="s">
        <v>1071</v>
      </c>
    </row>
    <row r="445" spans="1:14" x14ac:dyDescent="0.35">
      <c r="A445">
        <v>444</v>
      </c>
      <c r="B445" t="s">
        <v>486</v>
      </c>
      <c r="C445" t="s">
        <v>19</v>
      </c>
      <c r="D445" t="s">
        <v>37</v>
      </c>
      <c r="E445" t="s">
        <v>20</v>
      </c>
      <c r="F445">
        <v>2019</v>
      </c>
      <c r="G445">
        <v>77</v>
      </c>
      <c r="H445">
        <v>1.04</v>
      </c>
      <c r="I445">
        <v>0.56999999999999995</v>
      </c>
      <c r="J445">
        <v>0.28999999999999998</v>
      </c>
      <c r="K445">
        <v>0.18</v>
      </c>
      <c r="L445">
        <v>0</v>
      </c>
      <c r="M445" t="s">
        <v>17</v>
      </c>
      <c r="N445" t="s">
        <v>1070</v>
      </c>
    </row>
    <row r="446" spans="1:14" x14ac:dyDescent="0.35">
      <c r="A446">
        <v>445</v>
      </c>
      <c r="B446" t="s">
        <v>487</v>
      </c>
      <c r="C446" t="s">
        <v>57</v>
      </c>
      <c r="D446" t="s">
        <v>45</v>
      </c>
      <c r="E446" t="s">
        <v>20</v>
      </c>
      <c r="F446">
        <v>2008</v>
      </c>
      <c r="G446">
        <v>69</v>
      </c>
      <c r="H446">
        <v>0.62</v>
      </c>
      <c r="I446">
        <v>0.26</v>
      </c>
      <c r="J446">
        <v>0.21</v>
      </c>
      <c r="K446">
        <v>0.09</v>
      </c>
      <c r="L446">
        <v>0.06</v>
      </c>
      <c r="M446" t="s">
        <v>17</v>
      </c>
      <c r="N446" t="s">
        <v>1071</v>
      </c>
    </row>
    <row r="447" spans="1:14" x14ac:dyDescent="0.35">
      <c r="A447">
        <v>446</v>
      </c>
      <c r="B447" t="s">
        <v>488</v>
      </c>
      <c r="C447" t="s">
        <v>57</v>
      </c>
      <c r="D447" t="s">
        <v>48</v>
      </c>
      <c r="E447" t="s">
        <v>41</v>
      </c>
      <c r="F447">
        <v>2014</v>
      </c>
      <c r="G447">
        <v>64</v>
      </c>
      <c r="H447">
        <v>0.41</v>
      </c>
      <c r="I447">
        <v>0.19</v>
      </c>
      <c r="J447">
        <v>0.11</v>
      </c>
      <c r="K447">
        <v>0.03</v>
      </c>
      <c r="L447">
        <v>0.08</v>
      </c>
      <c r="M447" t="s">
        <v>24</v>
      </c>
      <c r="N447" t="s">
        <v>1071</v>
      </c>
    </row>
    <row r="448" spans="1:14" x14ac:dyDescent="0.35">
      <c r="A448">
        <v>447</v>
      </c>
      <c r="B448" t="s">
        <v>489</v>
      </c>
      <c r="C448" t="s">
        <v>57</v>
      </c>
      <c r="D448" t="s">
        <v>2</v>
      </c>
      <c r="E448" t="s">
        <v>60</v>
      </c>
      <c r="F448">
        <v>2006</v>
      </c>
      <c r="G448">
        <v>74</v>
      </c>
      <c r="H448">
        <v>1.45</v>
      </c>
      <c r="I448">
        <v>0.77</v>
      </c>
      <c r="J448">
        <v>0.46</v>
      </c>
      <c r="K448">
        <v>0.22</v>
      </c>
      <c r="L448">
        <v>0</v>
      </c>
      <c r="M448" t="s">
        <v>17</v>
      </c>
      <c r="N448" t="s">
        <v>1070</v>
      </c>
    </row>
    <row r="449" spans="1:14" x14ac:dyDescent="0.35">
      <c r="A449">
        <v>448</v>
      </c>
      <c r="B449" t="s">
        <v>490</v>
      </c>
      <c r="C449" t="s">
        <v>23</v>
      </c>
      <c r="D449" t="s">
        <v>29</v>
      </c>
      <c r="E449" t="s">
        <v>49</v>
      </c>
      <c r="F449">
        <v>2021</v>
      </c>
      <c r="G449">
        <v>62</v>
      </c>
      <c r="H449">
        <v>2.0499999999999998</v>
      </c>
      <c r="I449">
        <v>1.02</v>
      </c>
      <c r="J449">
        <v>0.66</v>
      </c>
      <c r="K449">
        <v>0.3</v>
      </c>
      <c r="L449">
        <v>7.0000000000000007E-2</v>
      </c>
      <c r="M449" t="s">
        <v>27</v>
      </c>
      <c r="N449" t="s">
        <v>1071</v>
      </c>
    </row>
    <row r="450" spans="1:14" x14ac:dyDescent="0.35">
      <c r="A450">
        <v>449</v>
      </c>
      <c r="B450" t="s">
        <v>491</v>
      </c>
      <c r="C450" t="s">
        <v>57</v>
      </c>
      <c r="D450" t="s">
        <v>37</v>
      </c>
      <c r="E450" t="s">
        <v>52</v>
      </c>
      <c r="F450">
        <v>2008</v>
      </c>
      <c r="G450">
        <v>66</v>
      </c>
      <c r="H450">
        <v>0.76</v>
      </c>
      <c r="I450">
        <v>0.36</v>
      </c>
      <c r="J450">
        <v>0.22</v>
      </c>
      <c r="K450">
        <v>0.06</v>
      </c>
      <c r="L450">
        <v>0.12</v>
      </c>
      <c r="M450" t="s">
        <v>17</v>
      </c>
      <c r="N450" t="s">
        <v>1071</v>
      </c>
    </row>
    <row r="451" spans="1:14" x14ac:dyDescent="0.35">
      <c r="A451">
        <v>450</v>
      </c>
      <c r="B451" t="s">
        <v>492</v>
      </c>
      <c r="C451" t="s">
        <v>59</v>
      </c>
      <c r="D451" t="s">
        <v>33</v>
      </c>
      <c r="E451" t="s">
        <v>16</v>
      </c>
      <c r="F451">
        <v>1997</v>
      </c>
      <c r="G451">
        <v>93</v>
      </c>
      <c r="H451">
        <v>0.35</v>
      </c>
      <c r="I451">
        <v>0.14000000000000001</v>
      </c>
      <c r="J451">
        <v>0.09</v>
      </c>
      <c r="K451">
        <v>0.04</v>
      </c>
      <c r="L451">
        <v>0.08</v>
      </c>
      <c r="M451" t="s">
        <v>24</v>
      </c>
      <c r="N451" t="s">
        <v>1068</v>
      </c>
    </row>
    <row r="452" spans="1:14" x14ac:dyDescent="0.35">
      <c r="A452">
        <v>451</v>
      </c>
      <c r="B452" t="s">
        <v>493</v>
      </c>
      <c r="C452" t="s">
        <v>31</v>
      </c>
      <c r="D452" t="s">
        <v>48</v>
      </c>
      <c r="E452" t="s">
        <v>20</v>
      </c>
      <c r="F452">
        <v>2001</v>
      </c>
      <c r="G452">
        <v>72</v>
      </c>
      <c r="H452">
        <v>1.62</v>
      </c>
      <c r="I452">
        <v>0.78</v>
      </c>
      <c r="J452">
        <v>0.37</v>
      </c>
      <c r="K452">
        <v>0.13</v>
      </c>
      <c r="L452">
        <v>0.34</v>
      </c>
      <c r="M452" t="s">
        <v>17</v>
      </c>
      <c r="N452" t="s">
        <v>1070</v>
      </c>
    </row>
    <row r="453" spans="1:14" x14ac:dyDescent="0.35">
      <c r="A453">
        <v>452</v>
      </c>
      <c r="B453" t="s">
        <v>494</v>
      </c>
      <c r="C453" t="s">
        <v>31</v>
      </c>
      <c r="D453" t="s">
        <v>2</v>
      </c>
      <c r="E453" t="s">
        <v>16</v>
      </c>
      <c r="F453">
        <v>2003</v>
      </c>
      <c r="G453">
        <v>70</v>
      </c>
      <c r="H453">
        <v>0.4</v>
      </c>
      <c r="I453">
        <v>0.19</v>
      </c>
      <c r="J453">
        <v>0.13</v>
      </c>
      <c r="K453">
        <v>0.06</v>
      </c>
      <c r="L453">
        <v>0.02</v>
      </c>
      <c r="M453" t="s">
        <v>24</v>
      </c>
      <c r="N453" t="s">
        <v>1070</v>
      </c>
    </row>
    <row r="454" spans="1:14" x14ac:dyDescent="0.35">
      <c r="A454">
        <v>453</v>
      </c>
      <c r="B454" t="s">
        <v>495</v>
      </c>
      <c r="C454" t="s">
        <v>19</v>
      </c>
      <c r="D454" t="s">
        <v>65</v>
      </c>
      <c r="E454" t="s">
        <v>20</v>
      </c>
      <c r="F454">
        <v>2021</v>
      </c>
      <c r="G454">
        <v>83</v>
      </c>
      <c r="H454">
        <v>0.47</v>
      </c>
      <c r="I454">
        <v>0.25</v>
      </c>
      <c r="J454">
        <v>0.11</v>
      </c>
      <c r="K454">
        <v>0.06</v>
      </c>
      <c r="L454">
        <v>0.05</v>
      </c>
      <c r="M454" t="s">
        <v>24</v>
      </c>
      <c r="N454" t="s">
        <v>1069</v>
      </c>
    </row>
    <row r="455" spans="1:14" x14ac:dyDescent="0.35">
      <c r="A455">
        <v>454</v>
      </c>
      <c r="B455" t="s">
        <v>496</v>
      </c>
      <c r="C455" t="s">
        <v>57</v>
      </c>
      <c r="D455" t="s">
        <v>65</v>
      </c>
      <c r="E455" t="s">
        <v>41</v>
      </c>
      <c r="F455">
        <v>2004</v>
      </c>
      <c r="G455">
        <v>67</v>
      </c>
      <c r="H455">
        <v>0.28000000000000003</v>
      </c>
      <c r="I455">
        <v>0.12</v>
      </c>
      <c r="J455">
        <v>0.09</v>
      </c>
      <c r="K455">
        <v>0.03</v>
      </c>
      <c r="L455">
        <v>0.04</v>
      </c>
      <c r="M455" t="s">
        <v>24</v>
      </c>
      <c r="N455" t="s">
        <v>1071</v>
      </c>
    </row>
    <row r="456" spans="1:14" x14ac:dyDescent="0.35">
      <c r="A456">
        <v>455</v>
      </c>
      <c r="B456" t="s">
        <v>497</v>
      </c>
      <c r="C456" t="s">
        <v>19</v>
      </c>
      <c r="D456" t="s">
        <v>2</v>
      </c>
      <c r="E456" t="s">
        <v>20</v>
      </c>
      <c r="F456">
        <v>2017</v>
      </c>
      <c r="G456">
        <v>84</v>
      </c>
      <c r="H456">
        <v>2.0499999999999998</v>
      </c>
      <c r="I456">
        <v>1.01</v>
      </c>
      <c r="J456">
        <v>0.44</v>
      </c>
      <c r="K456">
        <v>0.34</v>
      </c>
      <c r="L456">
        <v>0.26</v>
      </c>
      <c r="M456" t="s">
        <v>27</v>
      </c>
      <c r="N456" t="s">
        <v>1069</v>
      </c>
    </row>
    <row r="457" spans="1:14" x14ac:dyDescent="0.35">
      <c r="A457">
        <v>456</v>
      </c>
      <c r="B457" t="s">
        <v>498</v>
      </c>
      <c r="C457" t="s">
        <v>57</v>
      </c>
      <c r="D457" t="s">
        <v>37</v>
      </c>
      <c r="E457" t="s">
        <v>41</v>
      </c>
      <c r="F457">
        <v>2012</v>
      </c>
      <c r="G457">
        <v>83</v>
      </c>
      <c r="H457">
        <v>0.13</v>
      </c>
      <c r="I457">
        <v>7.0000000000000007E-2</v>
      </c>
      <c r="J457">
        <v>0.04</v>
      </c>
      <c r="K457">
        <v>0.02</v>
      </c>
      <c r="L457">
        <v>0</v>
      </c>
      <c r="M457" t="s">
        <v>24</v>
      </c>
      <c r="N457" t="s">
        <v>1069</v>
      </c>
    </row>
    <row r="458" spans="1:14" x14ac:dyDescent="0.35">
      <c r="A458">
        <v>457</v>
      </c>
      <c r="B458" t="s">
        <v>499</v>
      </c>
      <c r="C458" t="s">
        <v>59</v>
      </c>
      <c r="D458" t="s">
        <v>29</v>
      </c>
      <c r="E458" t="s">
        <v>54</v>
      </c>
      <c r="F458">
        <v>1997</v>
      </c>
      <c r="G458">
        <v>62</v>
      </c>
      <c r="H458">
        <v>0.97</v>
      </c>
      <c r="I458">
        <v>0.36</v>
      </c>
      <c r="J458">
        <v>0.3</v>
      </c>
      <c r="K458">
        <v>0.15</v>
      </c>
      <c r="L458">
        <v>0.16</v>
      </c>
      <c r="M458" t="s">
        <v>17</v>
      </c>
      <c r="N458" t="s">
        <v>1071</v>
      </c>
    </row>
    <row r="459" spans="1:14" x14ac:dyDescent="0.35">
      <c r="A459">
        <v>458</v>
      </c>
      <c r="B459" t="s">
        <v>500</v>
      </c>
      <c r="C459" t="s">
        <v>23</v>
      </c>
      <c r="D459" t="s">
        <v>37</v>
      </c>
      <c r="E459" t="s">
        <v>41</v>
      </c>
      <c r="F459">
        <v>2024</v>
      </c>
      <c r="G459">
        <v>57</v>
      </c>
      <c r="H459">
        <v>0.99</v>
      </c>
      <c r="I459">
        <v>0.38</v>
      </c>
      <c r="J459">
        <v>0.33</v>
      </c>
      <c r="K459">
        <v>0.08</v>
      </c>
      <c r="L459">
        <v>0.2</v>
      </c>
      <c r="M459" t="s">
        <v>17</v>
      </c>
      <c r="N459" t="s">
        <v>1071</v>
      </c>
    </row>
    <row r="460" spans="1:14" x14ac:dyDescent="0.35">
      <c r="A460">
        <v>459</v>
      </c>
      <c r="B460" t="s">
        <v>501</v>
      </c>
      <c r="C460" t="s">
        <v>57</v>
      </c>
      <c r="D460" t="s">
        <v>45</v>
      </c>
      <c r="E460" t="s">
        <v>46</v>
      </c>
      <c r="F460">
        <v>2004</v>
      </c>
      <c r="G460">
        <v>73</v>
      </c>
      <c r="H460">
        <v>0.6</v>
      </c>
      <c r="I460">
        <v>0.23</v>
      </c>
      <c r="J460">
        <v>0.14000000000000001</v>
      </c>
      <c r="K460">
        <v>0.09</v>
      </c>
      <c r="L460">
        <v>0.14000000000000001</v>
      </c>
      <c r="M460" t="s">
        <v>17</v>
      </c>
      <c r="N460" t="s">
        <v>1070</v>
      </c>
    </row>
    <row r="461" spans="1:14" x14ac:dyDescent="0.35">
      <c r="A461">
        <v>460</v>
      </c>
      <c r="B461" t="s">
        <v>502</v>
      </c>
      <c r="C461" t="s">
        <v>14</v>
      </c>
      <c r="D461" t="s">
        <v>62</v>
      </c>
      <c r="E461" t="s">
        <v>16</v>
      </c>
      <c r="F461">
        <v>2006</v>
      </c>
      <c r="G461">
        <v>55</v>
      </c>
      <c r="H461">
        <v>0.82</v>
      </c>
      <c r="I461">
        <v>0.32</v>
      </c>
      <c r="J461">
        <v>0.25</v>
      </c>
      <c r="K461">
        <v>0.1</v>
      </c>
      <c r="L461">
        <v>0.15</v>
      </c>
      <c r="M461" t="s">
        <v>17</v>
      </c>
      <c r="N461" t="s">
        <v>1071</v>
      </c>
    </row>
    <row r="462" spans="1:14" x14ac:dyDescent="0.35">
      <c r="A462">
        <v>461</v>
      </c>
      <c r="B462" t="s">
        <v>503</v>
      </c>
      <c r="C462" t="s">
        <v>19</v>
      </c>
      <c r="D462" t="s">
        <v>2</v>
      </c>
      <c r="E462" t="s">
        <v>74</v>
      </c>
      <c r="F462">
        <v>2014</v>
      </c>
      <c r="G462">
        <v>90</v>
      </c>
      <c r="H462">
        <v>0.32</v>
      </c>
      <c r="I462">
        <v>0.16</v>
      </c>
      <c r="J462">
        <v>7.0000000000000007E-2</v>
      </c>
      <c r="K462">
        <v>0.02</v>
      </c>
      <c r="L462">
        <v>7.0000000000000007E-2</v>
      </c>
      <c r="M462" t="s">
        <v>24</v>
      </c>
      <c r="N462" t="s">
        <v>1068</v>
      </c>
    </row>
    <row r="463" spans="1:14" x14ac:dyDescent="0.35">
      <c r="A463">
        <v>462</v>
      </c>
      <c r="B463" t="s">
        <v>504</v>
      </c>
      <c r="C463" t="s">
        <v>59</v>
      </c>
      <c r="D463" t="s">
        <v>29</v>
      </c>
      <c r="E463" t="s">
        <v>20</v>
      </c>
      <c r="F463">
        <v>2000</v>
      </c>
      <c r="G463">
        <v>97</v>
      </c>
      <c r="H463">
        <v>0.55000000000000004</v>
      </c>
      <c r="I463">
        <v>0.23</v>
      </c>
      <c r="J463">
        <v>0.12</v>
      </c>
      <c r="K463">
        <v>0.04</v>
      </c>
      <c r="L463">
        <v>0.16</v>
      </c>
      <c r="M463" t="s">
        <v>17</v>
      </c>
      <c r="N463" t="s">
        <v>1068</v>
      </c>
    </row>
    <row r="464" spans="1:14" x14ac:dyDescent="0.35">
      <c r="A464">
        <v>463</v>
      </c>
      <c r="B464" t="s">
        <v>505</v>
      </c>
      <c r="C464" t="s">
        <v>31</v>
      </c>
      <c r="D464" t="s">
        <v>51</v>
      </c>
      <c r="E464" t="s">
        <v>74</v>
      </c>
      <c r="F464">
        <v>2001</v>
      </c>
      <c r="G464">
        <v>90</v>
      </c>
      <c r="H464">
        <v>0.27</v>
      </c>
      <c r="I464">
        <v>0.13</v>
      </c>
      <c r="J464">
        <v>0.09</v>
      </c>
      <c r="K464">
        <v>0.02</v>
      </c>
      <c r="L464">
        <v>0.03</v>
      </c>
      <c r="M464" t="s">
        <v>24</v>
      </c>
      <c r="N464" t="s">
        <v>1068</v>
      </c>
    </row>
    <row r="465" spans="1:14" x14ac:dyDescent="0.35">
      <c r="A465">
        <v>464</v>
      </c>
      <c r="B465" t="s">
        <v>506</v>
      </c>
      <c r="C465" t="s">
        <v>14</v>
      </c>
      <c r="D465" t="s">
        <v>29</v>
      </c>
      <c r="E465" t="s">
        <v>41</v>
      </c>
      <c r="F465">
        <v>2011</v>
      </c>
      <c r="G465">
        <v>90</v>
      </c>
      <c r="H465">
        <v>0.17</v>
      </c>
      <c r="I465">
        <v>0.06</v>
      </c>
      <c r="J465">
        <v>0.06</v>
      </c>
      <c r="K465">
        <v>0.02</v>
      </c>
      <c r="L465">
        <v>0.03</v>
      </c>
      <c r="M465" t="s">
        <v>24</v>
      </c>
      <c r="N465" t="s">
        <v>1068</v>
      </c>
    </row>
    <row r="466" spans="1:14" x14ac:dyDescent="0.35">
      <c r="A466">
        <v>465</v>
      </c>
      <c r="B466" t="s">
        <v>507</v>
      </c>
      <c r="C466" t="s">
        <v>19</v>
      </c>
      <c r="D466" t="s">
        <v>48</v>
      </c>
      <c r="E466" t="s">
        <v>52</v>
      </c>
      <c r="F466">
        <v>2021</v>
      </c>
      <c r="G466">
        <v>61</v>
      </c>
      <c r="H466">
        <v>0.85</v>
      </c>
      <c r="I466">
        <v>0.42</v>
      </c>
      <c r="J466">
        <v>0.25</v>
      </c>
      <c r="K466">
        <v>0.14000000000000001</v>
      </c>
      <c r="L466">
        <v>0.04</v>
      </c>
      <c r="M466" t="s">
        <v>17</v>
      </c>
      <c r="N466" t="s">
        <v>1071</v>
      </c>
    </row>
    <row r="467" spans="1:14" x14ac:dyDescent="0.35">
      <c r="A467">
        <v>466</v>
      </c>
      <c r="B467" t="s">
        <v>508</v>
      </c>
      <c r="C467" t="s">
        <v>57</v>
      </c>
      <c r="D467" t="s">
        <v>45</v>
      </c>
      <c r="E467" t="s">
        <v>74</v>
      </c>
      <c r="F467">
        <v>2008</v>
      </c>
      <c r="G467">
        <v>88</v>
      </c>
      <c r="H467">
        <v>0.65</v>
      </c>
      <c r="I467">
        <v>0.35</v>
      </c>
      <c r="J467">
        <v>0.19</v>
      </c>
      <c r="K467">
        <v>0.08</v>
      </c>
      <c r="L467">
        <v>0.03</v>
      </c>
      <c r="M467" t="s">
        <v>17</v>
      </c>
      <c r="N467" t="s">
        <v>1069</v>
      </c>
    </row>
    <row r="468" spans="1:14" x14ac:dyDescent="0.35">
      <c r="A468">
        <v>467</v>
      </c>
      <c r="B468" t="s">
        <v>509</v>
      </c>
      <c r="C468" t="s">
        <v>57</v>
      </c>
      <c r="D468" t="s">
        <v>62</v>
      </c>
      <c r="E468" t="s">
        <v>16</v>
      </c>
      <c r="F468">
        <v>2014</v>
      </c>
      <c r="G468">
        <v>69</v>
      </c>
      <c r="H468">
        <v>0.62</v>
      </c>
      <c r="I468">
        <v>0.31</v>
      </c>
      <c r="J468">
        <v>0.19</v>
      </c>
      <c r="K468">
        <v>0.12</v>
      </c>
      <c r="L468">
        <v>0</v>
      </c>
      <c r="M468" t="s">
        <v>17</v>
      </c>
      <c r="N468" t="s">
        <v>1071</v>
      </c>
    </row>
    <row r="469" spans="1:14" x14ac:dyDescent="0.35">
      <c r="A469">
        <v>468</v>
      </c>
      <c r="B469" t="s">
        <v>510</v>
      </c>
      <c r="C469" t="s">
        <v>19</v>
      </c>
      <c r="D469" t="s">
        <v>29</v>
      </c>
      <c r="E469" t="s">
        <v>43</v>
      </c>
      <c r="F469">
        <v>2013</v>
      </c>
      <c r="G469">
        <v>55</v>
      </c>
      <c r="H469">
        <v>1.63</v>
      </c>
      <c r="I469">
        <v>0.65</v>
      </c>
      <c r="J469">
        <v>0.34</v>
      </c>
      <c r="K469">
        <v>0.15</v>
      </c>
      <c r="L469">
        <v>0.49</v>
      </c>
      <c r="M469" t="s">
        <v>17</v>
      </c>
      <c r="N469" t="s">
        <v>1071</v>
      </c>
    </row>
    <row r="470" spans="1:14" x14ac:dyDescent="0.35">
      <c r="A470">
        <v>469</v>
      </c>
      <c r="B470" t="s">
        <v>511</v>
      </c>
      <c r="C470" t="s">
        <v>23</v>
      </c>
      <c r="D470" t="s">
        <v>15</v>
      </c>
      <c r="E470" t="s">
        <v>49</v>
      </c>
      <c r="F470">
        <v>2022</v>
      </c>
      <c r="G470">
        <v>80</v>
      </c>
      <c r="H470">
        <v>1.82</v>
      </c>
      <c r="I470">
        <v>0.65</v>
      </c>
      <c r="J470">
        <v>0.41</v>
      </c>
      <c r="K470">
        <v>0.18</v>
      </c>
      <c r="L470">
        <v>0.57999999999999996</v>
      </c>
      <c r="M470" t="s">
        <v>17</v>
      </c>
      <c r="N470" t="s">
        <v>1069</v>
      </c>
    </row>
    <row r="471" spans="1:14" x14ac:dyDescent="0.35">
      <c r="A471">
        <v>470</v>
      </c>
      <c r="B471" t="s">
        <v>512</v>
      </c>
      <c r="C471" t="s">
        <v>14</v>
      </c>
      <c r="D471" t="s">
        <v>62</v>
      </c>
      <c r="E471" t="s">
        <v>20</v>
      </c>
      <c r="F471">
        <v>2013</v>
      </c>
      <c r="G471">
        <v>64</v>
      </c>
      <c r="H471">
        <v>3.64</v>
      </c>
      <c r="I471">
        <v>1.66</v>
      </c>
      <c r="J471">
        <v>0.91</v>
      </c>
      <c r="K471">
        <v>0.61</v>
      </c>
      <c r="L471">
        <v>0.46</v>
      </c>
      <c r="M471" t="s">
        <v>27</v>
      </c>
      <c r="N471" t="s">
        <v>1071</v>
      </c>
    </row>
    <row r="472" spans="1:14" x14ac:dyDescent="0.35">
      <c r="A472">
        <v>471</v>
      </c>
      <c r="B472" t="s">
        <v>513</v>
      </c>
      <c r="C472" t="s">
        <v>19</v>
      </c>
      <c r="D472" t="s">
        <v>65</v>
      </c>
      <c r="E472" t="s">
        <v>46</v>
      </c>
      <c r="F472">
        <v>2013</v>
      </c>
      <c r="G472">
        <v>90</v>
      </c>
      <c r="H472">
        <v>0.87</v>
      </c>
      <c r="I472">
        <v>0.42</v>
      </c>
      <c r="J472">
        <v>0.28000000000000003</v>
      </c>
      <c r="K472">
        <v>0.16</v>
      </c>
      <c r="L472">
        <v>0.01</v>
      </c>
      <c r="M472" t="s">
        <v>17</v>
      </c>
      <c r="N472" t="s">
        <v>1068</v>
      </c>
    </row>
    <row r="473" spans="1:14" x14ac:dyDescent="0.35">
      <c r="A473">
        <v>472</v>
      </c>
      <c r="B473" t="s">
        <v>514</v>
      </c>
      <c r="C473" t="s">
        <v>14</v>
      </c>
      <c r="D473" t="s">
        <v>37</v>
      </c>
      <c r="E473" t="s">
        <v>46</v>
      </c>
      <c r="F473">
        <v>2007</v>
      </c>
      <c r="G473">
        <v>79</v>
      </c>
      <c r="H473">
        <v>2.04</v>
      </c>
      <c r="I473">
        <v>0.95</v>
      </c>
      <c r="J473">
        <v>0.53</v>
      </c>
      <c r="K473">
        <v>0.28000000000000003</v>
      </c>
      <c r="L473">
        <v>0.28000000000000003</v>
      </c>
      <c r="M473" t="s">
        <v>27</v>
      </c>
      <c r="N473" t="s">
        <v>1070</v>
      </c>
    </row>
    <row r="474" spans="1:14" x14ac:dyDescent="0.35">
      <c r="A474">
        <v>473</v>
      </c>
      <c r="B474" t="s">
        <v>515</v>
      </c>
      <c r="C474" t="s">
        <v>64</v>
      </c>
      <c r="D474" t="s">
        <v>29</v>
      </c>
      <c r="E474" t="s">
        <v>20</v>
      </c>
      <c r="F474">
        <v>2015</v>
      </c>
      <c r="G474">
        <v>60</v>
      </c>
      <c r="H474">
        <v>0.28999999999999998</v>
      </c>
      <c r="I474">
        <v>0.13</v>
      </c>
      <c r="J474">
        <v>0.1</v>
      </c>
      <c r="K474">
        <v>0.02</v>
      </c>
      <c r="L474">
        <v>0.04</v>
      </c>
      <c r="M474" t="s">
        <v>24</v>
      </c>
      <c r="N474" t="s">
        <v>1071</v>
      </c>
    </row>
    <row r="475" spans="1:14" x14ac:dyDescent="0.35">
      <c r="A475">
        <v>474</v>
      </c>
      <c r="B475" t="s">
        <v>516</v>
      </c>
      <c r="C475" t="s">
        <v>14</v>
      </c>
      <c r="D475" t="s">
        <v>33</v>
      </c>
      <c r="E475" t="s">
        <v>43</v>
      </c>
      <c r="F475">
        <v>2008</v>
      </c>
      <c r="G475">
        <v>60</v>
      </c>
      <c r="H475">
        <v>0.54</v>
      </c>
      <c r="I475">
        <v>0.24</v>
      </c>
      <c r="J475">
        <v>0.15</v>
      </c>
      <c r="K475">
        <v>0.04</v>
      </c>
      <c r="L475">
        <v>0.11</v>
      </c>
      <c r="M475" t="s">
        <v>17</v>
      </c>
      <c r="N475" t="s">
        <v>1071</v>
      </c>
    </row>
    <row r="476" spans="1:14" x14ac:dyDescent="0.35">
      <c r="A476">
        <v>475</v>
      </c>
      <c r="B476" t="s">
        <v>517</v>
      </c>
      <c r="C476" t="s">
        <v>19</v>
      </c>
      <c r="D476" t="s">
        <v>51</v>
      </c>
      <c r="E476" t="s">
        <v>43</v>
      </c>
      <c r="F476">
        <v>2021</v>
      </c>
      <c r="G476">
        <v>88</v>
      </c>
      <c r="H476">
        <v>1.1100000000000001</v>
      </c>
      <c r="I476">
        <v>0.55000000000000004</v>
      </c>
      <c r="J476">
        <v>0.3</v>
      </c>
      <c r="K476">
        <v>0.17</v>
      </c>
      <c r="L476">
        <v>0.09</v>
      </c>
      <c r="M476" t="s">
        <v>17</v>
      </c>
      <c r="N476" t="s">
        <v>1069</v>
      </c>
    </row>
    <row r="477" spans="1:14" x14ac:dyDescent="0.35">
      <c r="A477">
        <v>476</v>
      </c>
      <c r="B477" t="s">
        <v>518</v>
      </c>
      <c r="C477" t="s">
        <v>23</v>
      </c>
      <c r="D477" t="s">
        <v>15</v>
      </c>
      <c r="E477" t="s">
        <v>46</v>
      </c>
      <c r="F477">
        <v>2020</v>
      </c>
      <c r="G477">
        <v>60</v>
      </c>
      <c r="H477">
        <v>7.0000000000000007E-2</v>
      </c>
      <c r="I477">
        <v>0.03</v>
      </c>
      <c r="J477">
        <v>0.02</v>
      </c>
      <c r="K477">
        <v>0.01</v>
      </c>
      <c r="L477">
        <v>0.01</v>
      </c>
      <c r="M477" t="s">
        <v>24</v>
      </c>
      <c r="N477" t="s">
        <v>1071</v>
      </c>
    </row>
    <row r="478" spans="1:14" x14ac:dyDescent="0.35">
      <c r="A478">
        <v>477</v>
      </c>
      <c r="B478" t="s">
        <v>519</v>
      </c>
      <c r="C478" t="s">
        <v>59</v>
      </c>
      <c r="D478" t="s">
        <v>51</v>
      </c>
      <c r="E478" t="s">
        <v>52</v>
      </c>
      <c r="F478">
        <v>1999</v>
      </c>
      <c r="G478">
        <v>67</v>
      </c>
      <c r="H478">
        <v>0.2</v>
      </c>
      <c r="I478">
        <v>0.1</v>
      </c>
      <c r="J478">
        <v>0.06</v>
      </c>
      <c r="K478">
        <v>0.02</v>
      </c>
      <c r="L478">
        <v>0.02</v>
      </c>
      <c r="M478" t="s">
        <v>24</v>
      </c>
      <c r="N478" t="s">
        <v>1071</v>
      </c>
    </row>
    <row r="479" spans="1:14" x14ac:dyDescent="0.35">
      <c r="A479">
        <v>478</v>
      </c>
      <c r="B479" t="s">
        <v>520</v>
      </c>
      <c r="C479" t="s">
        <v>31</v>
      </c>
      <c r="D479" t="s">
        <v>33</v>
      </c>
      <c r="E479" t="s">
        <v>20</v>
      </c>
      <c r="F479">
        <v>2002</v>
      </c>
      <c r="G479">
        <v>87</v>
      </c>
      <c r="H479">
        <v>0.17</v>
      </c>
      <c r="I479">
        <v>0.08</v>
      </c>
      <c r="J479">
        <v>0.04</v>
      </c>
      <c r="K479">
        <v>0.03</v>
      </c>
      <c r="L479">
        <v>0.02</v>
      </c>
      <c r="M479" t="s">
        <v>24</v>
      </c>
      <c r="N479" t="s">
        <v>1069</v>
      </c>
    </row>
    <row r="480" spans="1:14" x14ac:dyDescent="0.35">
      <c r="A480">
        <v>479</v>
      </c>
      <c r="B480" t="s">
        <v>521</v>
      </c>
      <c r="C480" t="s">
        <v>64</v>
      </c>
      <c r="D480" t="s">
        <v>2</v>
      </c>
      <c r="E480" t="s">
        <v>52</v>
      </c>
      <c r="F480">
        <v>2015</v>
      </c>
      <c r="G480">
        <v>74</v>
      </c>
      <c r="H480">
        <v>0.38</v>
      </c>
      <c r="I480">
        <v>0.17</v>
      </c>
      <c r="J480">
        <v>0.08</v>
      </c>
      <c r="K480">
        <v>0.05</v>
      </c>
      <c r="L480">
        <v>0.08</v>
      </c>
      <c r="M480" t="s">
        <v>24</v>
      </c>
      <c r="N480" t="s">
        <v>1070</v>
      </c>
    </row>
    <row r="481" spans="1:14" x14ac:dyDescent="0.35">
      <c r="A481">
        <v>480</v>
      </c>
      <c r="B481" t="s">
        <v>522</v>
      </c>
      <c r="C481" t="s">
        <v>57</v>
      </c>
      <c r="D481" t="s">
        <v>33</v>
      </c>
      <c r="E481" t="s">
        <v>41</v>
      </c>
      <c r="F481">
        <v>2004</v>
      </c>
      <c r="G481">
        <v>82</v>
      </c>
      <c r="H481">
        <v>0.27</v>
      </c>
      <c r="I481">
        <v>0.14000000000000001</v>
      </c>
      <c r="J481">
        <v>0.08</v>
      </c>
      <c r="K481">
        <v>0.04</v>
      </c>
      <c r="L481">
        <v>0.01</v>
      </c>
      <c r="M481" t="s">
        <v>24</v>
      </c>
      <c r="N481" t="s">
        <v>1069</v>
      </c>
    </row>
    <row r="482" spans="1:14" x14ac:dyDescent="0.35">
      <c r="A482">
        <v>481</v>
      </c>
      <c r="B482" t="s">
        <v>523</v>
      </c>
      <c r="C482" t="s">
        <v>19</v>
      </c>
      <c r="D482" t="s">
        <v>51</v>
      </c>
      <c r="E482" t="s">
        <v>43</v>
      </c>
      <c r="F482">
        <v>2018</v>
      </c>
      <c r="G482">
        <v>60</v>
      </c>
      <c r="H482">
        <v>0.76</v>
      </c>
      <c r="I482">
        <v>0.39</v>
      </c>
      <c r="J482">
        <v>0.26</v>
      </c>
      <c r="K482">
        <v>0.09</v>
      </c>
      <c r="L482">
        <v>0.02</v>
      </c>
      <c r="M482" t="s">
        <v>17</v>
      </c>
      <c r="N482" t="s">
        <v>1071</v>
      </c>
    </row>
    <row r="483" spans="1:14" x14ac:dyDescent="0.35">
      <c r="A483">
        <v>482</v>
      </c>
      <c r="B483" t="s">
        <v>524</v>
      </c>
      <c r="C483" t="s">
        <v>19</v>
      </c>
      <c r="D483" t="s">
        <v>62</v>
      </c>
      <c r="E483" t="s">
        <v>16</v>
      </c>
      <c r="F483">
        <v>2017</v>
      </c>
      <c r="G483">
        <v>64</v>
      </c>
      <c r="H483">
        <v>3.47</v>
      </c>
      <c r="I483">
        <v>1.85</v>
      </c>
      <c r="J483">
        <v>0.9</v>
      </c>
      <c r="K483">
        <v>0.54</v>
      </c>
      <c r="L483">
        <v>0.18</v>
      </c>
      <c r="M483" t="s">
        <v>27</v>
      </c>
      <c r="N483" t="s">
        <v>1071</v>
      </c>
    </row>
    <row r="484" spans="1:14" x14ac:dyDescent="0.35">
      <c r="A484">
        <v>483</v>
      </c>
      <c r="B484" t="s">
        <v>525</v>
      </c>
      <c r="C484" t="s">
        <v>57</v>
      </c>
      <c r="D484" t="s">
        <v>29</v>
      </c>
      <c r="E484" t="s">
        <v>16</v>
      </c>
      <c r="F484">
        <v>2009</v>
      </c>
      <c r="G484">
        <v>59</v>
      </c>
      <c r="H484">
        <v>0.45</v>
      </c>
      <c r="I484">
        <v>0.2</v>
      </c>
      <c r="J484">
        <v>0.1</v>
      </c>
      <c r="K484">
        <v>7.0000000000000007E-2</v>
      </c>
      <c r="L484">
        <v>0.08</v>
      </c>
      <c r="M484" t="s">
        <v>24</v>
      </c>
      <c r="N484" t="s">
        <v>1071</v>
      </c>
    </row>
    <row r="485" spans="1:14" x14ac:dyDescent="0.35">
      <c r="A485">
        <v>484</v>
      </c>
      <c r="B485" t="s">
        <v>526</v>
      </c>
      <c r="C485" t="s">
        <v>23</v>
      </c>
      <c r="D485" t="s">
        <v>37</v>
      </c>
      <c r="E485" t="s">
        <v>60</v>
      </c>
      <c r="F485">
        <v>2024</v>
      </c>
      <c r="G485">
        <v>61</v>
      </c>
      <c r="H485">
        <v>0.34</v>
      </c>
      <c r="I485">
        <v>0.17</v>
      </c>
      <c r="J485">
        <v>0.1</v>
      </c>
      <c r="K485">
        <v>0.04</v>
      </c>
      <c r="L485">
        <v>0.03</v>
      </c>
      <c r="M485" t="s">
        <v>24</v>
      </c>
      <c r="N485" t="s">
        <v>1071</v>
      </c>
    </row>
    <row r="486" spans="1:14" x14ac:dyDescent="0.35">
      <c r="A486">
        <v>485</v>
      </c>
      <c r="B486" t="s">
        <v>527</v>
      </c>
      <c r="C486" t="s">
        <v>19</v>
      </c>
      <c r="D486" t="s">
        <v>2</v>
      </c>
      <c r="E486" t="s">
        <v>52</v>
      </c>
      <c r="F486">
        <v>2016</v>
      </c>
      <c r="G486">
        <v>85</v>
      </c>
      <c r="H486">
        <v>0.62</v>
      </c>
      <c r="I486">
        <v>0.32</v>
      </c>
      <c r="J486">
        <v>0.18</v>
      </c>
      <c r="K486">
        <v>0.1</v>
      </c>
      <c r="L486">
        <v>0.02</v>
      </c>
      <c r="M486" t="s">
        <v>17</v>
      </c>
      <c r="N486" t="s">
        <v>1069</v>
      </c>
    </row>
    <row r="487" spans="1:14" x14ac:dyDescent="0.35">
      <c r="A487">
        <v>486</v>
      </c>
      <c r="B487" t="s">
        <v>528</v>
      </c>
      <c r="C487" t="s">
        <v>19</v>
      </c>
      <c r="D487" t="s">
        <v>65</v>
      </c>
      <c r="E487" t="s">
        <v>52</v>
      </c>
      <c r="F487">
        <v>2018</v>
      </c>
      <c r="G487">
        <v>91</v>
      </c>
      <c r="H487">
        <v>1.46</v>
      </c>
      <c r="I487">
        <v>0.69</v>
      </c>
      <c r="J487">
        <v>0.36</v>
      </c>
      <c r="K487">
        <v>0.09</v>
      </c>
      <c r="L487">
        <v>0.32</v>
      </c>
      <c r="M487" t="s">
        <v>17</v>
      </c>
      <c r="N487" t="s">
        <v>1068</v>
      </c>
    </row>
    <row r="488" spans="1:14" x14ac:dyDescent="0.35">
      <c r="A488">
        <v>487</v>
      </c>
      <c r="B488" t="s">
        <v>529</v>
      </c>
      <c r="C488" t="s">
        <v>19</v>
      </c>
      <c r="D488" t="s">
        <v>51</v>
      </c>
      <c r="E488" t="s">
        <v>41</v>
      </c>
      <c r="F488">
        <v>2015</v>
      </c>
      <c r="G488">
        <v>61</v>
      </c>
      <c r="H488">
        <v>1.65</v>
      </c>
      <c r="I488">
        <v>0.85</v>
      </c>
      <c r="J488">
        <v>0.41</v>
      </c>
      <c r="K488">
        <v>0.24</v>
      </c>
      <c r="L488">
        <v>0.15</v>
      </c>
      <c r="M488" t="s">
        <v>17</v>
      </c>
      <c r="N488" t="s">
        <v>1071</v>
      </c>
    </row>
    <row r="489" spans="1:14" x14ac:dyDescent="0.35">
      <c r="A489">
        <v>488</v>
      </c>
      <c r="B489" t="s">
        <v>530</v>
      </c>
      <c r="C489" t="s">
        <v>59</v>
      </c>
      <c r="D489" t="s">
        <v>48</v>
      </c>
      <c r="E489" t="s">
        <v>54</v>
      </c>
      <c r="F489">
        <v>1995</v>
      </c>
      <c r="G489">
        <v>64</v>
      </c>
      <c r="H489">
        <v>0.64</v>
      </c>
      <c r="I489">
        <v>0.26</v>
      </c>
      <c r="J489">
        <v>0.19</v>
      </c>
      <c r="K489">
        <v>7.0000000000000007E-2</v>
      </c>
      <c r="L489">
        <v>0.12</v>
      </c>
      <c r="M489" t="s">
        <v>17</v>
      </c>
      <c r="N489" t="s">
        <v>1071</v>
      </c>
    </row>
    <row r="490" spans="1:14" x14ac:dyDescent="0.35">
      <c r="A490">
        <v>489</v>
      </c>
      <c r="B490" t="s">
        <v>531</v>
      </c>
      <c r="C490" t="s">
        <v>31</v>
      </c>
      <c r="D490" t="s">
        <v>29</v>
      </c>
      <c r="E490" t="s">
        <v>46</v>
      </c>
      <c r="F490">
        <v>2005</v>
      </c>
      <c r="G490">
        <v>82</v>
      </c>
      <c r="H490">
        <v>0.94</v>
      </c>
      <c r="I490">
        <v>0.49</v>
      </c>
      <c r="J490">
        <v>0.31</v>
      </c>
      <c r="K490">
        <v>0.06</v>
      </c>
      <c r="L490">
        <v>0.08</v>
      </c>
      <c r="M490" t="s">
        <v>17</v>
      </c>
      <c r="N490" t="s">
        <v>1069</v>
      </c>
    </row>
    <row r="491" spans="1:14" x14ac:dyDescent="0.35">
      <c r="A491">
        <v>490</v>
      </c>
      <c r="B491" t="s">
        <v>532</v>
      </c>
      <c r="C491" t="s">
        <v>23</v>
      </c>
      <c r="D491" t="s">
        <v>15</v>
      </c>
      <c r="E491" t="s">
        <v>60</v>
      </c>
      <c r="F491">
        <v>2020</v>
      </c>
      <c r="G491">
        <v>73</v>
      </c>
      <c r="H491">
        <v>1.54</v>
      </c>
      <c r="I491">
        <v>0.76</v>
      </c>
      <c r="J491">
        <v>0.4</v>
      </c>
      <c r="K491">
        <v>0.15</v>
      </c>
      <c r="L491">
        <v>0.23</v>
      </c>
      <c r="M491" t="s">
        <v>17</v>
      </c>
      <c r="N491" t="s">
        <v>1070</v>
      </c>
    </row>
    <row r="492" spans="1:14" x14ac:dyDescent="0.35">
      <c r="A492">
        <v>491</v>
      </c>
      <c r="B492" t="s">
        <v>533</v>
      </c>
      <c r="C492" t="s">
        <v>19</v>
      </c>
      <c r="D492" t="s">
        <v>45</v>
      </c>
      <c r="E492" t="s">
        <v>41</v>
      </c>
      <c r="F492">
        <v>2019</v>
      </c>
      <c r="G492">
        <v>97</v>
      </c>
      <c r="H492">
        <v>0.45</v>
      </c>
      <c r="I492">
        <v>0.21</v>
      </c>
      <c r="J492">
        <v>0.15</v>
      </c>
      <c r="K492">
        <v>0.05</v>
      </c>
      <c r="L492">
        <v>0.04</v>
      </c>
      <c r="M492" t="s">
        <v>24</v>
      </c>
      <c r="N492" t="s">
        <v>1068</v>
      </c>
    </row>
    <row r="493" spans="1:14" x14ac:dyDescent="0.35">
      <c r="A493">
        <v>492</v>
      </c>
      <c r="B493" t="s">
        <v>534</v>
      </c>
      <c r="C493" t="s">
        <v>19</v>
      </c>
      <c r="D493" t="s">
        <v>51</v>
      </c>
      <c r="E493" t="s">
        <v>54</v>
      </c>
      <c r="F493">
        <v>2015</v>
      </c>
      <c r="G493">
        <v>59</v>
      </c>
      <c r="H493">
        <v>1.0900000000000001</v>
      </c>
      <c r="I493">
        <v>0.56000000000000005</v>
      </c>
      <c r="J493">
        <v>0.32</v>
      </c>
      <c r="K493">
        <v>0.21</v>
      </c>
      <c r="L493">
        <v>0</v>
      </c>
      <c r="M493" t="s">
        <v>17</v>
      </c>
      <c r="N493" t="s">
        <v>1071</v>
      </c>
    </row>
    <row r="494" spans="1:14" x14ac:dyDescent="0.35">
      <c r="A494">
        <v>493</v>
      </c>
      <c r="B494" t="s">
        <v>535</v>
      </c>
      <c r="C494" t="s">
        <v>31</v>
      </c>
      <c r="D494" t="s">
        <v>37</v>
      </c>
      <c r="E494" t="s">
        <v>41</v>
      </c>
      <c r="F494">
        <v>2000</v>
      </c>
      <c r="G494">
        <v>82</v>
      </c>
      <c r="H494">
        <v>0.94</v>
      </c>
      <c r="I494">
        <v>0.41</v>
      </c>
      <c r="J494">
        <v>0.3</v>
      </c>
      <c r="K494">
        <v>0.1</v>
      </c>
      <c r="L494">
        <v>0.13</v>
      </c>
      <c r="M494" t="s">
        <v>17</v>
      </c>
      <c r="N494" t="s">
        <v>1069</v>
      </c>
    </row>
    <row r="495" spans="1:14" x14ac:dyDescent="0.35">
      <c r="A495">
        <v>494</v>
      </c>
      <c r="B495" t="s">
        <v>536</v>
      </c>
      <c r="C495" t="s">
        <v>31</v>
      </c>
      <c r="D495" t="s">
        <v>45</v>
      </c>
      <c r="E495" t="s">
        <v>74</v>
      </c>
      <c r="F495">
        <v>2001</v>
      </c>
      <c r="G495">
        <v>86</v>
      </c>
      <c r="H495">
        <v>1.34</v>
      </c>
      <c r="I495">
        <v>0.6</v>
      </c>
      <c r="J495">
        <v>0.35</v>
      </c>
      <c r="K495">
        <v>0.18</v>
      </c>
      <c r="L495">
        <v>0.21</v>
      </c>
      <c r="M495" t="s">
        <v>17</v>
      </c>
      <c r="N495" t="s">
        <v>1069</v>
      </c>
    </row>
    <row r="496" spans="1:14" x14ac:dyDescent="0.35">
      <c r="A496">
        <v>495</v>
      </c>
      <c r="B496" t="s">
        <v>537</v>
      </c>
      <c r="C496" t="s">
        <v>14</v>
      </c>
      <c r="D496" t="s">
        <v>15</v>
      </c>
      <c r="E496" t="s">
        <v>74</v>
      </c>
      <c r="F496">
        <v>2006</v>
      </c>
      <c r="G496">
        <v>62</v>
      </c>
      <c r="H496">
        <v>15.04</v>
      </c>
      <c r="I496">
        <v>5.5</v>
      </c>
      <c r="J496">
        <v>4.66</v>
      </c>
      <c r="K496">
        <v>1.94</v>
      </c>
      <c r="L496">
        <v>2.94</v>
      </c>
      <c r="M496" t="s">
        <v>21</v>
      </c>
      <c r="N496" t="s">
        <v>1071</v>
      </c>
    </row>
    <row r="497" spans="1:14" x14ac:dyDescent="0.35">
      <c r="A497">
        <v>496</v>
      </c>
      <c r="B497" t="s">
        <v>538</v>
      </c>
      <c r="C497" t="s">
        <v>64</v>
      </c>
      <c r="D497" t="s">
        <v>62</v>
      </c>
      <c r="E497" t="s">
        <v>60</v>
      </c>
      <c r="F497">
        <v>2015</v>
      </c>
      <c r="G497">
        <v>94</v>
      </c>
      <c r="H497">
        <v>0.09</v>
      </c>
      <c r="I497">
        <v>0.04</v>
      </c>
      <c r="J497">
        <v>0.03</v>
      </c>
      <c r="K497">
        <v>0.01</v>
      </c>
      <c r="L497">
        <v>0.01</v>
      </c>
      <c r="M497" t="s">
        <v>24</v>
      </c>
      <c r="N497" t="s">
        <v>1068</v>
      </c>
    </row>
    <row r="498" spans="1:14" x14ac:dyDescent="0.35">
      <c r="A498">
        <v>497</v>
      </c>
      <c r="B498" t="s">
        <v>539</v>
      </c>
      <c r="C498" t="s">
        <v>57</v>
      </c>
      <c r="D498" t="s">
        <v>2</v>
      </c>
      <c r="E498" t="s">
        <v>46</v>
      </c>
      <c r="F498">
        <v>2012</v>
      </c>
      <c r="G498">
        <v>76</v>
      </c>
      <c r="H498">
        <v>0.51</v>
      </c>
      <c r="I498">
        <v>0.22</v>
      </c>
      <c r="J498">
        <v>0.17</v>
      </c>
      <c r="K498">
        <v>7.0000000000000007E-2</v>
      </c>
      <c r="L498">
        <v>0.05</v>
      </c>
      <c r="M498" t="s">
        <v>17</v>
      </c>
      <c r="N498" t="s">
        <v>1070</v>
      </c>
    </row>
    <row r="499" spans="1:14" x14ac:dyDescent="0.35">
      <c r="A499">
        <v>498</v>
      </c>
      <c r="B499" t="s">
        <v>540</v>
      </c>
      <c r="C499" t="s">
        <v>14</v>
      </c>
      <c r="D499" t="s">
        <v>29</v>
      </c>
      <c r="E499" t="s">
        <v>46</v>
      </c>
      <c r="F499">
        <v>2012</v>
      </c>
      <c r="G499">
        <v>57</v>
      </c>
      <c r="H499">
        <v>1.25</v>
      </c>
      <c r="I499">
        <v>0.51</v>
      </c>
      <c r="J499">
        <v>0.4</v>
      </c>
      <c r="K499">
        <v>0.11</v>
      </c>
      <c r="L499">
        <v>0.23</v>
      </c>
      <c r="M499" t="s">
        <v>17</v>
      </c>
      <c r="N499" t="s">
        <v>1071</v>
      </c>
    </row>
    <row r="500" spans="1:14" x14ac:dyDescent="0.35">
      <c r="A500">
        <v>499</v>
      </c>
      <c r="B500" t="s">
        <v>541</v>
      </c>
      <c r="C500" t="s">
        <v>57</v>
      </c>
      <c r="D500" t="s">
        <v>2</v>
      </c>
      <c r="E500" t="s">
        <v>54</v>
      </c>
      <c r="F500">
        <v>2011</v>
      </c>
      <c r="G500">
        <v>97</v>
      </c>
      <c r="H500">
        <v>0.63</v>
      </c>
      <c r="I500">
        <v>0.23</v>
      </c>
      <c r="J500">
        <v>0.17</v>
      </c>
      <c r="K500">
        <v>0.11</v>
      </c>
      <c r="L500">
        <v>0.12</v>
      </c>
      <c r="M500" t="s">
        <v>17</v>
      </c>
      <c r="N500" t="s">
        <v>1068</v>
      </c>
    </row>
    <row r="501" spans="1:14" x14ac:dyDescent="0.35">
      <c r="A501">
        <v>500</v>
      </c>
      <c r="B501" t="s">
        <v>542</v>
      </c>
      <c r="C501" t="s">
        <v>14</v>
      </c>
      <c r="D501" t="s">
        <v>37</v>
      </c>
      <c r="E501" t="s">
        <v>74</v>
      </c>
      <c r="F501">
        <v>2010</v>
      </c>
      <c r="G501">
        <v>71</v>
      </c>
      <c r="H501">
        <v>0.17</v>
      </c>
      <c r="I501">
        <v>0.06</v>
      </c>
      <c r="J501">
        <v>0.05</v>
      </c>
      <c r="K501">
        <v>0.03</v>
      </c>
      <c r="L501">
        <v>0.03</v>
      </c>
      <c r="M501" t="s">
        <v>24</v>
      </c>
      <c r="N501" t="s">
        <v>1070</v>
      </c>
    </row>
    <row r="502" spans="1:14" x14ac:dyDescent="0.35">
      <c r="A502">
        <v>501</v>
      </c>
      <c r="B502" t="s">
        <v>543</v>
      </c>
      <c r="C502" t="s">
        <v>14</v>
      </c>
      <c r="D502" t="s">
        <v>62</v>
      </c>
      <c r="E502" t="s">
        <v>54</v>
      </c>
      <c r="F502">
        <v>2009</v>
      </c>
      <c r="G502">
        <v>76</v>
      </c>
      <c r="H502">
        <v>1.35</v>
      </c>
      <c r="I502">
        <v>0.7</v>
      </c>
      <c r="J502">
        <v>0.42</v>
      </c>
      <c r="K502">
        <v>0.15</v>
      </c>
      <c r="L502">
        <v>0.08</v>
      </c>
      <c r="M502" t="s">
        <v>17</v>
      </c>
      <c r="N502" t="s">
        <v>1070</v>
      </c>
    </row>
    <row r="503" spans="1:14" x14ac:dyDescent="0.35">
      <c r="A503">
        <v>502</v>
      </c>
      <c r="B503" t="s">
        <v>544</v>
      </c>
      <c r="C503" t="s">
        <v>19</v>
      </c>
      <c r="D503" t="s">
        <v>62</v>
      </c>
      <c r="E503" t="s">
        <v>54</v>
      </c>
      <c r="F503">
        <v>2016</v>
      </c>
      <c r="G503">
        <v>77</v>
      </c>
      <c r="H503">
        <v>0.32</v>
      </c>
      <c r="I503">
        <v>0.16</v>
      </c>
      <c r="J503">
        <v>7.0000000000000007E-2</v>
      </c>
      <c r="K503">
        <v>0.04</v>
      </c>
      <c r="L503">
        <v>0.05</v>
      </c>
      <c r="M503" t="s">
        <v>24</v>
      </c>
      <c r="N503" t="s">
        <v>1070</v>
      </c>
    </row>
    <row r="504" spans="1:14" x14ac:dyDescent="0.35">
      <c r="A504">
        <v>503</v>
      </c>
      <c r="B504" t="s">
        <v>545</v>
      </c>
      <c r="C504" t="s">
        <v>19</v>
      </c>
      <c r="D504" t="s">
        <v>62</v>
      </c>
      <c r="E504" t="s">
        <v>60</v>
      </c>
      <c r="F504">
        <v>2017</v>
      </c>
      <c r="G504">
        <v>98</v>
      </c>
      <c r="H504">
        <v>1.48</v>
      </c>
      <c r="I504">
        <v>0.56000000000000005</v>
      </c>
      <c r="J504">
        <v>0.49</v>
      </c>
      <c r="K504">
        <v>0.08</v>
      </c>
      <c r="L504">
        <v>0.35</v>
      </c>
      <c r="M504" t="s">
        <v>17</v>
      </c>
      <c r="N504" t="s">
        <v>1068</v>
      </c>
    </row>
    <row r="505" spans="1:14" x14ac:dyDescent="0.35">
      <c r="A505">
        <v>504</v>
      </c>
      <c r="B505" t="s">
        <v>546</v>
      </c>
      <c r="C505" t="s">
        <v>64</v>
      </c>
      <c r="D505" t="s">
        <v>45</v>
      </c>
      <c r="E505" t="s">
        <v>43</v>
      </c>
      <c r="F505">
        <v>2018</v>
      </c>
      <c r="G505">
        <v>61</v>
      </c>
      <c r="H505">
        <v>1.75</v>
      </c>
      <c r="I505">
        <v>0.95</v>
      </c>
      <c r="J505">
        <v>0.46</v>
      </c>
      <c r="K505">
        <v>0.33</v>
      </c>
      <c r="L505">
        <v>0.01</v>
      </c>
      <c r="M505" t="s">
        <v>17</v>
      </c>
      <c r="N505" t="s">
        <v>1071</v>
      </c>
    </row>
    <row r="506" spans="1:14" x14ac:dyDescent="0.35">
      <c r="A506">
        <v>505</v>
      </c>
      <c r="B506" t="s">
        <v>547</v>
      </c>
      <c r="C506" t="s">
        <v>64</v>
      </c>
      <c r="D506" t="s">
        <v>29</v>
      </c>
      <c r="E506" t="s">
        <v>46</v>
      </c>
      <c r="F506">
        <v>2015</v>
      </c>
      <c r="G506">
        <v>71</v>
      </c>
      <c r="H506">
        <v>0.44</v>
      </c>
      <c r="I506">
        <v>0.22</v>
      </c>
      <c r="J506">
        <v>0.14000000000000001</v>
      </c>
      <c r="K506">
        <v>7.0000000000000007E-2</v>
      </c>
      <c r="L506">
        <v>0.01</v>
      </c>
      <c r="M506" t="s">
        <v>24</v>
      </c>
      <c r="N506" t="s">
        <v>1070</v>
      </c>
    </row>
    <row r="507" spans="1:14" x14ac:dyDescent="0.35">
      <c r="A507">
        <v>506</v>
      </c>
      <c r="B507" t="s">
        <v>548</v>
      </c>
      <c r="C507" t="s">
        <v>23</v>
      </c>
      <c r="D507" t="s">
        <v>48</v>
      </c>
      <c r="E507" t="s">
        <v>60</v>
      </c>
      <c r="F507">
        <v>2026</v>
      </c>
      <c r="G507">
        <v>75</v>
      </c>
      <c r="H507">
        <v>0.92</v>
      </c>
      <c r="I507">
        <v>0.48</v>
      </c>
      <c r="J507">
        <v>0.19</v>
      </c>
      <c r="K507">
        <v>0.06</v>
      </c>
      <c r="L507">
        <v>0.19</v>
      </c>
      <c r="M507" t="s">
        <v>17</v>
      </c>
      <c r="N507" t="s">
        <v>1070</v>
      </c>
    </row>
    <row r="508" spans="1:14" x14ac:dyDescent="0.35">
      <c r="A508">
        <v>507</v>
      </c>
      <c r="B508" t="s">
        <v>549</v>
      </c>
      <c r="C508" t="s">
        <v>59</v>
      </c>
      <c r="D508" t="s">
        <v>62</v>
      </c>
      <c r="E508" t="s">
        <v>43</v>
      </c>
      <c r="F508">
        <v>2000</v>
      </c>
      <c r="G508">
        <v>71</v>
      </c>
      <c r="H508">
        <v>1.76</v>
      </c>
      <c r="I508">
        <v>0.95</v>
      </c>
      <c r="J508">
        <v>0.52</v>
      </c>
      <c r="K508">
        <v>0.27</v>
      </c>
      <c r="L508">
        <v>0.02</v>
      </c>
      <c r="M508" t="s">
        <v>17</v>
      </c>
      <c r="N508" t="s">
        <v>1070</v>
      </c>
    </row>
    <row r="509" spans="1:14" x14ac:dyDescent="0.35">
      <c r="A509">
        <v>508</v>
      </c>
      <c r="B509" t="s">
        <v>550</v>
      </c>
      <c r="C509" t="s">
        <v>59</v>
      </c>
      <c r="D509" t="s">
        <v>2</v>
      </c>
      <c r="E509" t="s">
        <v>54</v>
      </c>
      <c r="F509">
        <v>1995</v>
      </c>
      <c r="G509">
        <v>66</v>
      </c>
      <c r="H509">
        <v>0.21</v>
      </c>
      <c r="I509">
        <v>0.11</v>
      </c>
      <c r="J509">
        <v>0.06</v>
      </c>
      <c r="K509">
        <v>0.04</v>
      </c>
      <c r="L509">
        <v>0</v>
      </c>
      <c r="M509" t="s">
        <v>24</v>
      </c>
      <c r="N509" t="s">
        <v>1071</v>
      </c>
    </row>
    <row r="510" spans="1:14" x14ac:dyDescent="0.35">
      <c r="A510">
        <v>509</v>
      </c>
      <c r="B510" t="s">
        <v>551</v>
      </c>
      <c r="C510" t="s">
        <v>14</v>
      </c>
      <c r="D510" t="s">
        <v>29</v>
      </c>
      <c r="E510" t="s">
        <v>46</v>
      </c>
      <c r="F510">
        <v>2012</v>
      </c>
      <c r="G510">
        <v>72</v>
      </c>
      <c r="H510">
        <v>1.18</v>
      </c>
      <c r="I510">
        <v>0.49</v>
      </c>
      <c r="J510">
        <v>0.25</v>
      </c>
      <c r="K510">
        <v>0.23</v>
      </c>
      <c r="L510">
        <v>0.21</v>
      </c>
      <c r="M510" t="s">
        <v>17</v>
      </c>
      <c r="N510" t="s">
        <v>1070</v>
      </c>
    </row>
    <row r="511" spans="1:14" x14ac:dyDescent="0.35">
      <c r="A511">
        <v>510</v>
      </c>
      <c r="B511" t="s">
        <v>552</v>
      </c>
      <c r="C511" t="s">
        <v>14</v>
      </c>
      <c r="D511" t="s">
        <v>62</v>
      </c>
      <c r="E511" t="s">
        <v>49</v>
      </c>
      <c r="F511">
        <v>2008</v>
      </c>
      <c r="G511">
        <v>94</v>
      </c>
      <c r="H511">
        <v>0.37</v>
      </c>
      <c r="I511">
        <v>0.14000000000000001</v>
      </c>
      <c r="J511">
        <v>0.1</v>
      </c>
      <c r="K511">
        <v>0.04</v>
      </c>
      <c r="L511">
        <v>0.09</v>
      </c>
      <c r="M511" t="s">
        <v>24</v>
      </c>
      <c r="N511" t="s">
        <v>1068</v>
      </c>
    </row>
    <row r="512" spans="1:14" x14ac:dyDescent="0.35">
      <c r="A512">
        <v>511</v>
      </c>
      <c r="B512" t="s">
        <v>553</v>
      </c>
      <c r="C512" t="s">
        <v>23</v>
      </c>
      <c r="D512" t="s">
        <v>33</v>
      </c>
      <c r="E512" t="s">
        <v>16</v>
      </c>
      <c r="F512">
        <v>2025</v>
      </c>
      <c r="G512">
        <v>57</v>
      </c>
      <c r="H512">
        <v>0.16</v>
      </c>
      <c r="I512">
        <v>0.06</v>
      </c>
      <c r="J512">
        <v>0.04</v>
      </c>
      <c r="K512">
        <v>0.03</v>
      </c>
      <c r="L512">
        <v>0.03</v>
      </c>
      <c r="M512" t="s">
        <v>24</v>
      </c>
      <c r="N512" t="s">
        <v>1071</v>
      </c>
    </row>
    <row r="513" spans="1:14" x14ac:dyDescent="0.35">
      <c r="A513">
        <v>512</v>
      </c>
      <c r="B513" t="s">
        <v>554</v>
      </c>
      <c r="C513" t="s">
        <v>31</v>
      </c>
      <c r="D513" t="s">
        <v>15</v>
      </c>
      <c r="E513" t="s">
        <v>20</v>
      </c>
      <c r="F513">
        <v>2005</v>
      </c>
      <c r="G513">
        <v>64</v>
      </c>
      <c r="H513">
        <v>0.84</v>
      </c>
      <c r="I513">
        <v>0.45</v>
      </c>
      <c r="J513">
        <v>0.23</v>
      </c>
      <c r="K513">
        <v>0.1</v>
      </c>
      <c r="L513">
        <v>0.06</v>
      </c>
      <c r="M513" t="s">
        <v>17</v>
      </c>
      <c r="N513" t="s">
        <v>1071</v>
      </c>
    </row>
    <row r="514" spans="1:14" x14ac:dyDescent="0.35">
      <c r="A514">
        <v>513</v>
      </c>
      <c r="B514" t="s">
        <v>555</v>
      </c>
      <c r="C514" t="s">
        <v>64</v>
      </c>
      <c r="D514" t="s">
        <v>65</v>
      </c>
      <c r="E514" t="s">
        <v>52</v>
      </c>
      <c r="F514">
        <v>2012</v>
      </c>
      <c r="G514">
        <v>85</v>
      </c>
      <c r="H514">
        <v>0.08</v>
      </c>
      <c r="I514">
        <v>0.04</v>
      </c>
      <c r="J514">
        <v>0.02</v>
      </c>
      <c r="K514">
        <v>0.01</v>
      </c>
      <c r="L514">
        <v>0.01</v>
      </c>
      <c r="M514" t="s">
        <v>24</v>
      </c>
      <c r="N514" t="s">
        <v>1069</v>
      </c>
    </row>
    <row r="515" spans="1:14" x14ac:dyDescent="0.35">
      <c r="A515">
        <v>514</v>
      </c>
      <c r="B515" t="s">
        <v>556</v>
      </c>
      <c r="C515" t="s">
        <v>59</v>
      </c>
      <c r="D515" t="s">
        <v>33</v>
      </c>
      <c r="E515" t="s">
        <v>43</v>
      </c>
      <c r="F515">
        <v>2000</v>
      </c>
      <c r="G515">
        <v>60</v>
      </c>
      <c r="H515">
        <v>0.27</v>
      </c>
      <c r="I515">
        <v>0.12</v>
      </c>
      <c r="J515">
        <v>0.09</v>
      </c>
      <c r="K515">
        <v>0.04</v>
      </c>
      <c r="L515">
        <v>0.02</v>
      </c>
      <c r="M515" t="s">
        <v>24</v>
      </c>
      <c r="N515" t="s">
        <v>1071</v>
      </c>
    </row>
    <row r="516" spans="1:14" x14ac:dyDescent="0.35">
      <c r="A516">
        <v>515</v>
      </c>
      <c r="B516" t="s">
        <v>557</v>
      </c>
      <c r="C516" t="s">
        <v>14</v>
      </c>
      <c r="D516" t="s">
        <v>33</v>
      </c>
      <c r="E516" t="s">
        <v>43</v>
      </c>
      <c r="F516">
        <v>2012</v>
      </c>
      <c r="G516">
        <v>95</v>
      </c>
      <c r="H516">
        <v>0.52</v>
      </c>
      <c r="I516">
        <v>0.19</v>
      </c>
      <c r="J516">
        <v>0.11</v>
      </c>
      <c r="K516">
        <v>0.1</v>
      </c>
      <c r="L516">
        <v>0.12</v>
      </c>
      <c r="M516" t="s">
        <v>17</v>
      </c>
      <c r="N516" t="s">
        <v>1068</v>
      </c>
    </row>
    <row r="517" spans="1:14" x14ac:dyDescent="0.35">
      <c r="A517">
        <v>516</v>
      </c>
      <c r="B517" t="s">
        <v>558</v>
      </c>
      <c r="C517" t="s">
        <v>31</v>
      </c>
      <c r="D517" t="s">
        <v>45</v>
      </c>
      <c r="E517" t="s">
        <v>49</v>
      </c>
      <c r="F517">
        <v>2003</v>
      </c>
      <c r="G517">
        <v>86</v>
      </c>
      <c r="H517">
        <v>0.91</v>
      </c>
      <c r="I517">
        <v>0.4</v>
      </c>
      <c r="J517">
        <v>0.32</v>
      </c>
      <c r="K517">
        <v>0.05</v>
      </c>
      <c r="L517">
        <v>0.14000000000000001</v>
      </c>
      <c r="M517" t="s">
        <v>17</v>
      </c>
      <c r="N517" t="s">
        <v>1069</v>
      </c>
    </row>
    <row r="518" spans="1:14" x14ac:dyDescent="0.35">
      <c r="A518">
        <v>517</v>
      </c>
      <c r="B518" t="s">
        <v>559</v>
      </c>
      <c r="C518" t="s">
        <v>59</v>
      </c>
      <c r="D518" t="s">
        <v>15</v>
      </c>
      <c r="E518" t="s">
        <v>41</v>
      </c>
      <c r="F518">
        <v>1997</v>
      </c>
      <c r="G518">
        <v>96</v>
      </c>
      <c r="H518">
        <v>0.65</v>
      </c>
      <c r="I518">
        <v>0.32</v>
      </c>
      <c r="J518">
        <v>0.22</v>
      </c>
      <c r="K518">
        <v>0.05</v>
      </c>
      <c r="L518">
        <v>0.06</v>
      </c>
      <c r="M518" t="s">
        <v>17</v>
      </c>
      <c r="N518" t="s">
        <v>1068</v>
      </c>
    </row>
    <row r="519" spans="1:14" x14ac:dyDescent="0.35">
      <c r="A519">
        <v>518</v>
      </c>
      <c r="B519" t="s">
        <v>560</v>
      </c>
      <c r="C519" t="s">
        <v>23</v>
      </c>
      <c r="D519" t="s">
        <v>33</v>
      </c>
      <c r="E519" t="s">
        <v>20</v>
      </c>
      <c r="F519">
        <v>2021</v>
      </c>
      <c r="G519">
        <v>96</v>
      </c>
      <c r="H519">
        <v>0.94</v>
      </c>
      <c r="I519">
        <v>0.45</v>
      </c>
      <c r="J519">
        <v>0.19</v>
      </c>
      <c r="K519">
        <v>0.14000000000000001</v>
      </c>
      <c r="L519">
        <v>0.16</v>
      </c>
      <c r="M519" t="s">
        <v>17</v>
      </c>
      <c r="N519" t="s">
        <v>1068</v>
      </c>
    </row>
    <row r="520" spans="1:14" x14ac:dyDescent="0.35">
      <c r="A520">
        <v>519</v>
      </c>
      <c r="B520" t="s">
        <v>561</v>
      </c>
      <c r="C520" t="s">
        <v>14</v>
      </c>
      <c r="D520" t="s">
        <v>62</v>
      </c>
      <c r="E520" t="s">
        <v>74</v>
      </c>
      <c r="F520">
        <v>2007</v>
      </c>
      <c r="G520">
        <v>59</v>
      </c>
      <c r="H520">
        <v>1.02</v>
      </c>
      <c r="I520">
        <v>0.46</v>
      </c>
      <c r="J520">
        <v>0.33</v>
      </c>
      <c r="K520">
        <v>0.08</v>
      </c>
      <c r="L520">
        <v>0.15</v>
      </c>
      <c r="M520" t="s">
        <v>17</v>
      </c>
      <c r="N520" t="s">
        <v>1071</v>
      </c>
    </row>
    <row r="521" spans="1:14" x14ac:dyDescent="0.35">
      <c r="A521">
        <v>520</v>
      </c>
      <c r="B521" t="s">
        <v>562</v>
      </c>
      <c r="C521" t="s">
        <v>64</v>
      </c>
      <c r="D521" t="s">
        <v>45</v>
      </c>
      <c r="E521" t="s">
        <v>43</v>
      </c>
      <c r="F521">
        <v>2014</v>
      </c>
      <c r="G521">
        <v>62</v>
      </c>
      <c r="H521">
        <v>2.0099999999999998</v>
      </c>
      <c r="I521">
        <v>0.94</v>
      </c>
      <c r="J521">
        <v>0.5</v>
      </c>
      <c r="K521">
        <v>0.14000000000000001</v>
      </c>
      <c r="L521">
        <v>0.43</v>
      </c>
      <c r="M521" t="s">
        <v>27</v>
      </c>
      <c r="N521" t="s">
        <v>1071</v>
      </c>
    </row>
    <row r="522" spans="1:14" x14ac:dyDescent="0.35">
      <c r="A522">
        <v>521</v>
      </c>
      <c r="B522" t="s">
        <v>563</v>
      </c>
      <c r="C522" t="s">
        <v>31</v>
      </c>
      <c r="D522" t="s">
        <v>45</v>
      </c>
      <c r="E522" t="s">
        <v>54</v>
      </c>
      <c r="F522">
        <v>2006</v>
      </c>
      <c r="G522">
        <v>65</v>
      </c>
      <c r="H522">
        <v>0.19</v>
      </c>
      <c r="I522">
        <v>7.0000000000000007E-2</v>
      </c>
      <c r="J522">
        <v>0.04</v>
      </c>
      <c r="K522">
        <v>0.03</v>
      </c>
      <c r="L522">
        <v>0.05</v>
      </c>
      <c r="M522" t="s">
        <v>24</v>
      </c>
      <c r="N522" t="s">
        <v>1071</v>
      </c>
    </row>
    <row r="523" spans="1:14" x14ac:dyDescent="0.35">
      <c r="A523">
        <v>522</v>
      </c>
      <c r="B523" t="s">
        <v>564</v>
      </c>
      <c r="C523" t="s">
        <v>23</v>
      </c>
      <c r="D523" t="s">
        <v>37</v>
      </c>
      <c r="E523" t="s">
        <v>20</v>
      </c>
      <c r="F523">
        <v>2023</v>
      </c>
      <c r="G523">
        <v>55</v>
      </c>
      <c r="H523">
        <v>1.62</v>
      </c>
      <c r="I523">
        <v>0.66</v>
      </c>
      <c r="J523">
        <v>0.49</v>
      </c>
      <c r="K523">
        <v>0.27</v>
      </c>
      <c r="L523">
        <v>0.2</v>
      </c>
      <c r="M523" t="s">
        <v>17</v>
      </c>
      <c r="N523" t="s">
        <v>1071</v>
      </c>
    </row>
    <row r="524" spans="1:14" x14ac:dyDescent="0.35">
      <c r="A524">
        <v>523</v>
      </c>
      <c r="B524" t="s">
        <v>565</v>
      </c>
      <c r="C524" t="s">
        <v>19</v>
      </c>
      <c r="D524" t="s">
        <v>48</v>
      </c>
      <c r="E524" t="s">
        <v>54</v>
      </c>
      <c r="F524">
        <v>2015</v>
      </c>
      <c r="G524">
        <v>83</v>
      </c>
      <c r="H524">
        <v>0.09</v>
      </c>
      <c r="I524">
        <v>0.04</v>
      </c>
      <c r="J524">
        <v>0.02</v>
      </c>
      <c r="K524">
        <v>0.01</v>
      </c>
      <c r="L524">
        <v>0.02</v>
      </c>
      <c r="M524" t="s">
        <v>24</v>
      </c>
      <c r="N524" t="s">
        <v>1069</v>
      </c>
    </row>
    <row r="525" spans="1:14" x14ac:dyDescent="0.35">
      <c r="A525">
        <v>524</v>
      </c>
      <c r="B525" t="s">
        <v>566</v>
      </c>
      <c r="C525" t="s">
        <v>19</v>
      </c>
      <c r="D525" t="s">
        <v>51</v>
      </c>
      <c r="E525" t="s">
        <v>43</v>
      </c>
      <c r="F525">
        <v>2014</v>
      </c>
      <c r="G525">
        <v>90</v>
      </c>
      <c r="H525">
        <v>0.51</v>
      </c>
      <c r="I525">
        <v>0.23</v>
      </c>
      <c r="J525">
        <v>0.11</v>
      </c>
      <c r="K525">
        <v>0.05</v>
      </c>
      <c r="L525">
        <v>0.12</v>
      </c>
      <c r="M525" t="s">
        <v>17</v>
      </c>
      <c r="N525" t="s">
        <v>1068</v>
      </c>
    </row>
    <row r="526" spans="1:14" x14ac:dyDescent="0.35">
      <c r="A526">
        <v>525</v>
      </c>
      <c r="B526" t="s">
        <v>567</v>
      </c>
      <c r="C526" t="s">
        <v>64</v>
      </c>
      <c r="D526" t="s">
        <v>65</v>
      </c>
      <c r="E526" t="s">
        <v>52</v>
      </c>
      <c r="F526">
        <v>2019</v>
      </c>
      <c r="G526">
        <v>72</v>
      </c>
      <c r="H526">
        <v>1.04</v>
      </c>
      <c r="I526">
        <v>0.4</v>
      </c>
      <c r="J526">
        <v>0.35</v>
      </c>
      <c r="K526">
        <v>0.06</v>
      </c>
      <c r="L526">
        <v>0.23</v>
      </c>
      <c r="M526" t="s">
        <v>17</v>
      </c>
      <c r="N526" t="s">
        <v>1070</v>
      </c>
    </row>
    <row r="527" spans="1:14" x14ac:dyDescent="0.35">
      <c r="A527">
        <v>526</v>
      </c>
      <c r="B527" t="s">
        <v>568</v>
      </c>
      <c r="C527" t="s">
        <v>14</v>
      </c>
      <c r="D527" t="s">
        <v>48</v>
      </c>
      <c r="E527" t="s">
        <v>41</v>
      </c>
      <c r="F527">
        <v>2010</v>
      </c>
      <c r="G527">
        <v>94</v>
      </c>
      <c r="H527">
        <v>4.1399999999999997</v>
      </c>
      <c r="I527">
        <v>1.48</v>
      </c>
      <c r="J527">
        <v>1.29</v>
      </c>
      <c r="K527">
        <v>0.78</v>
      </c>
      <c r="L527">
        <v>0.59</v>
      </c>
      <c r="M527" t="s">
        <v>27</v>
      </c>
      <c r="N527" t="s">
        <v>1068</v>
      </c>
    </row>
    <row r="528" spans="1:14" x14ac:dyDescent="0.35">
      <c r="A528">
        <v>527</v>
      </c>
      <c r="B528" t="s">
        <v>569</v>
      </c>
      <c r="C528" t="s">
        <v>31</v>
      </c>
      <c r="D528" t="s">
        <v>15</v>
      </c>
      <c r="E528" t="s">
        <v>16</v>
      </c>
      <c r="F528">
        <v>2001</v>
      </c>
      <c r="G528">
        <v>59</v>
      </c>
      <c r="H528">
        <v>0.82</v>
      </c>
      <c r="I528">
        <v>0.32</v>
      </c>
      <c r="J528">
        <v>0.25</v>
      </c>
      <c r="K528">
        <v>0.08</v>
      </c>
      <c r="L528">
        <v>0.17</v>
      </c>
      <c r="M528" t="s">
        <v>17</v>
      </c>
      <c r="N528" t="s">
        <v>1071</v>
      </c>
    </row>
    <row r="529" spans="1:14" x14ac:dyDescent="0.35">
      <c r="A529">
        <v>528</v>
      </c>
      <c r="B529" t="s">
        <v>570</v>
      </c>
      <c r="C529" t="s">
        <v>64</v>
      </c>
      <c r="D529" t="s">
        <v>29</v>
      </c>
      <c r="E529" t="s">
        <v>52</v>
      </c>
      <c r="F529">
        <v>2012</v>
      </c>
      <c r="G529">
        <v>81</v>
      </c>
      <c r="H529">
        <v>0.74</v>
      </c>
      <c r="I529">
        <v>0.28999999999999998</v>
      </c>
      <c r="J529">
        <v>0.2</v>
      </c>
      <c r="K529">
        <v>0.09</v>
      </c>
      <c r="L529">
        <v>0.16</v>
      </c>
      <c r="M529" t="s">
        <v>17</v>
      </c>
      <c r="N529" t="s">
        <v>1069</v>
      </c>
    </row>
    <row r="530" spans="1:14" x14ac:dyDescent="0.35">
      <c r="A530">
        <v>529</v>
      </c>
      <c r="B530" t="s">
        <v>571</v>
      </c>
      <c r="C530" t="s">
        <v>19</v>
      </c>
      <c r="D530" t="s">
        <v>48</v>
      </c>
      <c r="E530" t="s">
        <v>74</v>
      </c>
      <c r="F530">
        <v>2015</v>
      </c>
      <c r="G530">
        <v>79</v>
      </c>
      <c r="H530">
        <v>0.56999999999999995</v>
      </c>
      <c r="I530">
        <v>0.22</v>
      </c>
      <c r="J530">
        <v>0.14000000000000001</v>
      </c>
      <c r="K530">
        <v>0.05</v>
      </c>
      <c r="L530">
        <v>0.16</v>
      </c>
      <c r="M530" t="s">
        <v>17</v>
      </c>
      <c r="N530" t="s">
        <v>1070</v>
      </c>
    </row>
    <row r="531" spans="1:14" x14ac:dyDescent="0.35">
      <c r="A531">
        <v>530</v>
      </c>
      <c r="B531" t="s">
        <v>572</v>
      </c>
      <c r="C531" t="s">
        <v>14</v>
      </c>
      <c r="D531" t="s">
        <v>15</v>
      </c>
      <c r="E531" t="s">
        <v>74</v>
      </c>
      <c r="F531">
        <v>2008</v>
      </c>
      <c r="G531">
        <v>63</v>
      </c>
      <c r="H531">
        <v>0.19</v>
      </c>
      <c r="I531">
        <v>0.08</v>
      </c>
      <c r="J531">
        <v>0.06</v>
      </c>
      <c r="K531">
        <v>0.02</v>
      </c>
      <c r="L531">
        <v>0.03</v>
      </c>
      <c r="M531" t="s">
        <v>24</v>
      </c>
      <c r="N531" t="s">
        <v>1071</v>
      </c>
    </row>
    <row r="532" spans="1:14" x14ac:dyDescent="0.35">
      <c r="A532">
        <v>531</v>
      </c>
      <c r="B532" t="s">
        <v>573</v>
      </c>
      <c r="C532" t="s">
        <v>14</v>
      </c>
      <c r="D532" t="s">
        <v>2</v>
      </c>
      <c r="E532" t="s">
        <v>54</v>
      </c>
      <c r="F532">
        <v>2008</v>
      </c>
      <c r="G532">
        <v>69</v>
      </c>
      <c r="H532">
        <v>0.05</v>
      </c>
      <c r="I532">
        <v>0.02</v>
      </c>
      <c r="J532">
        <v>0.02</v>
      </c>
      <c r="K532">
        <v>0</v>
      </c>
      <c r="L532">
        <v>0.01</v>
      </c>
      <c r="M532" t="s">
        <v>24</v>
      </c>
      <c r="N532" t="s">
        <v>1071</v>
      </c>
    </row>
    <row r="533" spans="1:14" x14ac:dyDescent="0.35">
      <c r="A533">
        <v>532</v>
      </c>
      <c r="B533" t="s">
        <v>574</v>
      </c>
      <c r="C533" t="s">
        <v>57</v>
      </c>
      <c r="D533" t="s">
        <v>48</v>
      </c>
      <c r="E533" t="s">
        <v>52</v>
      </c>
      <c r="F533">
        <v>2010</v>
      </c>
      <c r="G533">
        <v>92</v>
      </c>
      <c r="H533">
        <v>1.38</v>
      </c>
      <c r="I533">
        <v>0.5</v>
      </c>
      <c r="J533">
        <v>0.48</v>
      </c>
      <c r="K533">
        <v>0.22</v>
      </c>
      <c r="L533">
        <v>0.18</v>
      </c>
      <c r="M533" t="s">
        <v>17</v>
      </c>
      <c r="N533" t="s">
        <v>1068</v>
      </c>
    </row>
    <row r="534" spans="1:14" x14ac:dyDescent="0.35">
      <c r="A534">
        <v>533</v>
      </c>
      <c r="B534" t="s">
        <v>575</v>
      </c>
      <c r="C534" t="s">
        <v>23</v>
      </c>
      <c r="D534" t="s">
        <v>45</v>
      </c>
      <c r="E534" t="s">
        <v>60</v>
      </c>
      <c r="F534">
        <v>2020</v>
      </c>
      <c r="G534">
        <v>61</v>
      </c>
      <c r="H534">
        <v>0.67</v>
      </c>
      <c r="I534">
        <v>0.31</v>
      </c>
      <c r="J534">
        <v>0.14000000000000001</v>
      </c>
      <c r="K534">
        <v>0.11</v>
      </c>
      <c r="L534">
        <v>0.11</v>
      </c>
      <c r="M534" t="s">
        <v>17</v>
      </c>
      <c r="N534" t="s">
        <v>1071</v>
      </c>
    </row>
    <row r="535" spans="1:14" x14ac:dyDescent="0.35">
      <c r="A535">
        <v>534</v>
      </c>
      <c r="B535" t="s">
        <v>576</v>
      </c>
      <c r="C535" t="s">
        <v>31</v>
      </c>
      <c r="D535" t="s">
        <v>29</v>
      </c>
      <c r="E535" t="s">
        <v>46</v>
      </c>
      <c r="F535">
        <v>2001</v>
      </c>
      <c r="G535">
        <v>56</v>
      </c>
      <c r="H535">
        <v>0.63</v>
      </c>
      <c r="I535">
        <v>0.31</v>
      </c>
      <c r="J535">
        <v>0.21</v>
      </c>
      <c r="K535">
        <v>0.1</v>
      </c>
      <c r="L535">
        <v>0.01</v>
      </c>
      <c r="M535" t="s">
        <v>17</v>
      </c>
      <c r="N535" t="s">
        <v>1071</v>
      </c>
    </row>
    <row r="536" spans="1:14" x14ac:dyDescent="0.35">
      <c r="A536">
        <v>535</v>
      </c>
      <c r="B536" t="s">
        <v>577</v>
      </c>
      <c r="C536" t="s">
        <v>59</v>
      </c>
      <c r="D536" t="s">
        <v>62</v>
      </c>
      <c r="E536" t="s">
        <v>54</v>
      </c>
      <c r="F536">
        <v>1998</v>
      </c>
      <c r="G536">
        <v>78</v>
      </c>
      <c r="H536">
        <v>0.79</v>
      </c>
      <c r="I536">
        <v>0.28000000000000003</v>
      </c>
      <c r="J536">
        <v>0.23</v>
      </c>
      <c r="K536">
        <v>0.09</v>
      </c>
      <c r="L536">
        <v>0.19</v>
      </c>
      <c r="M536" t="s">
        <v>17</v>
      </c>
      <c r="N536" t="s">
        <v>1070</v>
      </c>
    </row>
    <row r="537" spans="1:14" x14ac:dyDescent="0.35">
      <c r="A537">
        <v>536</v>
      </c>
      <c r="B537" t="s">
        <v>578</v>
      </c>
      <c r="C537" t="s">
        <v>57</v>
      </c>
      <c r="D537" t="s">
        <v>65</v>
      </c>
      <c r="E537" t="s">
        <v>20</v>
      </c>
      <c r="F537">
        <v>2009</v>
      </c>
      <c r="G537">
        <v>72</v>
      </c>
      <c r="H537">
        <v>1.05</v>
      </c>
      <c r="I537">
        <v>0.49</v>
      </c>
      <c r="J537">
        <v>0.24</v>
      </c>
      <c r="K537">
        <v>0.16</v>
      </c>
      <c r="L537">
        <v>0.16</v>
      </c>
      <c r="M537" t="s">
        <v>17</v>
      </c>
      <c r="N537" t="s">
        <v>1070</v>
      </c>
    </row>
    <row r="538" spans="1:14" x14ac:dyDescent="0.35">
      <c r="A538">
        <v>537</v>
      </c>
      <c r="B538" t="s">
        <v>579</v>
      </c>
      <c r="C538" t="s">
        <v>23</v>
      </c>
      <c r="D538" t="s">
        <v>15</v>
      </c>
      <c r="E538" t="s">
        <v>60</v>
      </c>
      <c r="F538">
        <v>2022</v>
      </c>
      <c r="G538">
        <v>62</v>
      </c>
      <c r="H538">
        <v>0.53</v>
      </c>
      <c r="I538">
        <v>0.19</v>
      </c>
      <c r="J538">
        <v>0.14000000000000001</v>
      </c>
      <c r="K538">
        <v>0.08</v>
      </c>
      <c r="L538">
        <v>0.12</v>
      </c>
      <c r="M538" t="s">
        <v>17</v>
      </c>
      <c r="N538" t="s">
        <v>1071</v>
      </c>
    </row>
    <row r="539" spans="1:14" x14ac:dyDescent="0.35">
      <c r="A539">
        <v>538</v>
      </c>
      <c r="B539" t="s">
        <v>580</v>
      </c>
      <c r="C539" t="s">
        <v>57</v>
      </c>
      <c r="D539" t="s">
        <v>65</v>
      </c>
      <c r="E539" t="s">
        <v>52</v>
      </c>
      <c r="F539">
        <v>2005</v>
      </c>
      <c r="G539">
        <v>70</v>
      </c>
      <c r="H539">
        <v>0.56999999999999995</v>
      </c>
      <c r="I539">
        <v>0.28000000000000003</v>
      </c>
      <c r="J539">
        <v>0.18</v>
      </c>
      <c r="K539">
        <v>0.1</v>
      </c>
      <c r="L539">
        <v>0.01</v>
      </c>
      <c r="M539" t="s">
        <v>17</v>
      </c>
      <c r="N539" t="s">
        <v>1070</v>
      </c>
    </row>
    <row r="540" spans="1:14" x14ac:dyDescent="0.35">
      <c r="A540">
        <v>539</v>
      </c>
      <c r="B540" t="s">
        <v>581</v>
      </c>
      <c r="C540" t="s">
        <v>57</v>
      </c>
      <c r="D540" t="s">
        <v>48</v>
      </c>
      <c r="E540" t="s">
        <v>43</v>
      </c>
      <c r="F540">
        <v>2007</v>
      </c>
      <c r="G540">
        <v>87</v>
      </c>
      <c r="H540">
        <v>0.7</v>
      </c>
      <c r="I540">
        <v>0.25</v>
      </c>
      <c r="J540">
        <v>0.18</v>
      </c>
      <c r="K540">
        <v>0.09</v>
      </c>
      <c r="L540">
        <v>0.18</v>
      </c>
      <c r="M540" t="s">
        <v>17</v>
      </c>
      <c r="N540" t="s">
        <v>1069</v>
      </c>
    </row>
    <row r="541" spans="1:14" x14ac:dyDescent="0.35">
      <c r="A541">
        <v>540</v>
      </c>
      <c r="B541" t="s">
        <v>582</v>
      </c>
      <c r="C541" t="s">
        <v>23</v>
      </c>
      <c r="D541" t="s">
        <v>33</v>
      </c>
      <c r="E541" t="s">
        <v>16</v>
      </c>
      <c r="F541">
        <v>2026</v>
      </c>
      <c r="G541">
        <v>73</v>
      </c>
      <c r="H541">
        <v>0.66</v>
      </c>
      <c r="I541">
        <v>0.32</v>
      </c>
      <c r="J541">
        <v>0.2</v>
      </c>
      <c r="K541">
        <v>0.13</v>
      </c>
      <c r="L541">
        <v>0.01</v>
      </c>
      <c r="M541" t="s">
        <v>17</v>
      </c>
      <c r="N541" t="s">
        <v>1070</v>
      </c>
    </row>
    <row r="542" spans="1:14" x14ac:dyDescent="0.35">
      <c r="A542">
        <v>541</v>
      </c>
      <c r="B542" t="s">
        <v>583</v>
      </c>
      <c r="C542" t="s">
        <v>59</v>
      </c>
      <c r="D542" t="s">
        <v>62</v>
      </c>
      <c r="E542" t="s">
        <v>49</v>
      </c>
      <c r="F542">
        <v>1996</v>
      </c>
      <c r="G542">
        <v>66</v>
      </c>
      <c r="H542">
        <v>0.18</v>
      </c>
      <c r="I542">
        <v>0.09</v>
      </c>
      <c r="J542">
        <v>0.05</v>
      </c>
      <c r="K542">
        <v>0.03</v>
      </c>
      <c r="L542">
        <v>0.01</v>
      </c>
      <c r="M542" t="s">
        <v>24</v>
      </c>
      <c r="N542" t="s">
        <v>1071</v>
      </c>
    </row>
    <row r="543" spans="1:14" x14ac:dyDescent="0.35">
      <c r="A543">
        <v>542</v>
      </c>
      <c r="B543" t="s">
        <v>584</v>
      </c>
      <c r="C543" t="s">
        <v>23</v>
      </c>
      <c r="D543" t="s">
        <v>15</v>
      </c>
      <c r="E543" t="s">
        <v>46</v>
      </c>
      <c r="F543">
        <v>2025</v>
      </c>
      <c r="G543">
        <v>63</v>
      </c>
      <c r="H543">
        <v>0.69</v>
      </c>
      <c r="I543">
        <v>0.34</v>
      </c>
      <c r="J543">
        <v>0.14000000000000001</v>
      </c>
      <c r="K543">
        <v>0.05</v>
      </c>
      <c r="L543">
        <v>0.16</v>
      </c>
      <c r="M543" t="s">
        <v>17</v>
      </c>
      <c r="N543" t="s">
        <v>1071</v>
      </c>
    </row>
    <row r="544" spans="1:14" x14ac:dyDescent="0.35">
      <c r="A544">
        <v>543</v>
      </c>
      <c r="B544" t="s">
        <v>585</v>
      </c>
      <c r="C544" t="s">
        <v>59</v>
      </c>
      <c r="D544" t="s">
        <v>65</v>
      </c>
      <c r="E544" t="s">
        <v>43</v>
      </c>
      <c r="F544">
        <v>1996</v>
      </c>
      <c r="G544">
        <v>76</v>
      </c>
      <c r="H544">
        <v>1.25</v>
      </c>
      <c r="I544">
        <v>0.56000000000000005</v>
      </c>
      <c r="J544">
        <v>0.37</v>
      </c>
      <c r="K544">
        <v>0.16</v>
      </c>
      <c r="L544">
        <v>0.16</v>
      </c>
      <c r="M544" t="s">
        <v>17</v>
      </c>
      <c r="N544" t="s">
        <v>1070</v>
      </c>
    </row>
    <row r="545" spans="1:14" x14ac:dyDescent="0.35">
      <c r="A545">
        <v>544</v>
      </c>
      <c r="B545" t="s">
        <v>586</v>
      </c>
      <c r="C545" t="s">
        <v>23</v>
      </c>
      <c r="D545" t="s">
        <v>62</v>
      </c>
      <c r="E545" t="s">
        <v>46</v>
      </c>
      <c r="F545">
        <v>2023</v>
      </c>
      <c r="G545">
        <v>74</v>
      </c>
      <c r="H545">
        <v>0.37</v>
      </c>
      <c r="I545">
        <v>0.17</v>
      </c>
      <c r="J545">
        <v>0.13</v>
      </c>
      <c r="K545">
        <v>0.06</v>
      </c>
      <c r="L545">
        <v>0.01</v>
      </c>
      <c r="M545" t="s">
        <v>24</v>
      </c>
      <c r="N545" t="s">
        <v>1070</v>
      </c>
    </row>
    <row r="546" spans="1:14" x14ac:dyDescent="0.35">
      <c r="A546">
        <v>545</v>
      </c>
      <c r="B546" t="s">
        <v>587</v>
      </c>
      <c r="C546" t="s">
        <v>59</v>
      </c>
      <c r="D546" t="s">
        <v>29</v>
      </c>
      <c r="E546" t="s">
        <v>46</v>
      </c>
      <c r="F546">
        <v>1996</v>
      </c>
      <c r="G546">
        <v>94</v>
      </c>
      <c r="H546">
        <v>2.23</v>
      </c>
      <c r="I546">
        <v>1.08</v>
      </c>
      <c r="J546">
        <v>0.5</v>
      </c>
      <c r="K546">
        <v>0.19</v>
      </c>
      <c r="L546">
        <v>0.46</v>
      </c>
      <c r="M546" t="s">
        <v>27</v>
      </c>
      <c r="N546" t="s">
        <v>1068</v>
      </c>
    </row>
    <row r="547" spans="1:14" x14ac:dyDescent="0.35">
      <c r="A547">
        <v>546</v>
      </c>
      <c r="B547" t="s">
        <v>588</v>
      </c>
      <c r="C547" t="s">
        <v>59</v>
      </c>
      <c r="D547" t="s">
        <v>2</v>
      </c>
      <c r="E547" t="s">
        <v>54</v>
      </c>
      <c r="F547">
        <v>1997</v>
      </c>
      <c r="G547">
        <v>78</v>
      </c>
      <c r="H547">
        <v>0.13</v>
      </c>
      <c r="I547">
        <v>0.05</v>
      </c>
      <c r="J547">
        <v>0.03</v>
      </c>
      <c r="K547">
        <v>0.01</v>
      </c>
      <c r="L547">
        <v>0.04</v>
      </c>
      <c r="M547" t="s">
        <v>24</v>
      </c>
      <c r="N547" t="s">
        <v>1070</v>
      </c>
    </row>
    <row r="548" spans="1:14" x14ac:dyDescent="0.35">
      <c r="A548">
        <v>547</v>
      </c>
      <c r="B548" t="s">
        <v>589</v>
      </c>
      <c r="C548" t="s">
        <v>14</v>
      </c>
      <c r="D548" t="s">
        <v>65</v>
      </c>
      <c r="E548" t="s">
        <v>54</v>
      </c>
      <c r="F548">
        <v>2013</v>
      </c>
      <c r="G548">
        <v>62</v>
      </c>
      <c r="H548">
        <v>1.75</v>
      </c>
      <c r="I548">
        <v>0.79</v>
      </c>
      <c r="J548">
        <v>0.39</v>
      </c>
      <c r="K548">
        <v>0.21</v>
      </c>
      <c r="L548">
        <v>0.36</v>
      </c>
      <c r="M548" t="s">
        <v>17</v>
      </c>
      <c r="N548" t="s">
        <v>1071</v>
      </c>
    </row>
    <row r="549" spans="1:14" x14ac:dyDescent="0.35">
      <c r="A549">
        <v>548</v>
      </c>
      <c r="B549" t="s">
        <v>590</v>
      </c>
      <c r="C549" t="s">
        <v>14</v>
      </c>
      <c r="D549" t="s">
        <v>15</v>
      </c>
      <c r="E549" t="s">
        <v>60</v>
      </c>
      <c r="F549">
        <v>2008</v>
      </c>
      <c r="G549">
        <v>96</v>
      </c>
      <c r="H549">
        <v>1.08</v>
      </c>
      <c r="I549">
        <v>0.44</v>
      </c>
      <c r="J549">
        <v>0.37</v>
      </c>
      <c r="K549">
        <v>0.21</v>
      </c>
      <c r="L549">
        <v>0.06</v>
      </c>
      <c r="M549" t="s">
        <v>17</v>
      </c>
      <c r="N549" t="s">
        <v>1068</v>
      </c>
    </row>
    <row r="550" spans="1:14" x14ac:dyDescent="0.35">
      <c r="A550">
        <v>549</v>
      </c>
      <c r="B550" t="s">
        <v>591</v>
      </c>
      <c r="C550" t="s">
        <v>23</v>
      </c>
      <c r="D550" t="s">
        <v>37</v>
      </c>
      <c r="E550" t="s">
        <v>74</v>
      </c>
      <c r="F550">
        <v>2025</v>
      </c>
      <c r="G550">
        <v>62</v>
      </c>
      <c r="H550">
        <v>0.21</v>
      </c>
      <c r="I550">
        <v>0.09</v>
      </c>
      <c r="J550">
        <v>0.05</v>
      </c>
      <c r="K550">
        <v>0.04</v>
      </c>
      <c r="L550">
        <v>0.03</v>
      </c>
      <c r="M550" t="s">
        <v>24</v>
      </c>
      <c r="N550" t="s">
        <v>1071</v>
      </c>
    </row>
    <row r="551" spans="1:14" x14ac:dyDescent="0.35">
      <c r="A551">
        <v>550</v>
      </c>
      <c r="B551" t="s">
        <v>592</v>
      </c>
      <c r="C551" t="s">
        <v>19</v>
      </c>
      <c r="D551" t="s">
        <v>33</v>
      </c>
      <c r="E551" t="s">
        <v>43</v>
      </c>
      <c r="F551">
        <v>2018</v>
      </c>
      <c r="G551">
        <v>96</v>
      </c>
      <c r="H551">
        <v>0.3</v>
      </c>
      <c r="I551">
        <v>0.15</v>
      </c>
      <c r="J551">
        <v>0.09</v>
      </c>
      <c r="K551">
        <v>0.02</v>
      </c>
      <c r="L551">
        <v>0.04</v>
      </c>
      <c r="M551" t="s">
        <v>24</v>
      </c>
      <c r="N551" t="s">
        <v>1068</v>
      </c>
    </row>
    <row r="552" spans="1:14" x14ac:dyDescent="0.35">
      <c r="A552">
        <v>551</v>
      </c>
      <c r="B552" t="s">
        <v>593</v>
      </c>
      <c r="C552" t="s">
        <v>59</v>
      </c>
      <c r="D552" t="s">
        <v>62</v>
      </c>
      <c r="E552" t="s">
        <v>49</v>
      </c>
      <c r="F552">
        <v>1999</v>
      </c>
      <c r="G552">
        <v>67</v>
      </c>
      <c r="H552">
        <v>0.39</v>
      </c>
      <c r="I552">
        <v>0.18</v>
      </c>
      <c r="J552">
        <v>0.08</v>
      </c>
      <c r="K552">
        <v>0.06</v>
      </c>
      <c r="L552">
        <v>7.0000000000000007E-2</v>
      </c>
      <c r="M552" t="s">
        <v>24</v>
      </c>
      <c r="N552" t="s">
        <v>1071</v>
      </c>
    </row>
    <row r="553" spans="1:14" x14ac:dyDescent="0.35">
      <c r="A553">
        <v>552</v>
      </c>
      <c r="B553" t="s">
        <v>594</v>
      </c>
      <c r="C553" t="s">
        <v>19</v>
      </c>
      <c r="D553" t="s">
        <v>45</v>
      </c>
      <c r="E553" t="s">
        <v>43</v>
      </c>
      <c r="F553">
        <v>2015</v>
      </c>
      <c r="G553">
        <v>55</v>
      </c>
      <c r="H553">
        <v>0.49</v>
      </c>
      <c r="I553">
        <v>0.27</v>
      </c>
      <c r="J553">
        <v>0.16</v>
      </c>
      <c r="K553">
        <v>0.03</v>
      </c>
      <c r="L553">
        <v>0.03</v>
      </c>
      <c r="M553" t="s">
        <v>24</v>
      </c>
      <c r="N553" t="s">
        <v>1071</v>
      </c>
    </row>
    <row r="554" spans="1:14" x14ac:dyDescent="0.35">
      <c r="A554">
        <v>553</v>
      </c>
      <c r="B554" t="s">
        <v>595</v>
      </c>
      <c r="C554" t="s">
        <v>57</v>
      </c>
      <c r="D554" t="s">
        <v>45</v>
      </c>
      <c r="E554" t="s">
        <v>16</v>
      </c>
      <c r="F554">
        <v>2011</v>
      </c>
      <c r="G554">
        <v>82</v>
      </c>
      <c r="H554">
        <v>0.87</v>
      </c>
      <c r="I554">
        <v>0.45</v>
      </c>
      <c r="J554">
        <v>0.25</v>
      </c>
      <c r="K554">
        <v>0.06</v>
      </c>
      <c r="L554">
        <v>0.11</v>
      </c>
      <c r="M554" t="s">
        <v>17</v>
      </c>
      <c r="N554" t="s">
        <v>1069</v>
      </c>
    </row>
    <row r="555" spans="1:14" x14ac:dyDescent="0.35">
      <c r="A555">
        <v>554</v>
      </c>
      <c r="B555" t="s">
        <v>596</v>
      </c>
      <c r="C555" t="s">
        <v>14</v>
      </c>
      <c r="D555" t="s">
        <v>65</v>
      </c>
      <c r="E555" t="s">
        <v>43</v>
      </c>
      <c r="F555">
        <v>2013</v>
      </c>
      <c r="G555">
        <v>79</v>
      </c>
      <c r="H555">
        <v>0.2</v>
      </c>
      <c r="I555">
        <v>0.11</v>
      </c>
      <c r="J555">
        <v>0.05</v>
      </c>
      <c r="K555">
        <v>0.03</v>
      </c>
      <c r="L555">
        <v>0.01</v>
      </c>
      <c r="M555" t="s">
        <v>24</v>
      </c>
      <c r="N555" t="s">
        <v>1070</v>
      </c>
    </row>
    <row r="556" spans="1:14" x14ac:dyDescent="0.35">
      <c r="A556">
        <v>555</v>
      </c>
      <c r="B556" t="s">
        <v>597</v>
      </c>
      <c r="C556" t="s">
        <v>57</v>
      </c>
      <c r="D556" t="s">
        <v>37</v>
      </c>
      <c r="E556" t="s">
        <v>52</v>
      </c>
      <c r="F556">
        <v>2013</v>
      </c>
      <c r="G556">
        <v>73</v>
      </c>
      <c r="H556">
        <v>0.52</v>
      </c>
      <c r="I556">
        <v>0.27</v>
      </c>
      <c r="J556">
        <v>0.17</v>
      </c>
      <c r="K556">
        <v>0.05</v>
      </c>
      <c r="L556">
        <v>0.03</v>
      </c>
      <c r="M556" t="s">
        <v>17</v>
      </c>
      <c r="N556" t="s">
        <v>1070</v>
      </c>
    </row>
    <row r="557" spans="1:14" x14ac:dyDescent="0.35">
      <c r="A557">
        <v>556</v>
      </c>
      <c r="B557" t="s">
        <v>598</v>
      </c>
      <c r="C557" t="s">
        <v>23</v>
      </c>
      <c r="D557" t="s">
        <v>62</v>
      </c>
      <c r="E557" t="s">
        <v>52</v>
      </c>
      <c r="F557">
        <v>2025</v>
      </c>
      <c r="G557">
        <v>64</v>
      </c>
      <c r="H557">
        <v>1.96</v>
      </c>
      <c r="I557">
        <v>0.94</v>
      </c>
      <c r="J557">
        <v>0.65</v>
      </c>
      <c r="K557">
        <v>0.22</v>
      </c>
      <c r="L557">
        <v>0.15</v>
      </c>
      <c r="M557" t="s">
        <v>17</v>
      </c>
      <c r="N557" t="s">
        <v>1071</v>
      </c>
    </row>
    <row r="558" spans="1:14" x14ac:dyDescent="0.35">
      <c r="A558">
        <v>557</v>
      </c>
      <c r="B558" t="s">
        <v>599</v>
      </c>
      <c r="C558" t="s">
        <v>19</v>
      </c>
      <c r="D558" t="s">
        <v>15</v>
      </c>
      <c r="E558" t="s">
        <v>49</v>
      </c>
      <c r="F558">
        <v>2016</v>
      </c>
      <c r="G558">
        <v>59</v>
      </c>
      <c r="H558">
        <v>1.03</v>
      </c>
      <c r="I558">
        <v>0.46</v>
      </c>
      <c r="J558">
        <v>0.27</v>
      </c>
      <c r="K558">
        <v>0.09</v>
      </c>
      <c r="L558">
        <v>0.21</v>
      </c>
      <c r="M558" t="s">
        <v>17</v>
      </c>
      <c r="N558" t="s">
        <v>1071</v>
      </c>
    </row>
    <row r="559" spans="1:14" x14ac:dyDescent="0.35">
      <c r="A559">
        <v>558</v>
      </c>
      <c r="B559" t="s">
        <v>600</v>
      </c>
      <c r="C559" t="s">
        <v>57</v>
      </c>
      <c r="D559" t="s">
        <v>33</v>
      </c>
      <c r="E559" t="s">
        <v>43</v>
      </c>
      <c r="F559">
        <v>2011</v>
      </c>
      <c r="G559">
        <v>56</v>
      </c>
      <c r="H559">
        <v>0.91</v>
      </c>
      <c r="I559">
        <v>0.33</v>
      </c>
      <c r="J559">
        <v>0.23</v>
      </c>
      <c r="K559">
        <v>0.17</v>
      </c>
      <c r="L559">
        <v>0.18</v>
      </c>
      <c r="M559" t="s">
        <v>17</v>
      </c>
      <c r="N559" t="s">
        <v>1071</v>
      </c>
    </row>
    <row r="560" spans="1:14" x14ac:dyDescent="0.35">
      <c r="A560">
        <v>559</v>
      </c>
      <c r="B560" t="s">
        <v>601</v>
      </c>
      <c r="C560" t="s">
        <v>31</v>
      </c>
      <c r="D560" t="s">
        <v>37</v>
      </c>
      <c r="E560" t="s">
        <v>20</v>
      </c>
      <c r="F560">
        <v>2002</v>
      </c>
      <c r="G560">
        <v>81</v>
      </c>
      <c r="H560">
        <v>0.25</v>
      </c>
      <c r="I560">
        <v>0.12</v>
      </c>
      <c r="J560">
        <v>0.05</v>
      </c>
      <c r="K560">
        <v>0.02</v>
      </c>
      <c r="L560">
        <v>0.06</v>
      </c>
      <c r="M560" t="s">
        <v>24</v>
      </c>
      <c r="N560" t="s">
        <v>1069</v>
      </c>
    </row>
    <row r="561" spans="1:14" x14ac:dyDescent="0.35">
      <c r="A561">
        <v>560</v>
      </c>
      <c r="B561" t="s">
        <v>602</v>
      </c>
      <c r="C561" t="s">
        <v>57</v>
      </c>
      <c r="D561" t="s">
        <v>33</v>
      </c>
      <c r="E561" t="s">
        <v>74</v>
      </c>
      <c r="F561">
        <v>2006</v>
      </c>
      <c r="G561">
        <v>75</v>
      </c>
      <c r="H561">
        <v>0.72</v>
      </c>
      <c r="I561">
        <v>0.35</v>
      </c>
      <c r="J561">
        <v>0.22</v>
      </c>
      <c r="K561">
        <v>0.05</v>
      </c>
      <c r="L561">
        <v>0.1</v>
      </c>
      <c r="M561" t="s">
        <v>17</v>
      </c>
      <c r="N561" t="s">
        <v>1070</v>
      </c>
    </row>
    <row r="562" spans="1:14" x14ac:dyDescent="0.35">
      <c r="A562">
        <v>561</v>
      </c>
      <c r="B562" t="s">
        <v>603</v>
      </c>
      <c r="C562" t="s">
        <v>23</v>
      </c>
      <c r="D562" t="s">
        <v>37</v>
      </c>
      <c r="E562" t="s">
        <v>20</v>
      </c>
      <c r="F562">
        <v>2022</v>
      </c>
      <c r="G562">
        <v>73</v>
      </c>
      <c r="H562">
        <v>0.5</v>
      </c>
      <c r="I562">
        <v>0.21</v>
      </c>
      <c r="J562">
        <v>0.17</v>
      </c>
      <c r="K562">
        <v>0.03</v>
      </c>
      <c r="L562">
        <v>0.09</v>
      </c>
      <c r="M562" t="s">
        <v>24</v>
      </c>
      <c r="N562" t="s">
        <v>1070</v>
      </c>
    </row>
    <row r="563" spans="1:14" x14ac:dyDescent="0.35">
      <c r="A563">
        <v>562</v>
      </c>
      <c r="B563" t="s">
        <v>604</v>
      </c>
      <c r="C563" t="s">
        <v>31</v>
      </c>
      <c r="D563" t="s">
        <v>48</v>
      </c>
      <c r="E563" t="s">
        <v>52</v>
      </c>
      <c r="F563">
        <v>2004</v>
      </c>
      <c r="G563">
        <v>88</v>
      </c>
      <c r="H563">
        <v>4.25</v>
      </c>
      <c r="I563">
        <v>2.08</v>
      </c>
      <c r="J563">
        <v>1.36</v>
      </c>
      <c r="K563">
        <v>0.48</v>
      </c>
      <c r="L563">
        <v>0.33</v>
      </c>
      <c r="M563" t="s">
        <v>27</v>
      </c>
      <c r="N563" t="s">
        <v>1069</v>
      </c>
    </row>
    <row r="564" spans="1:14" x14ac:dyDescent="0.35">
      <c r="A564">
        <v>563</v>
      </c>
      <c r="B564" t="s">
        <v>605</v>
      </c>
      <c r="C564" t="s">
        <v>59</v>
      </c>
      <c r="D564" t="s">
        <v>37</v>
      </c>
      <c r="E564" t="s">
        <v>20</v>
      </c>
      <c r="F564">
        <v>1995</v>
      </c>
      <c r="G564">
        <v>74</v>
      </c>
      <c r="H564">
        <v>0.56999999999999995</v>
      </c>
      <c r="I564">
        <v>0.25</v>
      </c>
      <c r="J564">
        <v>0.2</v>
      </c>
      <c r="K564">
        <v>7.0000000000000007E-2</v>
      </c>
      <c r="L564">
        <v>0.05</v>
      </c>
      <c r="M564" t="s">
        <v>17</v>
      </c>
      <c r="N564" t="s">
        <v>1070</v>
      </c>
    </row>
    <row r="565" spans="1:14" x14ac:dyDescent="0.35">
      <c r="A565">
        <v>564</v>
      </c>
      <c r="B565" t="s">
        <v>606</v>
      </c>
      <c r="C565" t="s">
        <v>14</v>
      </c>
      <c r="D565" t="s">
        <v>51</v>
      </c>
      <c r="E565" t="s">
        <v>20</v>
      </c>
      <c r="F565">
        <v>2008</v>
      </c>
      <c r="G565">
        <v>63</v>
      </c>
      <c r="H565">
        <v>1.1200000000000001</v>
      </c>
      <c r="I565">
        <v>0.44</v>
      </c>
      <c r="J565">
        <v>0.25</v>
      </c>
      <c r="K565">
        <v>0.08</v>
      </c>
      <c r="L565">
        <v>0.35</v>
      </c>
      <c r="M565" t="s">
        <v>17</v>
      </c>
      <c r="N565" t="s">
        <v>1071</v>
      </c>
    </row>
    <row r="566" spans="1:14" x14ac:dyDescent="0.35">
      <c r="A566">
        <v>565</v>
      </c>
      <c r="B566" t="s">
        <v>607</v>
      </c>
      <c r="C566" t="s">
        <v>59</v>
      </c>
      <c r="D566" t="s">
        <v>33</v>
      </c>
      <c r="E566" t="s">
        <v>49</v>
      </c>
      <c r="F566">
        <v>1998</v>
      </c>
      <c r="G566">
        <v>82</v>
      </c>
      <c r="H566">
        <v>1.03</v>
      </c>
      <c r="I566">
        <v>0.37</v>
      </c>
      <c r="J566">
        <v>0.22</v>
      </c>
      <c r="K566">
        <v>0.09</v>
      </c>
      <c r="L566">
        <v>0.35</v>
      </c>
      <c r="M566" t="s">
        <v>17</v>
      </c>
      <c r="N566" t="s">
        <v>1069</v>
      </c>
    </row>
    <row r="567" spans="1:14" x14ac:dyDescent="0.35">
      <c r="A567">
        <v>566</v>
      </c>
      <c r="B567" t="s">
        <v>608</v>
      </c>
      <c r="C567" t="s">
        <v>59</v>
      </c>
      <c r="D567" t="s">
        <v>15</v>
      </c>
      <c r="E567" t="s">
        <v>49</v>
      </c>
      <c r="F567">
        <v>1997</v>
      </c>
      <c r="G567">
        <v>68</v>
      </c>
      <c r="H567">
        <v>0.48</v>
      </c>
      <c r="I567">
        <v>0.23</v>
      </c>
      <c r="J567">
        <v>0.1</v>
      </c>
      <c r="K567">
        <v>0.03</v>
      </c>
      <c r="L567">
        <v>0.12</v>
      </c>
      <c r="M567" t="s">
        <v>24</v>
      </c>
      <c r="N567" t="s">
        <v>1071</v>
      </c>
    </row>
    <row r="568" spans="1:14" x14ac:dyDescent="0.35">
      <c r="A568">
        <v>567</v>
      </c>
      <c r="B568" t="s">
        <v>609</v>
      </c>
      <c r="C568" t="s">
        <v>57</v>
      </c>
      <c r="D568" t="s">
        <v>2</v>
      </c>
      <c r="E568" t="s">
        <v>43</v>
      </c>
      <c r="F568">
        <v>2008</v>
      </c>
      <c r="G568">
        <v>87</v>
      </c>
      <c r="H568">
        <v>1.47</v>
      </c>
      <c r="I568">
        <v>0.66</v>
      </c>
      <c r="J568">
        <v>0.31</v>
      </c>
      <c r="K568">
        <v>0.25</v>
      </c>
      <c r="L568">
        <v>0.25</v>
      </c>
      <c r="M568" t="s">
        <v>17</v>
      </c>
      <c r="N568" t="s">
        <v>1069</v>
      </c>
    </row>
    <row r="569" spans="1:14" x14ac:dyDescent="0.35">
      <c r="A569">
        <v>568</v>
      </c>
      <c r="B569" t="s">
        <v>610</v>
      </c>
      <c r="C569" t="s">
        <v>64</v>
      </c>
      <c r="D569" t="s">
        <v>65</v>
      </c>
      <c r="E569" t="s">
        <v>52</v>
      </c>
      <c r="F569">
        <v>2011</v>
      </c>
      <c r="G569">
        <v>65</v>
      </c>
      <c r="H569">
        <v>1.1299999999999999</v>
      </c>
      <c r="I569">
        <v>0.62</v>
      </c>
      <c r="J569">
        <v>0.24</v>
      </c>
      <c r="K569">
        <v>0.09</v>
      </c>
      <c r="L569">
        <v>0.18</v>
      </c>
      <c r="M569" t="s">
        <v>17</v>
      </c>
      <c r="N569" t="s">
        <v>1071</v>
      </c>
    </row>
    <row r="570" spans="1:14" x14ac:dyDescent="0.35">
      <c r="A570">
        <v>569</v>
      </c>
      <c r="B570" t="s">
        <v>611</v>
      </c>
      <c r="C570" t="s">
        <v>23</v>
      </c>
      <c r="D570" t="s">
        <v>62</v>
      </c>
      <c r="E570" t="s">
        <v>43</v>
      </c>
      <c r="F570">
        <v>2026</v>
      </c>
      <c r="G570">
        <v>83</v>
      </c>
      <c r="H570">
        <v>0.99</v>
      </c>
      <c r="I570">
        <v>0.51</v>
      </c>
      <c r="J570">
        <v>0.34</v>
      </c>
      <c r="K570">
        <v>0.11</v>
      </c>
      <c r="L570">
        <v>0.03</v>
      </c>
      <c r="M570" t="s">
        <v>17</v>
      </c>
      <c r="N570" t="s">
        <v>1069</v>
      </c>
    </row>
    <row r="571" spans="1:14" x14ac:dyDescent="0.35">
      <c r="A571">
        <v>570</v>
      </c>
      <c r="B571" t="s">
        <v>612</v>
      </c>
      <c r="C571" t="s">
        <v>23</v>
      </c>
      <c r="D571" t="s">
        <v>45</v>
      </c>
      <c r="E571" t="s">
        <v>49</v>
      </c>
      <c r="F571">
        <v>2021</v>
      </c>
      <c r="G571">
        <v>84</v>
      </c>
      <c r="H571">
        <v>2.9</v>
      </c>
      <c r="I571">
        <v>1.34</v>
      </c>
      <c r="J571">
        <v>0.6</v>
      </c>
      <c r="K571">
        <v>0.28999999999999998</v>
      </c>
      <c r="L571">
        <v>0.67</v>
      </c>
      <c r="M571" t="s">
        <v>27</v>
      </c>
      <c r="N571" t="s">
        <v>1069</v>
      </c>
    </row>
    <row r="572" spans="1:14" x14ac:dyDescent="0.35">
      <c r="A572">
        <v>571</v>
      </c>
      <c r="B572" t="s">
        <v>613</v>
      </c>
      <c r="C572" t="s">
        <v>59</v>
      </c>
      <c r="D572" t="s">
        <v>51</v>
      </c>
      <c r="E572" t="s">
        <v>16</v>
      </c>
      <c r="F572">
        <v>1998</v>
      </c>
      <c r="G572">
        <v>98</v>
      </c>
      <c r="H572">
        <v>1.52</v>
      </c>
      <c r="I572">
        <v>0.7</v>
      </c>
      <c r="J572">
        <v>0.37</v>
      </c>
      <c r="K572">
        <v>0.27</v>
      </c>
      <c r="L572">
        <v>0.18</v>
      </c>
      <c r="M572" t="s">
        <v>17</v>
      </c>
      <c r="N572" t="s">
        <v>1068</v>
      </c>
    </row>
    <row r="573" spans="1:14" x14ac:dyDescent="0.35">
      <c r="A573">
        <v>572</v>
      </c>
      <c r="B573" t="s">
        <v>614</v>
      </c>
      <c r="C573" t="s">
        <v>31</v>
      </c>
      <c r="D573" t="s">
        <v>33</v>
      </c>
      <c r="E573" t="s">
        <v>16</v>
      </c>
      <c r="F573">
        <v>2006</v>
      </c>
      <c r="G573">
        <v>55</v>
      </c>
      <c r="H573">
        <v>0.22</v>
      </c>
      <c r="I573">
        <v>0.11</v>
      </c>
      <c r="J573">
        <v>0.05</v>
      </c>
      <c r="K573">
        <v>0.02</v>
      </c>
      <c r="L573">
        <v>0.04</v>
      </c>
      <c r="M573" t="s">
        <v>24</v>
      </c>
      <c r="N573" t="s">
        <v>1071</v>
      </c>
    </row>
    <row r="574" spans="1:14" x14ac:dyDescent="0.35">
      <c r="A574">
        <v>573</v>
      </c>
      <c r="B574" t="s">
        <v>615</v>
      </c>
      <c r="C574" t="s">
        <v>19</v>
      </c>
      <c r="D574" t="s">
        <v>37</v>
      </c>
      <c r="E574" t="s">
        <v>49</v>
      </c>
      <c r="F574">
        <v>2014</v>
      </c>
      <c r="G574">
        <v>76</v>
      </c>
      <c r="H574">
        <v>0.67</v>
      </c>
      <c r="I574">
        <v>0.28999999999999998</v>
      </c>
      <c r="J574">
        <v>0.18</v>
      </c>
      <c r="K574">
        <v>0.11</v>
      </c>
      <c r="L574">
        <v>0.09</v>
      </c>
      <c r="M574" t="s">
        <v>17</v>
      </c>
      <c r="N574" t="s">
        <v>1070</v>
      </c>
    </row>
    <row r="575" spans="1:14" x14ac:dyDescent="0.35">
      <c r="A575">
        <v>574</v>
      </c>
      <c r="B575" t="s">
        <v>616</v>
      </c>
      <c r="C575" t="s">
        <v>64</v>
      </c>
      <c r="D575" t="s">
        <v>45</v>
      </c>
      <c r="E575" t="s">
        <v>43</v>
      </c>
      <c r="F575">
        <v>2015</v>
      </c>
      <c r="G575">
        <v>80</v>
      </c>
      <c r="H575">
        <v>0.11</v>
      </c>
      <c r="I575">
        <v>0.04</v>
      </c>
      <c r="J575">
        <v>0.03</v>
      </c>
      <c r="K575">
        <v>0.01</v>
      </c>
      <c r="L575">
        <v>0.03</v>
      </c>
      <c r="M575" t="s">
        <v>24</v>
      </c>
      <c r="N575" t="s">
        <v>1069</v>
      </c>
    </row>
    <row r="576" spans="1:14" x14ac:dyDescent="0.35">
      <c r="A576">
        <v>575</v>
      </c>
      <c r="B576" t="s">
        <v>617</v>
      </c>
      <c r="C576" t="s">
        <v>31</v>
      </c>
      <c r="D576" t="s">
        <v>33</v>
      </c>
      <c r="E576" t="s">
        <v>20</v>
      </c>
      <c r="F576">
        <v>2000</v>
      </c>
      <c r="G576">
        <v>98</v>
      </c>
      <c r="H576">
        <v>0.84</v>
      </c>
      <c r="I576">
        <v>0.34</v>
      </c>
      <c r="J576">
        <v>0.25</v>
      </c>
      <c r="K576">
        <v>0.14000000000000001</v>
      </c>
      <c r="L576">
        <v>0.11</v>
      </c>
      <c r="M576" t="s">
        <v>17</v>
      </c>
      <c r="N576" t="s">
        <v>1068</v>
      </c>
    </row>
    <row r="577" spans="1:14" x14ac:dyDescent="0.35">
      <c r="A577">
        <v>576</v>
      </c>
      <c r="B577" t="s">
        <v>618</v>
      </c>
      <c r="C577" t="s">
        <v>57</v>
      </c>
      <c r="D577" t="s">
        <v>62</v>
      </c>
      <c r="E577" t="s">
        <v>16</v>
      </c>
      <c r="F577">
        <v>2012</v>
      </c>
      <c r="G577">
        <v>97</v>
      </c>
      <c r="H577">
        <v>0.48</v>
      </c>
      <c r="I577">
        <v>0.22</v>
      </c>
      <c r="J577">
        <v>0.15</v>
      </c>
      <c r="K577">
        <v>0.06</v>
      </c>
      <c r="L577">
        <v>0.05</v>
      </c>
      <c r="M577" t="s">
        <v>24</v>
      </c>
      <c r="N577" t="s">
        <v>1068</v>
      </c>
    </row>
    <row r="578" spans="1:14" x14ac:dyDescent="0.35">
      <c r="A578">
        <v>577</v>
      </c>
      <c r="B578" t="s">
        <v>619</v>
      </c>
      <c r="C578" t="s">
        <v>59</v>
      </c>
      <c r="D578" t="s">
        <v>45</v>
      </c>
      <c r="E578" t="s">
        <v>49</v>
      </c>
      <c r="F578">
        <v>1995</v>
      </c>
      <c r="G578">
        <v>75</v>
      </c>
      <c r="H578">
        <v>1.08</v>
      </c>
      <c r="I578">
        <v>0.39</v>
      </c>
      <c r="J578">
        <v>0.24</v>
      </c>
      <c r="K578">
        <v>0.16</v>
      </c>
      <c r="L578">
        <v>0.28999999999999998</v>
      </c>
      <c r="M578" t="s">
        <v>17</v>
      </c>
      <c r="N578" t="s">
        <v>1070</v>
      </c>
    </row>
    <row r="579" spans="1:14" x14ac:dyDescent="0.35">
      <c r="A579">
        <v>578</v>
      </c>
      <c r="B579" t="s">
        <v>620</v>
      </c>
      <c r="C579" t="s">
        <v>64</v>
      </c>
      <c r="D579" t="s">
        <v>37</v>
      </c>
      <c r="E579" t="s">
        <v>16</v>
      </c>
      <c r="F579">
        <v>2015</v>
      </c>
      <c r="G579">
        <v>74</v>
      </c>
      <c r="H579">
        <v>0.56000000000000005</v>
      </c>
      <c r="I579">
        <v>0.21</v>
      </c>
      <c r="J579">
        <v>0.17</v>
      </c>
      <c r="K579">
        <v>0.08</v>
      </c>
      <c r="L579">
        <v>0.1</v>
      </c>
      <c r="M579" t="s">
        <v>17</v>
      </c>
      <c r="N579" t="s">
        <v>1070</v>
      </c>
    </row>
    <row r="580" spans="1:14" x14ac:dyDescent="0.35">
      <c r="A580">
        <v>579</v>
      </c>
      <c r="B580" t="s">
        <v>621</v>
      </c>
      <c r="C580" t="s">
        <v>57</v>
      </c>
      <c r="D580" t="s">
        <v>2</v>
      </c>
      <c r="E580" t="s">
        <v>16</v>
      </c>
      <c r="F580">
        <v>2012</v>
      </c>
      <c r="G580">
        <v>65</v>
      </c>
      <c r="H580">
        <v>0.49</v>
      </c>
      <c r="I580">
        <v>0.22</v>
      </c>
      <c r="J580">
        <v>0.17</v>
      </c>
      <c r="K580">
        <v>7.0000000000000007E-2</v>
      </c>
      <c r="L580">
        <v>0.03</v>
      </c>
      <c r="M580" t="s">
        <v>24</v>
      </c>
      <c r="N580" t="s">
        <v>1071</v>
      </c>
    </row>
    <row r="581" spans="1:14" x14ac:dyDescent="0.35">
      <c r="A581">
        <v>580</v>
      </c>
      <c r="B581" t="s">
        <v>622</v>
      </c>
      <c r="C581" t="s">
        <v>14</v>
      </c>
      <c r="D581" t="s">
        <v>29</v>
      </c>
      <c r="E581" t="s">
        <v>20</v>
      </c>
      <c r="F581">
        <v>2010</v>
      </c>
      <c r="G581">
        <v>57</v>
      </c>
      <c r="H581">
        <v>0.24</v>
      </c>
      <c r="I581">
        <v>0.12</v>
      </c>
      <c r="J581">
        <v>7.0000000000000007E-2</v>
      </c>
      <c r="K581">
        <v>0.04</v>
      </c>
      <c r="L581">
        <v>0.01</v>
      </c>
      <c r="M581" t="s">
        <v>24</v>
      </c>
      <c r="N581" t="s">
        <v>1071</v>
      </c>
    </row>
    <row r="582" spans="1:14" x14ac:dyDescent="0.35">
      <c r="A582">
        <v>581</v>
      </c>
      <c r="B582" t="s">
        <v>623</v>
      </c>
      <c r="C582" t="s">
        <v>57</v>
      </c>
      <c r="D582" t="s">
        <v>45</v>
      </c>
      <c r="E582" t="s">
        <v>49</v>
      </c>
      <c r="F582">
        <v>2009</v>
      </c>
      <c r="G582">
        <v>77</v>
      </c>
      <c r="H582">
        <v>0.41</v>
      </c>
      <c r="I582">
        <v>0.16</v>
      </c>
      <c r="J582">
        <v>0.1</v>
      </c>
      <c r="K582">
        <v>0.04</v>
      </c>
      <c r="L582">
        <v>0.11</v>
      </c>
      <c r="M582" t="s">
        <v>24</v>
      </c>
      <c r="N582" t="s">
        <v>1070</v>
      </c>
    </row>
    <row r="583" spans="1:14" x14ac:dyDescent="0.35">
      <c r="A583">
        <v>582</v>
      </c>
      <c r="B583" t="s">
        <v>624</v>
      </c>
      <c r="C583" t="s">
        <v>59</v>
      </c>
      <c r="D583" t="s">
        <v>33</v>
      </c>
      <c r="E583" t="s">
        <v>46</v>
      </c>
      <c r="F583">
        <v>2000</v>
      </c>
      <c r="G583">
        <v>65</v>
      </c>
      <c r="H583">
        <v>0.13</v>
      </c>
      <c r="I583">
        <v>0.06</v>
      </c>
      <c r="J583">
        <v>0.04</v>
      </c>
      <c r="K583">
        <v>0.02</v>
      </c>
      <c r="L583">
        <v>0.01</v>
      </c>
      <c r="M583" t="s">
        <v>24</v>
      </c>
      <c r="N583" t="s">
        <v>1071</v>
      </c>
    </row>
    <row r="584" spans="1:14" x14ac:dyDescent="0.35">
      <c r="A584">
        <v>583</v>
      </c>
      <c r="B584" t="s">
        <v>625</v>
      </c>
      <c r="C584" t="s">
        <v>19</v>
      </c>
      <c r="D584" t="s">
        <v>15</v>
      </c>
      <c r="E584" t="s">
        <v>16</v>
      </c>
      <c r="F584">
        <v>2017</v>
      </c>
      <c r="G584">
        <v>75</v>
      </c>
      <c r="H584">
        <v>0.59</v>
      </c>
      <c r="I584">
        <v>0.27</v>
      </c>
      <c r="J584">
        <v>0.19</v>
      </c>
      <c r="K584">
        <v>0.04</v>
      </c>
      <c r="L584">
        <v>0.09</v>
      </c>
      <c r="M584" t="s">
        <v>17</v>
      </c>
      <c r="N584" t="s">
        <v>1070</v>
      </c>
    </row>
    <row r="585" spans="1:14" x14ac:dyDescent="0.35">
      <c r="A585">
        <v>584</v>
      </c>
      <c r="B585" t="s">
        <v>626</v>
      </c>
      <c r="C585" t="s">
        <v>57</v>
      </c>
      <c r="D585" t="s">
        <v>29</v>
      </c>
      <c r="E585" t="s">
        <v>16</v>
      </c>
      <c r="F585">
        <v>2007</v>
      </c>
      <c r="G585">
        <v>65</v>
      </c>
      <c r="H585">
        <v>0.63</v>
      </c>
      <c r="I585">
        <v>0.28000000000000003</v>
      </c>
      <c r="J585">
        <v>0.17</v>
      </c>
      <c r="K585">
        <v>0.11</v>
      </c>
      <c r="L585">
        <v>7.0000000000000007E-2</v>
      </c>
      <c r="M585" t="s">
        <v>17</v>
      </c>
      <c r="N585" t="s">
        <v>1071</v>
      </c>
    </row>
    <row r="586" spans="1:14" x14ac:dyDescent="0.35">
      <c r="A586">
        <v>585</v>
      </c>
      <c r="B586" t="s">
        <v>627</v>
      </c>
      <c r="C586" t="s">
        <v>64</v>
      </c>
      <c r="D586" t="s">
        <v>65</v>
      </c>
      <c r="E586" t="s">
        <v>52</v>
      </c>
      <c r="F586">
        <v>2012</v>
      </c>
      <c r="G586">
        <v>58</v>
      </c>
      <c r="H586">
        <v>0.14000000000000001</v>
      </c>
      <c r="I586">
        <v>7.0000000000000007E-2</v>
      </c>
      <c r="J586">
        <v>0.04</v>
      </c>
      <c r="K586">
        <v>0.03</v>
      </c>
      <c r="L586">
        <v>0</v>
      </c>
      <c r="M586" t="s">
        <v>24</v>
      </c>
      <c r="N586" t="s">
        <v>1071</v>
      </c>
    </row>
    <row r="587" spans="1:14" x14ac:dyDescent="0.35">
      <c r="A587">
        <v>586</v>
      </c>
      <c r="B587" t="s">
        <v>628</v>
      </c>
      <c r="C587" t="s">
        <v>57</v>
      </c>
      <c r="D587" t="s">
        <v>33</v>
      </c>
      <c r="E587" t="s">
        <v>74</v>
      </c>
      <c r="F587">
        <v>2013</v>
      </c>
      <c r="G587">
        <v>59</v>
      </c>
      <c r="H587">
        <v>0.6</v>
      </c>
      <c r="I587">
        <v>0.26</v>
      </c>
      <c r="J587">
        <v>0.15</v>
      </c>
      <c r="K587">
        <v>0.04</v>
      </c>
      <c r="L587">
        <v>0.15</v>
      </c>
      <c r="M587" t="s">
        <v>17</v>
      </c>
      <c r="N587" t="s">
        <v>1071</v>
      </c>
    </row>
    <row r="588" spans="1:14" x14ac:dyDescent="0.35">
      <c r="A588">
        <v>587</v>
      </c>
      <c r="B588" t="s">
        <v>629</v>
      </c>
      <c r="C588" t="s">
        <v>64</v>
      </c>
      <c r="D588" t="s">
        <v>65</v>
      </c>
      <c r="E588" t="s">
        <v>46</v>
      </c>
      <c r="F588">
        <v>2015</v>
      </c>
      <c r="G588">
        <v>75</v>
      </c>
      <c r="H588">
        <v>0.14000000000000001</v>
      </c>
      <c r="I588">
        <v>7.0000000000000007E-2</v>
      </c>
      <c r="J588">
        <v>0.04</v>
      </c>
      <c r="K588">
        <v>0.02</v>
      </c>
      <c r="L588">
        <v>0.01</v>
      </c>
      <c r="M588" t="s">
        <v>24</v>
      </c>
      <c r="N588" t="s">
        <v>1070</v>
      </c>
    </row>
    <row r="589" spans="1:14" x14ac:dyDescent="0.35">
      <c r="A589">
        <v>588</v>
      </c>
      <c r="B589" t="s">
        <v>630</v>
      </c>
      <c r="C589" t="s">
        <v>31</v>
      </c>
      <c r="D589" t="s">
        <v>65</v>
      </c>
      <c r="E589" t="s">
        <v>54</v>
      </c>
      <c r="F589">
        <v>2000</v>
      </c>
      <c r="G589">
        <v>68</v>
      </c>
      <c r="H589">
        <v>2.72</v>
      </c>
      <c r="I589">
        <v>1.46</v>
      </c>
      <c r="J589">
        <v>0.65</v>
      </c>
      <c r="K589">
        <v>0.4</v>
      </c>
      <c r="L589">
        <v>0.21</v>
      </c>
      <c r="M589" t="s">
        <v>27</v>
      </c>
      <c r="N589" t="s">
        <v>1071</v>
      </c>
    </row>
    <row r="590" spans="1:14" x14ac:dyDescent="0.35">
      <c r="A590">
        <v>589</v>
      </c>
      <c r="B590" t="s">
        <v>631</v>
      </c>
      <c r="C590" t="s">
        <v>64</v>
      </c>
      <c r="D590" t="s">
        <v>2</v>
      </c>
      <c r="E590" t="s">
        <v>20</v>
      </c>
      <c r="F590">
        <v>2017</v>
      </c>
      <c r="G590">
        <v>78</v>
      </c>
      <c r="H590">
        <v>0.27</v>
      </c>
      <c r="I590">
        <v>0.13</v>
      </c>
      <c r="J590">
        <v>0.09</v>
      </c>
      <c r="K590">
        <v>0.05</v>
      </c>
      <c r="L590">
        <v>0</v>
      </c>
      <c r="M590" t="s">
        <v>24</v>
      </c>
      <c r="N590" t="s">
        <v>1070</v>
      </c>
    </row>
    <row r="591" spans="1:14" x14ac:dyDescent="0.35">
      <c r="A591">
        <v>590</v>
      </c>
      <c r="B591" t="s">
        <v>632</v>
      </c>
      <c r="C591" t="s">
        <v>19</v>
      </c>
      <c r="D591" t="s">
        <v>33</v>
      </c>
      <c r="E591" t="s">
        <v>52</v>
      </c>
      <c r="F591">
        <v>2018</v>
      </c>
      <c r="G591">
        <v>73</v>
      </c>
      <c r="H591">
        <v>1.1000000000000001</v>
      </c>
      <c r="I591">
        <v>0.52</v>
      </c>
      <c r="J591">
        <v>0.28999999999999998</v>
      </c>
      <c r="K591">
        <v>7.0000000000000007E-2</v>
      </c>
      <c r="L591">
        <v>0.22</v>
      </c>
      <c r="M591" t="s">
        <v>17</v>
      </c>
      <c r="N591" t="s">
        <v>1070</v>
      </c>
    </row>
    <row r="592" spans="1:14" x14ac:dyDescent="0.35">
      <c r="A592">
        <v>591</v>
      </c>
      <c r="B592" t="s">
        <v>633</v>
      </c>
      <c r="C592" t="s">
        <v>31</v>
      </c>
      <c r="D592" t="s">
        <v>48</v>
      </c>
      <c r="E592" t="s">
        <v>46</v>
      </c>
      <c r="F592">
        <v>2000</v>
      </c>
      <c r="G592">
        <v>90</v>
      </c>
      <c r="H592">
        <v>2.46</v>
      </c>
      <c r="I592">
        <v>1.31</v>
      </c>
      <c r="J592">
        <v>0.56999999999999995</v>
      </c>
      <c r="K592">
        <v>0.22</v>
      </c>
      <c r="L592">
        <v>0.36</v>
      </c>
      <c r="M592" t="s">
        <v>27</v>
      </c>
      <c r="N592" t="s">
        <v>1068</v>
      </c>
    </row>
    <row r="593" spans="1:14" x14ac:dyDescent="0.35">
      <c r="A593">
        <v>592</v>
      </c>
      <c r="B593" t="s">
        <v>634</v>
      </c>
      <c r="C593" t="s">
        <v>59</v>
      </c>
      <c r="D593" t="s">
        <v>51</v>
      </c>
      <c r="E593" t="s">
        <v>60</v>
      </c>
      <c r="F593">
        <v>1997</v>
      </c>
      <c r="G593">
        <v>86</v>
      </c>
      <c r="H593">
        <v>0.99</v>
      </c>
      <c r="I593">
        <v>0.41</v>
      </c>
      <c r="J593">
        <v>0.21</v>
      </c>
      <c r="K593">
        <v>0.19</v>
      </c>
      <c r="L593">
        <v>0.18</v>
      </c>
      <c r="M593" t="s">
        <v>17</v>
      </c>
      <c r="N593" t="s">
        <v>1069</v>
      </c>
    </row>
    <row r="594" spans="1:14" x14ac:dyDescent="0.35">
      <c r="A594">
        <v>593</v>
      </c>
      <c r="B594" t="s">
        <v>635</v>
      </c>
      <c r="C594" t="s">
        <v>14</v>
      </c>
      <c r="D594" t="s">
        <v>45</v>
      </c>
      <c r="E594" t="s">
        <v>54</v>
      </c>
      <c r="F594">
        <v>2007</v>
      </c>
      <c r="G594">
        <v>91</v>
      </c>
      <c r="H594">
        <v>0.72</v>
      </c>
      <c r="I594">
        <v>0.39</v>
      </c>
      <c r="J594">
        <v>0.24</v>
      </c>
      <c r="K594">
        <v>0.06</v>
      </c>
      <c r="L594">
        <v>0.03</v>
      </c>
      <c r="M594" t="s">
        <v>17</v>
      </c>
      <c r="N594" t="s">
        <v>1068</v>
      </c>
    </row>
    <row r="595" spans="1:14" x14ac:dyDescent="0.35">
      <c r="A595">
        <v>594</v>
      </c>
      <c r="B595" t="s">
        <v>636</v>
      </c>
      <c r="C595" t="s">
        <v>59</v>
      </c>
      <c r="D595" t="s">
        <v>2</v>
      </c>
      <c r="E595" t="s">
        <v>49</v>
      </c>
      <c r="F595">
        <v>1996</v>
      </c>
      <c r="G595">
        <v>92</v>
      </c>
      <c r="H595">
        <v>2.67</v>
      </c>
      <c r="I595">
        <v>1.33</v>
      </c>
      <c r="J595">
        <v>0.91</v>
      </c>
      <c r="K595">
        <v>0.22</v>
      </c>
      <c r="L595">
        <v>0.21</v>
      </c>
      <c r="M595" t="s">
        <v>27</v>
      </c>
      <c r="N595" t="s">
        <v>1068</v>
      </c>
    </row>
    <row r="596" spans="1:14" x14ac:dyDescent="0.35">
      <c r="A596">
        <v>595</v>
      </c>
      <c r="B596" t="s">
        <v>637</v>
      </c>
      <c r="C596" t="s">
        <v>59</v>
      </c>
      <c r="D596" t="s">
        <v>48</v>
      </c>
      <c r="E596" t="s">
        <v>46</v>
      </c>
      <c r="F596">
        <v>1996</v>
      </c>
      <c r="G596">
        <v>71</v>
      </c>
      <c r="H596">
        <v>0.48</v>
      </c>
      <c r="I596">
        <v>0.18</v>
      </c>
      <c r="J596">
        <v>0.14000000000000001</v>
      </c>
      <c r="K596">
        <v>0.06</v>
      </c>
      <c r="L596">
        <v>0.1</v>
      </c>
      <c r="M596" t="s">
        <v>24</v>
      </c>
      <c r="N596" t="s">
        <v>1070</v>
      </c>
    </row>
    <row r="597" spans="1:14" x14ac:dyDescent="0.35">
      <c r="A597">
        <v>596</v>
      </c>
      <c r="B597" t="s">
        <v>638</v>
      </c>
      <c r="C597" t="s">
        <v>31</v>
      </c>
      <c r="D597" t="s">
        <v>37</v>
      </c>
      <c r="E597" t="s">
        <v>43</v>
      </c>
      <c r="F597">
        <v>2002</v>
      </c>
      <c r="G597">
        <v>74</v>
      </c>
      <c r="H597">
        <v>1.86</v>
      </c>
      <c r="I597">
        <v>0.9</v>
      </c>
      <c r="J597">
        <v>0.63</v>
      </c>
      <c r="K597">
        <v>0.28999999999999998</v>
      </c>
      <c r="L597">
        <v>0.04</v>
      </c>
      <c r="M597" t="s">
        <v>17</v>
      </c>
      <c r="N597" t="s">
        <v>1070</v>
      </c>
    </row>
    <row r="598" spans="1:14" x14ac:dyDescent="0.35">
      <c r="A598">
        <v>597</v>
      </c>
      <c r="B598" t="s">
        <v>639</v>
      </c>
      <c r="C598" t="s">
        <v>64</v>
      </c>
      <c r="D598" t="s">
        <v>51</v>
      </c>
      <c r="E598" t="s">
        <v>60</v>
      </c>
      <c r="F598">
        <v>2014</v>
      </c>
      <c r="G598">
        <v>95</v>
      </c>
      <c r="H598">
        <v>0.9</v>
      </c>
      <c r="I598">
        <v>0.46</v>
      </c>
      <c r="J598">
        <v>0.2</v>
      </c>
      <c r="K598">
        <v>0.16</v>
      </c>
      <c r="L598">
        <v>0.08</v>
      </c>
      <c r="M598" t="s">
        <v>17</v>
      </c>
      <c r="N598" t="s">
        <v>1068</v>
      </c>
    </row>
    <row r="599" spans="1:14" x14ac:dyDescent="0.35">
      <c r="A599">
        <v>598</v>
      </c>
      <c r="B599" t="s">
        <v>640</v>
      </c>
      <c r="C599" t="s">
        <v>64</v>
      </c>
      <c r="D599" t="s">
        <v>45</v>
      </c>
      <c r="E599" t="s">
        <v>20</v>
      </c>
      <c r="F599">
        <v>2018</v>
      </c>
      <c r="G599">
        <v>74</v>
      </c>
      <c r="H599">
        <v>0.19</v>
      </c>
      <c r="I599">
        <v>0.1</v>
      </c>
      <c r="J599">
        <v>0.06</v>
      </c>
      <c r="K599">
        <v>0.03</v>
      </c>
      <c r="L599">
        <v>0</v>
      </c>
      <c r="M599" t="s">
        <v>24</v>
      </c>
      <c r="N599" t="s">
        <v>1070</v>
      </c>
    </row>
    <row r="600" spans="1:14" x14ac:dyDescent="0.35">
      <c r="A600">
        <v>599</v>
      </c>
      <c r="B600" t="s">
        <v>641</v>
      </c>
      <c r="C600" t="s">
        <v>64</v>
      </c>
      <c r="D600" t="s">
        <v>15</v>
      </c>
      <c r="E600" t="s">
        <v>46</v>
      </c>
      <c r="F600">
        <v>2017</v>
      </c>
      <c r="G600">
        <v>85</v>
      </c>
      <c r="H600">
        <v>0.19</v>
      </c>
      <c r="I600">
        <v>0.1</v>
      </c>
      <c r="J600">
        <v>0.04</v>
      </c>
      <c r="K600">
        <v>0.01</v>
      </c>
      <c r="L600">
        <v>0.04</v>
      </c>
      <c r="M600" t="s">
        <v>24</v>
      </c>
      <c r="N600" t="s">
        <v>1069</v>
      </c>
    </row>
    <row r="601" spans="1:14" x14ac:dyDescent="0.35">
      <c r="A601">
        <v>600</v>
      </c>
      <c r="B601" t="s">
        <v>642</v>
      </c>
      <c r="C601" t="s">
        <v>14</v>
      </c>
      <c r="D601" t="s">
        <v>29</v>
      </c>
      <c r="E601" t="s">
        <v>41</v>
      </c>
      <c r="F601">
        <v>2007</v>
      </c>
      <c r="G601">
        <v>75</v>
      </c>
      <c r="H601">
        <v>0.55000000000000004</v>
      </c>
      <c r="I601">
        <v>0.2</v>
      </c>
      <c r="J601">
        <v>0.16</v>
      </c>
      <c r="K601">
        <v>0.08</v>
      </c>
      <c r="L601">
        <v>0.11</v>
      </c>
      <c r="M601" t="s">
        <v>17</v>
      </c>
      <c r="N601" t="s">
        <v>1070</v>
      </c>
    </row>
    <row r="602" spans="1:14" x14ac:dyDescent="0.35">
      <c r="A602">
        <v>601</v>
      </c>
      <c r="B602" t="s">
        <v>643</v>
      </c>
      <c r="C602" t="s">
        <v>64</v>
      </c>
      <c r="D602" t="s">
        <v>15</v>
      </c>
      <c r="E602" t="s">
        <v>41</v>
      </c>
      <c r="F602">
        <v>2013</v>
      </c>
      <c r="G602">
        <v>75</v>
      </c>
      <c r="H602">
        <v>0.34</v>
      </c>
      <c r="I602">
        <v>0.14000000000000001</v>
      </c>
      <c r="J602">
        <v>0.1</v>
      </c>
      <c r="K602">
        <v>0.06</v>
      </c>
      <c r="L602">
        <v>0.04</v>
      </c>
      <c r="M602" t="s">
        <v>24</v>
      </c>
      <c r="N602" t="s">
        <v>1070</v>
      </c>
    </row>
    <row r="603" spans="1:14" x14ac:dyDescent="0.35">
      <c r="A603">
        <v>602</v>
      </c>
      <c r="B603" t="s">
        <v>644</v>
      </c>
      <c r="C603" t="s">
        <v>57</v>
      </c>
      <c r="D603" t="s">
        <v>2</v>
      </c>
      <c r="E603" t="s">
        <v>41</v>
      </c>
      <c r="F603">
        <v>2006</v>
      </c>
      <c r="G603">
        <v>85</v>
      </c>
      <c r="H603">
        <v>0.93</v>
      </c>
      <c r="I603">
        <v>0.36</v>
      </c>
      <c r="J603">
        <v>0.27</v>
      </c>
      <c r="K603">
        <v>0.09</v>
      </c>
      <c r="L603">
        <v>0.21</v>
      </c>
      <c r="M603" t="s">
        <v>17</v>
      </c>
      <c r="N603" t="s">
        <v>1069</v>
      </c>
    </row>
    <row r="604" spans="1:14" x14ac:dyDescent="0.35">
      <c r="A604">
        <v>603</v>
      </c>
      <c r="B604" t="s">
        <v>645</v>
      </c>
      <c r="C604" t="s">
        <v>14</v>
      </c>
      <c r="D604" t="s">
        <v>33</v>
      </c>
      <c r="E604" t="s">
        <v>41</v>
      </c>
      <c r="F604">
        <v>2009</v>
      </c>
      <c r="G604">
        <v>80</v>
      </c>
      <c r="H604">
        <v>1.31</v>
      </c>
      <c r="I604">
        <v>0.69</v>
      </c>
      <c r="J604">
        <v>0.43</v>
      </c>
      <c r="K604">
        <v>0.19</v>
      </c>
      <c r="L604">
        <v>0</v>
      </c>
      <c r="M604" t="s">
        <v>17</v>
      </c>
      <c r="N604" t="s">
        <v>1069</v>
      </c>
    </row>
    <row r="605" spans="1:14" x14ac:dyDescent="0.35">
      <c r="A605">
        <v>604</v>
      </c>
      <c r="B605" t="s">
        <v>646</v>
      </c>
      <c r="C605" t="s">
        <v>57</v>
      </c>
      <c r="D605" t="s">
        <v>33</v>
      </c>
      <c r="E605" t="s">
        <v>16</v>
      </c>
      <c r="F605">
        <v>2007</v>
      </c>
      <c r="G605">
        <v>65</v>
      </c>
      <c r="H605">
        <v>0.56999999999999995</v>
      </c>
      <c r="I605">
        <v>0.31</v>
      </c>
      <c r="J605">
        <v>0.13</v>
      </c>
      <c r="K605">
        <v>0.08</v>
      </c>
      <c r="L605">
        <v>0.05</v>
      </c>
      <c r="M605" t="s">
        <v>17</v>
      </c>
      <c r="N605" t="s">
        <v>1071</v>
      </c>
    </row>
    <row r="606" spans="1:14" x14ac:dyDescent="0.35">
      <c r="A606">
        <v>605</v>
      </c>
      <c r="B606" t="s">
        <v>647</v>
      </c>
      <c r="C606" t="s">
        <v>59</v>
      </c>
      <c r="D606" t="s">
        <v>65</v>
      </c>
      <c r="E606" t="s">
        <v>41</v>
      </c>
      <c r="F606">
        <v>2000</v>
      </c>
      <c r="G606">
        <v>62</v>
      </c>
      <c r="H606">
        <v>0.24</v>
      </c>
      <c r="I606">
        <v>0.13</v>
      </c>
      <c r="J606">
        <v>0.08</v>
      </c>
      <c r="K606">
        <v>0.02</v>
      </c>
      <c r="L606">
        <v>0.01</v>
      </c>
      <c r="M606" t="s">
        <v>24</v>
      </c>
      <c r="N606" t="s">
        <v>1071</v>
      </c>
    </row>
    <row r="607" spans="1:14" x14ac:dyDescent="0.35">
      <c r="A607">
        <v>606</v>
      </c>
      <c r="B607" t="s">
        <v>648</v>
      </c>
      <c r="C607" t="s">
        <v>57</v>
      </c>
      <c r="D607" t="s">
        <v>45</v>
      </c>
      <c r="E607" t="s">
        <v>54</v>
      </c>
      <c r="F607">
        <v>2011</v>
      </c>
      <c r="G607">
        <v>93</v>
      </c>
      <c r="H607">
        <v>0.74</v>
      </c>
      <c r="I607">
        <v>0.28999999999999998</v>
      </c>
      <c r="J607">
        <v>0.24</v>
      </c>
      <c r="K607">
        <v>0.04</v>
      </c>
      <c r="L607">
        <v>0.17</v>
      </c>
      <c r="M607" t="s">
        <v>17</v>
      </c>
      <c r="N607" t="s">
        <v>1068</v>
      </c>
    </row>
    <row r="608" spans="1:14" x14ac:dyDescent="0.35">
      <c r="A608">
        <v>607</v>
      </c>
      <c r="B608" t="s">
        <v>649</v>
      </c>
      <c r="C608" t="s">
        <v>14</v>
      </c>
      <c r="D608" t="s">
        <v>2</v>
      </c>
      <c r="E608" t="s">
        <v>16</v>
      </c>
      <c r="F608">
        <v>2009</v>
      </c>
      <c r="G608">
        <v>92</v>
      </c>
      <c r="H608">
        <v>1</v>
      </c>
      <c r="I608">
        <v>0.35</v>
      </c>
      <c r="J608">
        <v>0.22</v>
      </c>
      <c r="K608">
        <v>0.1</v>
      </c>
      <c r="L608">
        <v>0.33</v>
      </c>
      <c r="M608" t="s">
        <v>17</v>
      </c>
      <c r="N608" t="s">
        <v>1068</v>
      </c>
    </row>
    <row r="609" spans="1:14" x14ac:dyDescent="0.35">
      <c r="A609">
        <v>608</v>
      </c>
      <c r="B609" t="s">
        <v>650</v>
      </c>
      <c r="C609" t="s">
        <v>57</v>
      </c>
      <c r="D609" t="s">
        <v>48</v>
      </c>
      <c r="E609" t="s">
        <v>41</v>
      </c>
      <c r="F609">
        <v>2010</v>
      </c>
      <c r="G609">
        <v>71</v>
      </c>
      <c r="H609">
        <v>0.11</v>
      </c>
      <c r="I609">
        <v>0.04</v>
      </c>
      <c r="J609">
        <v>0.04</v>
      </c>
      <c r="K609">
        <v>0.01</v>
      </c>
      <c r="L609">
        <v>0.02</v>
      </c>
      <c r="M609" t="s">
        <v>24</v>
      </c>
      <c r="N609" t="s">
        <v>1070</v>
      </c>
    </row>
    <row r="610" spans="1:14" x14ac:dyDescent="0.35">
      <c r="A610">
        <v>609</v>
      </c>
      <c r="B610" t="s">
        <v>651</v>
      </c>
      <c r="C610" t="s">
        <v>14</v>
      </c>
      <c r="D610" t="s">
        <v>15</v>
      </c>
      <c r="E610" t="s">
        <v>46</v>
      </c>
      <c r="F610">
        <v>2006</v>
      </c>
      <c r="G610">
        <v>79</v>
      </c>
      <c r="H610">
        <v>0.36</v>
      </c>
      <c r="I610">
        <v>0.15</v>
      </c>
      <c r="J610">
        <v>0.12</v>
      </c>
      <c r="K610">
        <v>0.05</v>
      </c>
      <c r="L610">
        <v>0.04</v>
      </c>
      <c r="M610" t="s">
        <v>24</v>
      </c>
      <c r="N610" t="s">
        <v>1070</v>
      </c>
    </row>
    <row r="611" spans="1:14" x14ac:dyDescent="0.35">
      <c r="A611">
        <v>610</v>
      </c>
      <c r="B611" t="s">
        <v>652</v>
      </c>
      <c r="C611" t="s">
        <v>23</v>
      </c>
      <c r="D611" t="s">
        <v>51</v>
      </c>
      <c r="E611" t="s">
        <v>54</v>
      </c>
      <c r="F611">
        <v>2021</v>
      </c>
      <c r="G611">
        <v>76</v>
      </c>
      <c r="H611">
        <v>1.44</v>
      </c>
      <c r="I611">
        <v>0.6</v>
      </c>
      <c r="J611">
        <v>0.4</v>
      </c>
      <c r="K611">
        <v>0.1</v>
      </c>
      <c r="L611">
        <v>0.34</v>
      </c>
      <c r="M611" t="s">
        <v>17</v>
      </c>
      <c r="N611" t="s">
        <v>1070</v>
      </c>
    </row>
    <row r="612" spans="1:14" x14ac:dyDescent="0.35">
      <c r="A612">
        <v>611</v>
      </c>
      <c r="B612" t="s">
        <v>653</v>
      </c>
      <c r="C612" t="s">
        <v>59</v>
      </c>
      <c r="D612" t="s">
        <v>15</v>
      </c>
      <c r="E612" t="s">
        <v>54</v>
      </c>
      <c r="F612">
        <v>1997</v>
      </c>
      <c r="G612">
        <v>78</v>
      </c>
      <c r="H612">
        <v>1.01</v>
      </c>
      <c r="I612">
        <v>0.53</v>
      </c>
      <c r="J612">
        <v>0.28999999999999998</v>
      </c>
      <c r="K612">
        <v>0.17</v>
      </c>
      <c r="L612">
        <v>0.02</v>
      </c>
      <c r="M612" t="s">
        <v>17</v>
      </c>
      <c r="N612" t="s">
        <v>1070</v>
      </c>
    </row>
    <row r="613" spans="1:14" x14ac:dyDescent="0.35">
      <c r="A613">
        <v>612</v>
      </c>
      <c r="B613" t="s">
        <v>654</v>
      </c>
      <c r="C613" t="s">
        <v>14</v>
      </c>
      <c r="D613" t="s">
        <v>45</v>
      </c>
      <c r="E613" t="s">
        <v>54</v>
      </c>
      <c r="F613">
        <v>2011</v>
      </c>
      <c r="G613">
        <v>64</v>
      </c>
      <c r="H613">
        <v>1.8</v>
      </c>
      <c r="I613">
        <v>0.86</v>
      </c>
      <c r="J613">
        <v>0.48</v>
      </c>
      <c r="K613">
        <v>0.14000000000000001</v>
      </c>
      <c r="L613">
        <v>0.32</v>
      </c>
      <c r="M613" t="s">
        <v>17</v>
      </c>
      <c r="N613" t="s">
        <v>1071</v>
      </c>
    </row>
    <row r="614" spans="1:14" x14ac:dyDescent="0.35">
      <c r="A614">
        <v>613</v>
      </c>
      <c r="B614" t="s">
        <v>655</v>
      </c>
      <c r="C614" t="s">
        <v>59</v>
      </c>
      <c r="D614" t="s">
        <v>37</v>
      </c>
      <c r="E614" t="s">
        <v>20</v>
      </c>
      <c r="F614">
        <v>1996</v>
      </c>
      <c r="G614">
        <v>65</v>
      </c>
      <c r="H614">
        <v>0.71</v>
      </c>
      <c r="I614">
        <v>0.39</v>
      </c>
      <c r="J614">
        <v>0.24</v>
      </c>
      <c r="K614">
        <v>0.04</v>
      </c>
      <c r="L614">
        <v>0.04</v>
      </c>
      <c r="M614" t="s">
        <v>17</v>
      </c>
      <c r="N614" t="s">
        <v>1071</v>
      </c>
    </row>
    <row r="615" spans="1:14" x14ac:dyDescent="0.35">
      <c r="A615">
        <v>614</v>
      </c>
      <c r="B615" t="s">
        <v>656</v>
      </c>
      <c r="C615" t="s">
        <v>14</v>
      </c>
      <c r="D615" t="s">
        <v>62</v>
      </c>
      <c r="E615" t="s">
        <v>16</v>
      </c>
      <c r="F615">
        <v>2013</v>
      </c>
      <c r="G615">
        <v>62</v>
      </c>
      <c r="H615">
        <v>0.44</v>
      </c>
      <c r="I615">
        <v>0.18</v>
      </c>
      <c r="J615">
        <v>0.14000000000000001</v>
      </c>
      <c r="K615">
        <v>7.0000000000000007E-2</v>
      </c>
      <c r="L615">
        <v>0.05</v>
      </c>
      <c r="M615" t="s">
        <v>24</v>
      </c>
      <c r="N615" t="s">
        <v>1071</v>
      </c>
    </row>
    <row r="616" spans="1:14" x14ac:dyDescent="0.35">
      <c r="A616">
        <v>615</v>
      </c>
      <c r="B616" t="s">
        <v>657</v>
      </c>
      <c r="C616" t="s">
        <v>64</v>
      </c>
      <c r="D616" t="s">
        <v>2</v>
      </c>
      <c r="E616" t="s">
        <v>74</v>
      </c>
      <c r="F616">
        <v>2015</v>
      </c>
      <c r="G616">
        <v>55</v>
      </c>
      <c r="H616">
        <v>0.32</v>
      </c>
      <c r="I616">
        <v>0.14000000000000001</v>
      </c>
      <c r="J616">
        <v>7.0000000000000007E-2</v>
      </c>
      <c r="K616">
        <v>0.05</v>
      </c>
      <c r="L616">
        <v>0.06</v>
      </c>
      <c r="M616" t="s">
        <v>24</v>
      </c>
      <c r="N616" t="s">
        <v>1071</v>
      </c>
    </row>
    <row r="617" spans="1:14" x14ac:dyDescent="0.35">
      <c r="A617">
        <v>616</v>
      </c>
      <c r="B617" t="s">
        <v>658</v>
      </c>
      <c r="C617" t="s">
        <v>57</v>
      </c>
      <c r="D617" t="s">
        <v>29</v>
      </c>
      <c r="E617" t="s">
        <v>20</v>
      </c>
      <c r="F617">
        <v>2005</v>
      </c>
      <c r="G617">
        <v>80</v>
      </c>
      <c r="H617">
        <v>0.05</v>
      </c>
      <c r="I617">
        <v>0.02</v>
      </c>
      <c r="J617">
        <v>0.01</v>
      </c>
      <c r="K617">
        <v>0</v>
      </c>
      <c r="L617">
        <v>0.02</v>
      </c>
      <c r="M617" t="s">
        <v>24</v>
      </c>
      <c r="N617" t="s">
        <v>1069</v>
      </c>
    </row>
    <row r="618" spans="1:14" x14ac:dyDescent="0.35">
      <c r="A618">
        <v>617</v>
      </c>
      <c r="B618" t="s">
        <v>659</v>
      </c>
      <c r="C618" t="s">
        <v>19</v>
      </c>
      <c r="D618" t="s">
        <v>62</v>
      </c>
      <c r="E618" t="s">
        <v>46</v>
      </c>
      <c r="F618">
        <v>2020</v>
      </c>
      <c r="G618">
        <v>76</v>
      </c>
      <c r="H618">
        <v>2.27</v>
      </c>
      <c r="I618">
        <v>1.1299999999999999</v>
      </c>
      <c r="J618">
        <v>0.7</v>
      </c>
      <c r="K618">
        <v>0.44</v>
      </c>
      <c r="L618">
        <v>0</v>
      </c>
      <c r="M618" t="s">
        <v>27</v>
      </c>
      <c r="N618" t="s">
        <v>1070</v>
      </c>
    </row>
    <row r="619" spans="1:14" x14ac:dyDescent="0.35">
      <c r="A619">
        <v>618</v>
      </c>
      <c r="B619" t="s">
        <v>660</v>
      </c>
      <c r="C619" t="s">
        <v>23</v>
      </c>
      <c r="D619" t="s">
        <v>48</v>
      </c>
      <c r="E619" t="s">
        <v>20</v>
      </c>
      <c r="F619">
        <v>2021</v>
      </c>
      <c r="G619">
        <v>58</v>
      </c>
      <c r="H619">
        <v>1.69</v>
      </c>
      <c r="I619">
        <v>0.8</v>
      </c>
      <c r="J619">
        <v>0.36</v>
      </c>
      <c r="K619">
        <v>0.15</v>
      </c>
      <c r="L619">
        <v>0.38</v>
      </c>
      <c r="M619" t="s">
        <v>17</v>
      </c>
      <c r="N619" t="s">
        <v>1071</v>
      </c>
    </row>
    <row r="620" spans="1:14" x14ac:dyDescent="0.35">
      <c r="A620">
        <v>619</v>
      </c>
      <c r="B620" t="s">
        <v>661</v>
      </c>
      <c r="C620" t="s">
        <v>31</v>
      </c>
      <c r="D620" t="s">
        <v>45</v>
      </c>
      <c r="E620" t="s">
        <v>49</v>
      </c>
      <c r="F620">
        <v>2006</v>
      </c>
      <c r="G620">
        <v>65</v>
      </c>
      <c r="H620">
        <v>0.5</v>
      </c>
      <c r="I620">
        <v>0.24</v>
      </c>
      <c r="J620">
        <v>0.17</v>
      </c>
      <c r="K620">
        <v>0.04</v>
      </c>
      <c r="L620">
        <v>0.05</v>
      </c>
      <c r="M620" t="s">
        <v>24</v>
      </c>
      <c r="N620" t="s">
        <v>1071</v>
      </c>
    </row>
    <row r="621" spans="1:14" x14ac:dyDescent="0.35">
      <c r="A621">
        <v>620</v>
      </c>
      <c r="B621" t="s">
        <v>662</v>
      </c>
      <c r="C621" t="s">
        <v>14</v>
      </c>
      <c r="D621" t="s">
        <v>45</v>
      </c>
      <c r="E621" t="s">
        <v>46</v>
      </c>
      <c r="F621">
        <v>2013</v>
      </c>
      <c r="G621">
        <v>77</v>
      </c>
      <c r="H621">
        <v>2.7</v>
      </c>
      <c r="I621">
        <v>1.22</v>
      </c>
      <c r="J621">
        <v>0.74</v>
      </c>
      <c r="K621">
        <v>0.49</v>
      </c>
      <c r="L621">
        <v>0.25</v>
      </c>
      <c r="M621" t="s">
        <v>27</v>
      </c>
      <c r="N621" t="s">
        <v>1070</v>
      </c>
    </row>
    <row r="622" spans="1:14" x14ac:dyDescent="0.35">
      <c r="A622">
        <v>621</v>
      </c>
      <c r="B622" t="s">
        <v>663</v>
      </c>
      <c r="C622" t="s">
        <v>19</v>
      </c>
      <c r="D622" t="s">
        <v>2</v>
      </c>
      <c r="E622" t="s">
        <v>74</v>
      </c>
      <c r="F622">
        <v>2017</v>
      </c>
      <c r="G622">
        <v>82</v>
      </c>
      <c r="H622">
        <v>2.81</v>
      </c>
      <c r="I622">
        <v>1.23</v>
      </c>
      <c r="J622">
        <v>0.74</v>
      </c>
      <c r="K622">
        <v>0.16</v>
      </c>
      <c r="L622">
        <v>0.68</v>
      </c>
      <c r="M622" t="s">
        <v>27</v>
      </c>
      <c r="N622" t="s">
        <v>1069</v>
      </c>
    </row>
    <row r="623" spans="1:14" x14ac:dyDescent="0.35">
      <c r="A623">
        <v>622</v>
      </c>
      <c r="B623" t="s">
        <v>664</v>
      </c>
      <c r="C623" t="s">
        <v>14</v>
      </c>
      <c r="D623" t="s">
        <v>48</v>
      </c>
      <c r="E623" t="s">
        <v>54</v>
      </c>
      <c r="F623">
        <v>2013</v>
      </c>
      <c r="G623">
        <v>95</v>
      </c>
      <c r="H623">
        <v>0.76</v>
      </c>
      <c r="I623">
        <v>0.34</v>
      </c>
      <c r="J623">
        <v>0.16</v>
      </c>
      <c r="K623">
        <v>0.13</v>
      </c>
      <c r="L623">
        <v>0.13</v>
      </c>
      <c r="M623" t="s">
        <v>17</v>
      </c>
      <c r="N623" t="s">
        <v>1068</v>
      </c>
    </row>
    <row r="624" spans="1:14" x14ac:dyDescent="0.35">
      <c r="A624">
        <v>623</v>
      </c>
      <c r="B624" t="s">
        <v>665</v>
      </c>
      <c r="C624" t="s">
        <v>14</v>
      </c>
      <c r="D624" t="s">
        <v>37</v>
      </c>
      <c r="E624" t="s">
        <v>46</v>
      </c>
      <c r="F624">
        <v>2008</v>
      </c>
      <c r="G624">
        <v>82</v>
      </c>
      <c r="H624">
        <v>0.42</v>
      </c>
      <c r="I624">
        <v>0.15</v>
      </c>
      <c r="J624">
        <v>0.09</v>
      </c>
      <c r="K624">
        <v>0.03</v>
      </c>
      <c r="L624">
        <v>0.15</v>
      </c>
      <c r="M624" t="s">
        <v>24</v>
      </c>
      <c r="N624" t="s">
        <v>1069</v>
      </c>
    </row>
    <row r="625" spans="1:14" x14ac:dyDescent="0.35">
      <c r="A625">
        <v>624</v>
      </c>
      <c r="B625" t="s">
        <v>666</v>
      </c>
      <c r="C625" t="s">
        <v>19</v>
      </c>
      <c r="D625" t="s">
        <v>33</v>
      </c>
      <c r="E625" t="s">
        <v>16</v>
      </c>
      <c r="F625">
        <v>2019</v>
      </c>
      <c r="G625">
        <v>77</v>
      </c>
      <c r="H625">
        <v>0.54</v>
      </c>
      <c r="I625">
        <v>0.24</v>
      </c>
      <c r="J625">
        <v>0.12</v>
      </c>
      <c r="K625">
        <v>0.08</v>
      </c>
      <c r="L625">
        <v>0.1</v>
      </c>
      <c r="M625" t="s">
        <v>17</v>
      </c>
      <c r="N625" t="s">
        <v>1070</v>
      </c>
    </row>
    <row r="626" spans="1:14" x14ac:dyDescent="0.35">
      <c r="A626">
        <v>625</v>
      </c>
      <c r="B626" t="s">
        <v>667</v>
      </c>
      <c r="C626" t="s">
        <v>31</v>
      </c>
      <c r="D626" t="s">
        <v>37</v>
      </c>
      <c r="E626" t="s">
        <v>41</v>
      </c>
      <c r="F626">
        <v>2006</v>
      </c>
      <c r="G626">
        <v>81</v>
      </c>
      <c r="H626">
        <v>1.52</v>
      </c>
      <c r="I626">
        <v>0.71</v>
      </c>
      <c r="J626">
        <v>0.41</v>
      </c>
      <c r="K626">
        <v>0.23</v>
      </c>
      <c r="L626">
        <v>0.17</v>
      </c>
      <c r="M626" t="s">
        <v>17</v>
      </c>
      <c r="N626" t="s">
        <v>1069</v>
      </c>
    </row>
    <row r="627" spans="1:14" x14ac:dyDescent="0.35">
      <c r="A627">
        <v>626</v>
      </c>
      <c r="B627" t="s">
        <v>668</v>
      </c>
      <c r="C627" t="s">
        <v>23</v>
      </c>
      <c r="D627" t="s">
        <v>51</v>
      </c>
      <c r="E627" t="s">
        <v>43</v>
      </c>
      <c r="F627">
        <v>2026</v>
      </c>
      <c r="G627">
        <v>66</v>
      </c>
      <c r="H627">
        <v>0.24</v>
      </c>
      <c r="I627">
        <v>0.1</v>
      </c>
      <c r="J627">
        <v>0.05</v>
      </c>
      <c r="K627">
        <v>0.03</v>
      </c>
      <c r="L627">
        <v>0.06</v>
      </c>
      <c r="M627" t="s">
        <v>24</v>
      </c>
      <c r="N627" t="s">
        <v>1071</v>
      </c>
    </row>
    <row r="628" spans="1:14" x14ac:dyDescent="0.35">
      <c r="A628">
        <v>627</v>
      </c>
      <c r="B628" t="s">
        <v>669</v>
      </c>
      <c r="C628" t="s">
        <v>59</v>
      </c>
      <c r="D628" t="s">
        <v>62</v>
      </c>
      <c r="E628" t="s">
        <v>16</v>
      </c>
      <c r="F628">
        <v>1996</v>
      </c>
      <c r="G628">
        <v>86</v>
      </c>
      <c r="H628">
        <v>0.08</v>
      </c>
      <c r="I628">
        <v>0.04</v>
      </c>
      <c r="J628">
        <v>0.02</v>
      </c>
      <c r="K628">
        <v>0.02</v>
      </c>
      <c r="L628">
        <v>0</v>
      </c>
      <c r="M628" t="s">
        <v>24</v>
      </c>
      <c r="N628" t="s">
        <v>1069</v>
      </c>
    </row>
    <row r="629" spans="1:14" x14ac:dyDescent="0.35">
      <c r="A629">
        <v>628</v>
      </c>
      <c r="B629" t="s">
        <v>670</v>
      </c>
      <c r="C629" t="s">
        <v>57</v>
      </c>
      <c r="D629" t="s">
        <v>51</v>
      </c>
      <c r="E629" t="s">
        <v>49</v>
      </c>
      <c r="F629">
        <v>2010</v>
      </c>
      <c r="G629">
        <v>55</v>
      </c>
      <c r="H629">
        <v>0.7</v>
      </c>
      <c r="I629">
        <v>0.25</v>
      </c>
      <c r="J629">
        <v>0.19</v>
      </c>
      <c r="K629">
        <v>0.05</v>
      </c>
      <c r="L629">
        <v>0.21</v>
      </c>
      <c r="M629" t="s">
        <v>17</v>
      </c>
      <c r="N629" t="s">
        <v>1071</v>
      </c>
    </row>
    <row r="630" spans="1:14" x14ac:dyDescent="0.35">
      <c r="A630">
        <v>629</v>
      </c>
      <c r="B630" t="s">
        <v>671</v>
      </c>
      <c r="C630" t="s">
        <v>31</v>
      </c>
      <c r="D630" t="s">
        <v>65</v>
      </c>
      <c r="E630" t="s">
        <v>52</v>
      </c>
      <c r="F630">
        <v>2003</v>
      </c>
      <c r="G630">
        <v>84</v>
      </c>
      <c r="H630">
        <v>0.26</v>
      </c>
      <c r="I630">
        <v>0.1</v>
      </c>
      <c r="J630">
        <v>0.09</v>
      </c>
      <c r="K630">
        <v>0.04</v>
      </c>
      <c r="L630">
        <v>0.03</v>
      </c>
      <c r="M630" t="s">
        <v>24</v>
      </c>
      <c r="N630" t="s">
        <v>1069</v>
      </c>
    </row>
    <row r="631" spans="1:14" x14ac:dyDescent="0.35">
      <c r="A631">
        <v>630</v>
      </c>
      <c r="B631" t="s">
        <v>672</v>
      </c>
      <c r="C631" t="s">
        <v>19</v>
      </c>
      <c r="D631" t="s">
        <v>62</v>
      </c>
      <c r="E631" t="s">
        <v>20</v>
      </c>
      <c r="F631">
        <v>2020</v>
      </c>
      <c r="G631">
        <v>70</v>
      </c>
      <c r="H631">
        <v>0.28000000000000003</v>
      </c>
      <c r="I631">
        <v>0.14000000000000001</v>
      </c>
      <c r="J631">
        <v>0.06</v>
      </c>
      <c r="K631">
        <v>0.01</v>
      </c>
      <c r="L631">
        <v>7.0000000000000007E-2</v>
      </c>
      <c r="M631" t="s">
        <v>24</v>
      </c>
      <c r="N631" t="s">
        <v>1070</v>
      </c>
    </row>
    <row r="632" spans="1:14" x14ac:dyDescent="0.35">
      <c r="A632">
        <v>631</v>
      </c>
      <c r="B632" t="s">
        <v>673</v>
      </c>
      <c r="C632" t="s">
        <v>57</v>
      </c>
      <c r="D632" t="s">
        <v>45</v>
      </c>
      <c r="E632" t="s">
        <v>16</v>
      </c>
      <c r="F632">
        <v>2010</v>
      </c>
      <c r="G632">
        <v>90</v>
      </c>
      <c r="H632">
        <v>0.36</v>
      </c>
      <c r="I632">
        <v>0.17</v>
      </c>
      <c r="J632">
        <v>0.12</v>
      </c>
      <c r="K632">
        <v>7.0000000000000007E-2</v>
      </c>
      <c r="L632">
        <v>0</v>
      </c>
      <c r="M632" t="s">
        <v>24</v>
      </c>
      <c r="N632" t="s">
        <v>1068</v>
      </c>
    </row>
    <row r="633" spans="1:14" x14ac:dyDescent="0.35">
      <c r="A633">
        <v>632</v>
      </c>
      <c r="B633" t="s">
        <v>674</v>
      </c>
      <c r="C633" t="s">
        <v>64</v>
      </c>
      <c r="D633" t="s">
        <v>48</v>
      </c>
      <c r="E633" t="s">
        <v>20</v>
      </c>
      <c r="F633">
        <v>2018</v>
      </c>
      <c r="G633">
        <v>82</v>
      </c>
      <c r="H633">
        <v>0.38</v>
      </c>
      <c r="I633">
        <v>0.15</v>
      </c>
      <c r="J633">
        <v>0.11</v>
      </c>
      <c r="K633">
        <v>7.0000000000000007E-2</v>
      </c>
      <c r="L633">
        <v>0.05</v>
      </c>
      <c r="M633" t="s">
        <v>24</v>
      </c>
      <c r="N633" t="s">
        <v>1069</v>
      </c>
    </row>
    <row r="634" spans="1:14" x14ac:dyDescent="0.35">
      <c r="A634">
        <v>633</v>
      </c>
      <c r="B634" t="s">
        <v>675</v>
      </c>
      <c r="C634" t="s">
        <v>59</v>
      </c>
      <c r="D634" t="s">
        <v>2</v>
      </c>
      <c r="E634" t="s">
        <v>43</v>
      </c>
      <c r="F634">
        <v>1998</v>
      </c>
      <c r="G634">
        <v>56</v>
      </c>
      <c r="H634">
        <v>0.06</v>
      </c>
      <c r="I634">
        <v>0.03</v>
      </c>
      <c r="J634">
        <v>0.02</v>
      </c>
      <c r="K634">
        <v>0.01</v>
      </c>
      <c r="L634">
        <v>0</v>
      </c>
      <c r="M634" t="s">
        <v>24</v>
      </c>
      <c r="N634" t="s">
        <v>1071</v>
      </c>
    </row>
    <row r="635" spans="1:14" x14ac:dyDescent="0.35">
      <c r="A635">
        <v>634</v>
      </c>
      <c r="B635" t="s">
        <v>676</v>
      </c>
      <c r="C635" t="s">
        <v>23</v>
      </c>
      <c r="D635" t="s">
        <v>29</v>
      </c>
      <c r="E635" t="s">
        <v>74</v>
      </c>
      <c r="F635">
        <v>2025</v>
      </c>
      <c r="G635">
        <v>73</v>
      </c>
      <c r="H635">
        <v>1.3</v>
      </c>
      <c r="I635">
        <v>0.56000000000000005</v>
      </c>
      <c r="J635">
        <v>0.44</v>
      </c>
      <c r="K635">
        <v>0.19</v>
      </c>
      <c r="L635">
        <v>0.11</v>
      </c>
      <c r="M635" t="s">
        <v>17</v>
      </c>
      <c r="N635" t="s">
        <v>1070</v>
      </c>
    </row>
    <row r="636" spans="1:14" x14ac:dyDescent="0.35">
      <c r="A636">
        <v>635</v>
      </c>
      <c r="B636" t="s">
        <v>677</v>
      </c>
      <c r="C636" t="s">
        <v>14</v>
      </c>
      <c r="D636" t="s">
        <v>37</v>
      </c>
      <c r="E636" t="s">
        <v>74</v>
      </c>
      <c r="F636">
        <v>2013</v>
      </c>
      <c r="G636">
        <v>60</v>
      </c>
      <c r="H636">
        <v>0.79</v>
      </c>
      <c r="I636">
        <v>0.31</v>
      </c>
      <c r="J636">
        <v>0.23</v>
      </c>
      <c r="K636">
        <v>0.05</v>
      </c>
      <c r="L636">
        <v>0.2</v>
      </c>
      <c r="M636" t="s">
        <v>17</v>
      </c>
      <c r="N636" t="s">
        <v>1071</v>
      </c>
    </row>
    <row r="637" spans="1:14" x14ac:dyDescent="0.35">
      <c r="A637">
        <v>636</v>
      </c>
      <c r="B637" t="s">
        <v>678</v>
      </c>
      <c r="C637" t="s">
        <v>19</v>
      </c>
      <c r="D637" t="s">
        <v>51</v>
      </c>
      <c r="E637" t="s">
        <v>52</v>
      </c>
      <c r="F637">
        <v>2020</v>
      </c>
      <c r="G637">
        <v>58</v>
      </c>
      <c r="H637">
        <v>0.26</v>
      </c>
      <c r="I637">
        <v>0.1</v>
      </c>
      <c r="J637">
        <v>0.09</v>
      </c>
      <c r="K637">
        <v>0.03</v>
      </c>
      <c r="L637">
        <v>0.04</v>
      </c>
      <c r="M637" t="s">
        <v>24</v>
      </c>
      <c r="N637" t="s">
        <v>1071</v>
      </c>
    </row>
    <row r="638" spans="1:14" x14ac:dyDescent="0.35">
      <c r="A638">
        <v>637</v>
      </c>
      <c r="B638" t="s">
        <v>679</v>
      </c>
      <c r="C638" t="s">
        <v>64</v>
      </c>
      <c r="D638" t="s">
        <v>29</v>
      </c>
      <c r="E638" t="s">
        <v>41</v>
      </c>
      <c r="F638">
        <v>2012</v>
      </c>
      <c r="G638">
        <v>69</v>
      </c>
      <c r="H638">
        <v>0.14000000000000001</v>
      </c>
      <c r="I638">
        <v>0.06</v>
      </c>
      <c r="J638">
        <v>0.04</v>
      </c>
      <c r="K638">
        <v>0.01</v>
      </c>
      <c r="L638">
        <v>0.03</v>
      </c>
      <c r="M638" t="s">
        <v>24</v>
      </c>
      <c r="N638" t="s">
        <v>1071</v>
      </c>
    </row>
    <row r="639" spans="1:14" x14ac:dyDescent="0.35">
      <c r="A639">
        <v>638</v>
      </c>
      <c r="B639" t="s">
        <v>680</v>
      </c>
      <c r="C639" t="s">
        <v>59</v>
      </c>
      <c r="D639" t="s">
        <v>51</v>
      </c>
      <c r="E639" t="s">
        <v>54</v>
      </c>
      <c r="F639">
        <v>1999</v>
      </c>
      <c r="G639">
        <v>97</v>
      </c>
      <c r="H639">
        <v>1.34</v>
      </c>
      <c r="I639">
        <v>0.5</v>
      </c>
      <c r="J639">
        <v>0.38</v>
      </c>
      <c r="K639">
        <v>0.17</v>
      </c>
      <c r="L639">
        <v>0.28999999999999998</v>
      </c>
      <c r="M639" t="s">
        <v>17</v>
      </c>
      <c r="N639" t="s">
        <v>1068</v>
      </c>
    </row>
    <row r="640" spans="1:14" x14ac:dyDescent="0.35">
      <c r="A640">
        <v>639</v>
      </c>
      <c r="B640" t="s">
        <v>681</v>
      </c>
      <c r="C640" t="s">
        <v>31</v>
      </c>
      <c r="D640" t="s">
        <v>33</v>
      </c>
      <c r="E640" t="s">
        <v>52</v>
      </c>
      <c r="F640">
        <v>2005</v>
      </c>
      <c r="G640">
        <v>73</v>
      </c>
      <c r="H640">
        <v>2.56</v>
      </c>
      <c r="I640">
        <v>1.1499999999999999</v>
      </c>
      <c r="J640">
        <v>0.85</v>
      </c>
      <c r="K640">
        <v>0.19</v>
      </c>
      <c r="L640">
        <v>0.37</v>
      </c>
      <c r="M640" t="s">
        <v>27</v>
      </c>
      <c r="N640" t="s">
        <v>1070</v>
      </c>
    </row>
    <row r="641" spans="1:14" x14ac:dyDescent="0.35">
      <c r="A641">
        <v>640</v>
      </c>
      <c r="B641" t="s">
        <v>682</v>
      </c>
      <c r="C641" t="s">
        <v>14</v>
      </c>
      <c r="D641" t="s">
        <v>37</v>
      </c>
      <c r="E641" t="s">
        <v>49</v>
      </c>
      <c r="F641">
        <v>2011</v>
      </c>
      <c r="G641">
        <v>81</v>
      </c>
      <c r="H641">
        <v>1.57</v>
      </c>
      <c r="I641">
        <v>0.64</v>
      </c>
      <c r="J641">
        <v>0.35</v>
      </c>
      <c r="K641">
        <v>0.14000000000000001</v>
      </c>
      <c r="L641">
        <v>0.44</v>
      </c>
      <c r="M641" t="s">
        <v>17</v>
      </c>
      <c r="N641" t="s">
        <v>1069</v>
      </c>
    </row>
    <row r="642" spans="1:14" x14ac:dyDescent="0.35">
      <c r="A642">
        <v>641</v>
      </c>
      <c r="B642" t="s">
        <v>683</v>
      </c>
      <c r="C642" t="s">
        <v>57</v>
      </c>
      <c r="D642" t="s">
        <v>29</v>
      </c>
      <c r="E642" t="s">
        <v>52</v>
      </c>
      <c r="F642">
        <v>2010</v>
      </c>
      <c r="G642">
        <v>81</v>
      </c>
      <c r="H642">
        <v>0.8</v>
      </c>
      <c r="I642">
        <v>0.35</v>
      </c>
      <c r="J642">
        <v>0.27</v>
      </c>
      <c r="K642">
        <v>0.15</v>
      </c>
      <c r="L642">
        <v>0.03</v>
      </c>
      <c r="M642" t="s">
        <v>17</v>
      </c>
      <c r="N642" t="s">
        <v>1069</v>
      </c>
    </row>
    <row r="643" spans="1:14" x14ac:dyDescent="0.35">
      <c r="A643">
        <v>642</v>
      </c>
      <c r="B643" t="s">
        <v>684</v>
      </c>
      <c r="C643" t="s">
        <v>64</v>
      </c>
      <c r="D643" t="s">
        <v>29</v>
      </c>
      <c r="E643" t="s">
        <v>20</v>
      </c>
      <c r="F643">
        <v>2019</v>
      </c>
      <c r="G643">
        <v>55</v>
      </c>
      <c r="H643">
        <v>0.59</v>
      </c>
      <c r="I643">
        <v>0.21</v>
      </c>
      <c r="J643">
        <v>0.15</v>
      </c>
      <c r="K643">
        <v>7.0000000000000007E-2</v>
      </c>
      <c r="L643">
        <v>0.16</v>
      </c>
      <c r="M643" t="s">
        <v>17</v>
      </c>
      <c r="N643" t="s">
        <v>1071</v>
      </c>
    </row>
    <row r="644" spans="1:14" x14ac:dyDescent="0.35">
      <c r="A644">
        <v>643</v>
      </c>
      <c r="B644" t="s">
        <v>685</v>
      </c>
      <c r="C644" t="s">
        <v>64</v>
      </c>
      <c r="D644" t="s">
        <v>45</v>
      </c>
      <c r="E644" t="s">
        <v>20</v>
      </c>
      <c r="F644">
        <v>2013</v>
      </c>
      <c r="G644">
        <v>97</v>
      </c>
      <c r="H644">
        <v>0.1</v>
      </c>
      <c r="I644">
        <v>0.05</v>
      </c>
      <c r="J644">
        <v>0.03</v>
      </c>
      <c r="K644">
        <v>0.02</v>
      </c>
      <c r="L644">
        <v>0</v>
      </c>
      <c r="M644" t="s">
        <v>24</v>
      </c>
      <c r="N644" t="s">
        <v>1068</v>
      </c>
    </row>
    <row r="645" spans="1:14" x14ac:dyDescent="0.35">
      <c r="A645">
        <v>644</v>
      </c>
      <c r="B645" t="s">
        <v>686</v>
      </c>
      <c r="C645" t="s">
        <v>14</v>
      </c>
      <c r="D645" t="s">
        <v>15</v>
      </c>
      <c r="E645" t="s">
        <v>46</v>
      </c>
      <c r="F645">
        <v>2011</v>
      </c>
      <c r="G645">
        <v>64</v>
      </c>
      <c r="H645">
        <v>1.03</v>
      </c>
      <c r="I645">
        <v>0.4</v>
      </c>
      <c r="J645">
        <v>0.28999999999999998</v>
      </c>
      <c r="K645">
        <v>0.17</v>
      </c>
      <c r="L645">
        <v>0.17</v>
      </c>
      <c r="M645" t="s">
        <v>17</v>
      </c>
      <c r="N645" t="s">
        <v>1071</v>
      </c>
    </row>
    <row r="646" spans="1:14" x14ac:dyDescent="0.35">
      <c r="A646">
        <v>645</v>
      </c>
      <c r="B646" t="s">
        <v>687</v>
      </c>
      <c r="C646" t="s">
        <v>57</v>
      </c>
      <c r="D646" t="s">
        <v>29</v>
      </c>
      <c r="E646" t="s">
        <v>41</v>
      </c>
      <c r="F646">
        <v>2011</v>
      </c>
      <c r="G646">
        <v>60</v>
      </c>
      <c r="H646">
        <v>0.16</v>
      </c>
      <c r="I646">
        <v>0.08</v>
      </c>
      <c r="J646">
        <v>0.05</v>
      </c>
      <c r="K646">
        <v>0.01</v>
      </c>
      <c r="L646">
        <v>0.02</v>
      </c>
      <c r="M646" t="s">
        <v>24</v>
      </c>
      <c r="N646" t="s">
        <v>1071</v>
      </c>
    </row>
    <row r="647" spans="1:14" x14ac:dyDescent="0.35">
      <c r="A647">
        <v>646</v>
      </c>
      <c r="B647" t="s">
        <v>688</v>
      </c>
      <c r="C647" t="s">
        <v>23</v>
      </c>
      <c r="D647" t="s">
        <v>48</v>
      </c>
      <c r="E647" t="s">
        <v>49</v>
      </c>
      <c r="F647">
        <v>2022</v>
      </c>
      <c r="G647">
        <v>74</v>
      </c>
      <c r="H647">
        <v>0.84</v>
      </c>
      <c r="I647">
        <v>0.32</v>
      </c>
      <c r="J647">
        <v>0.17</v>
      </c>
      <c r="K647">
        <v>0.14000000000000001</v>
      </c>
      <c r="L647">
        <v>0.21</v>
      </c>
      <c r="M647" t="s">
        <v>17</v>
      </c>
      <c r="N647" t="s">
        <v>1070</v>
      </c>
    </row>
    <row r="648" spans="1:14" x14ac:dyDescent="0.35">
      <c r="A648">
        <v>647</v>
      </c>
      <c r="B648" t="s">
        <v>689</v>
      </c>
      <c r="C648" t="s">
        <v>23</v>
      </c>
      <c r="D648" t="s">
        <v>48</v>
      </c>
      <c r="E648" t="s">
        <v>46</v>
      </c>
      <c r="F648">
        <v>2022</v>
      </c>
      <c r="G648">
        <v>62</v>
      </c>
      <c r="H648">
        <v>7.07</v>
      </c>
      <c r="I648">
        <v>2.84</v>
      </c>
      <c r="J648">
        <v>1.95</v>
      </c>
      <c r="K648">
        <v>0.48</v>
      </c>
      <c r="L648">
        <v>1.8</v>
      </c>
      <c r="M648" t="s">
        <v>21</v>
      </c>
      <c r="N648" t="s">
        <v>1071</v>
      </c>
    </row>
    <row r="649" spans="1:14" x14ac:dyDescent="0.35">
      <c r="A649">
        <v>648</v>
      </c>
      <c r="B649" t="s">
        <v>690</v>
      </c>
      <c r="C649" t="s">
        <v>64</v>
      </c>
      <c r="D649" t="s">
        <v>62</v>
      </c>
      <c r="E649" t="s">
        <v>46</v>
      </c>
      <c r="F649">
        <v>2012</v>
      </c>
      <c r="G649">
        <v>84</v>
      </c>
      <c r="H649">
        <v>0.21</v>
      </c>
      <c r="I649">
        <v>0.1</v>
      </c>
      <c r="J649">
        <v>0.06</v>
      </c>
      <c r="K649">
        <v>0.03</v>
      </c>
      <c r="L649">
        <v>0.02</v>
      </c>
      <c r="M649" t="s">
        <v>24</v>
      </c>
      <c r="N649" t="s">
        <v>1069</v>
      </c>
    </row>
    <row r="650" spans="1:14" x14ac:dyDescent="0.35">
      <c r="A650">
        <v>649</v>
      </c>
      <c r="B650" t="s">
        <v>691</v>
      </c>
      <c r="C650" t="s">
        <v>57</v>
      </c>
      <c r="D650" t="s">
        <v>65</v>
      </c>
      <c r="E650" t="s">
        <v>74</v>
      </c>
      <c r="F650">
        <v>2014</v>
      </c>
      <c r="G650">
        <v>74</v>
      </c>
      <c r="H650">
        <v>0.1</v>
      </c>
      <c r="I650">
        <v>0.05</v>
      </c>
      <c r="J650">
        <v>0.03</v>
      </c>
      <c r="K650">
        <v>0.02</v>
      </c>
      <c r="L650">
        <v>0</v>
      </c>
      <c r="M650" t="s">
        <v>24</v>
      </c>
      <c r="N650" t="s">
        <v>1070</v>
      </c>
    </row>
    <row r="651" spans="1:14" x14ac:dyDescent="0.35">
      <c r="A651">
        <v>650</v>
      </c>
      <c r="B651" t="s">
        <v>692</v>
      </c>
      <c r="C651" t="s">
        <v>23</v>
      </c>
      <c r="D651" t="s">
        <v>48</v>
      </c>
      <c r="E651" t="s">
        <v>49</v>
      </c>
      <c r="F651">
        <v>2025</v>
      </c>
      <c r="G651">
        <v>92</v>
      </c>
      <c r="H651">
        <v>0.09</v>
      </c>
      <c r="I651">
        <v>0.04</v>
      </c>
      <c r="J651">
        <v>0.02</v>
      </c>
      <c r="K651">
        <v>0.01</v>
      </c>
      <c r="L651">
        <v>0.02</v>
      </c>
      <c r="M651" t="s">
        <v>24</v>
      </c>
      <c r="N651" t="s">
        <v>1068</v>
      </c>
    </row>
    <row r="652" spans="1:14" x14ac:dyDescent="0.35">
      <c r="A652">
        <v>651</v>
      </c>
      <c r="B652" t="s">
        <v>693</v>
      </c>
      <c r="C652" t="s">
        <v>19</v>
      </c>
      <c r="D652" t="s">
        <v>33</v>
      </c>
      <c r="E652" t="s">
        <v>20</v>
      </c>
      <c r="F652">
        <v>2014</v>
      </c>
      <c r="G652">
        <v>85</v>
      </c>
      <c r="H652">
        <v>0.5</v>
      </c>
      <c r="I652">
        <v>0.24</v>
      </c>
      <c r="J652">
        <v>0.13</v>
      </c>
      <c r="K652">
        <v>7.0000000000000007E-2</v>
      </c>
      <c r="L652">
        <v>0.06</v>
      </c>
      <c r="M652" t="s">
        <v>24</v>
      </c>
      <c r="N652" t="s">
        <v>1069</v>
      </c>
    </row>
    <row r="653" spans="1:14" x14ac:dyDescent="0.35">
      <c r="A653">
        <v>652</v>
      </c>
      <c r="B653" t="s">
        <v>694</v>
      </c>
      <c r="C653" t="s">
        <v>64</v>
      </c>
      <c r="D653" t="s">
        <v>51</v>
      </c>
      <c r="E653" t="s">
        <v>74</v>
      </c>
      <c r="F653">
        <v>2017</v>
      </c>
      <c r="G653">
        <v>83</v>
      </c>
      <c r="H653">
        <v>0.54</v>
      </c>
      <c r="I653">
        <v>0.21</v>
      </c>
      <c r="J653">
        <v>0.15</v>
      </c>
      <c r="K653">
        <v>7.0000000000000007E-2</v>
      </c>
      <c r="L653">
        <v>0.11</v>
      </c>
      <c r="M653" t="s">
        <v>17</v>
      </c>
      <c r="N653" t="s">
        <v>1069</v>
      </c>
    </row>
    <row r="654" spans="1:14" x14ac:dyDescent="0.35">
      <c r="A654">
        <v>653</v>
      </c>
      <c r="B654" t="s">
        <v>695</v>
      </c>
      <c r="C654" t="s">
        <v>19</v>
      </c>
      <c r="D654" t="s">
        <v>65</v>
      </c>
      <c r="E654" t="s">
        <v>60</v>
      </c>
      <c r="F654">
        <v>2015</v>
      </c>
      <c r="G654">
        <v>84</v>
      </c>
      <c r="H654">
        <v>0.69</v>
      </c>
      <c r="I654">
        <v>0.37</v>
      </c>
      <c r="J654">
        <v>0.18</v>
      </c>
      <c r="K654">
        <v>0.13</v>
      </c>
      <c r="L654">
        <v>0.01</v>
      </c>
      <c r="M654" t="s">
        <v>17</v>
      </c>
      <c r="N654" t="s">
        <v>1069</v>
      </c>
    </row>
    <row r="655" spans="1:14" x14ac:dyDescent="0.35">
      <c r="A655">
        <v>654</v>
      </c>
      <c r="B655" t="s">
        <v>696</v>
      </c>
      <c r="C655" t="s">
        <v>23</v>
      </c>
      <c r="D655" t="s">
        <v>45</v>
      </c>
      <c r="E655" t="s">
        <v>49</v>
      </c>
      <c r="F655">
        <v>2026</v>
      </c>
      <c r="G655">
        <v>91</v>
      </c>
      <c r="H655">
        <v>0.37</v>
      </c>
      <c r="I655">
        <v>0.14000000000000001</v>
      </c>
      <c r="J655">
        <v>0.09</v>
      </c>
      <c r="K655">
        <v>0.04</v>
      </c>
      <c r="L655">
        <v>0.1</v>
      </c>
      <c r="M655" t="s">
        <v>24</v>
      </c>
      <c r="N655" t="s">
        <v>1068</v>
      </c>
    </row>
    <row r="656" spans="1:14" x14ac:dyDescent="0.35">
      <c r="A656">
        <v>655</v>
      </c>
      <c r="B656" t="s">
        <v>697</v>
      </c>
      <c r="C656" t="s">
        <v>14</v>
      </c>
      <c r="D656" t="s">
        <v>15</v>
      </c>
      <c r="E656" t="s">
        <v>54</v>
      </c>
      <c r="F656">
        <v>2013</v>
      </c>
      <c r="G656">
        <v>81</v>
      </c>
      <c r="H656">
        <v>1.27</v>
      </c>
      <c r="I656">
        <v>0.65</v>
      </c>
      <c r="J656">
        <v>0.35</v>
      </c>
      <c r="K656">
        <v>0.09</v>
      </c>
      <c r="L656">
        <v>0.18</v>
      </c>
      <c r="M656" t="s">
        <v>17</v>
      </c>
      <c r="N656" t="s">
        <v>1069</v>
      </c>
    </row>
    <row r="657" spans="1:14" x14ac:dyDescent="0.35">
      <c r="A657">
        <v>656</v>
      </c>
      <c r="B657" t="s">
        <v>698</v>
      </c>
      <c r="C657" t="s">
        <v>14</v>
      </c>
      <c r="D657" t="s">
        <v>15</v>
      </c>
      <c r="E657" t="s">
        <v>41</v>
      </c>
      <c r="F657">
        <v>2007</v>
      </c>
      <c r="G657">
        <v>74</v>
      </c>
      <c r="H657">
        <v>1.63</v>
      </c>
      <c r="I657">
        <v>0.83</v>
      </c>
      <c r="J657">
        <v>0.44</v>
      </c>
      <c r="K657">
        <v>0.26</v>
      </c>
      <c r="L657">
        <v>0.1</v>
      </c>
      <c r="M657" t="s">
        <v>17</v>
      </c>
      <c r="N657" t="s">
        <v>1070</v>
      </c>
    </row>
    <row r="658" spans="1:14" x14ac:dyDescent="0.35">
      <c r="A658">
        <v>657</v>
      </c>
      <c r="B658" t="s">
        <v>699</v>
      </c>
      <c r="C658" t="s">
        <v>23</v>
      </c>
      <c r="D658" t="s">
        <v>37</v>
      </c>
      <c r="E658" t="s">
        <v>60</v>
      </c>
      <c r="F658">
        <v>2021</v>
      </c>
      <c r="G658">
        <v>97</v>
      </c>
      <c r="H658">
        <v>0.41</v>
      </c>
      <c r="I658">
        <v>0.17</v>
      </c>
      <c r="J658">
        <v>0.13</v>
      </c>
      <c r="K658">
        <v>0.06</v>
      </c>
      <c r="L658">
        <v>0.05</v>
      </c>
      <c r="M658" t="s">
        <v>24</v>
      </c>
      <c r="N658" t="s">
        <v>1068</v>
      </c>
    </row>
    <row r="659" spans="1:14" x14ac:dyDescent="0.35">
      <c r="A659">
        <v>658</v>
      </c>
      <c r="B659" t="s">
        <v>700</v>
      </c>
      <c r="C659" t="s">
        <v>19</v>
      </c>
      <c r="D659" t="s">
        <v>48</v>
      </c>
      <c r="E659" t="s">
        <v>41</v>
      </c>
      <c r="F659">
        <v>2019</v>
      </c>
      <c r="G659">
        <v>57</v>
      </c>
      <c r="H659">
        <v>2.27</v>
      </c>
      <c r="I659">
        <v>1.19</v>
      </c>
      <c r="J659">
        <v>0.69</v>
      </c>
      <c r="K659">
        <v>0.31</v>
      </c>
      <c r="L659">
        <v>0.08</v>
      </c>
      <c r="M659" t="s">
        <v>27</v>
      </c>
      <c r="N659" t="s">
        <v>1071</v>
      </c>
    </row>
    <row r="660" spans="1:14" x14ac:dyDescent="0.35">
      <c r="A660">
        <v>659</v>
      </c>
      <c r="B660" t="s">
        <v>701</v>
      </c>
      <c r="C660" t="s">
        <v>64</v>
      </c>
      <c r="D660" t="s">
        <v>65</v>
      </c>
      <c r="E660" t="s">
        <v>49</v>
      </c>
      <c r="F660">
        <v>2015</v>
      </c>
      <c r="G660">
        <v>67</v>
      </c>
      <c r="H660">
        <v>1.37</v>
      </c>
      <c r="I660">
        <v>0.69</v>
      </c>
      <c r="J660">
        <v>0.47</v>
      </c>
      <c r="K660">
        <v>0.18</v>
      </c>
      <c r="L660">
        <v>0.03</v>
      </c>
      <c r="M660" t="s">
        <v>17</v>
      </c>
      <c r="N660" t="s">
        <v>1071</v>
      </c>
    </row>
    <row r="661" spans="1:14" x14ac:dyDescent="0.35">
      <c r="A661">
        <v>660</v>
      </c>
      <c r="B661" t="s">
        <v>702</v>
      </c>
      <c r="C661" t="s">
        <v>64</v>
      </c>
      <c r="D661" t="s">
        <v>65</v>
      </c>
      <c r="E661" t="s">
        <v>20</v>
      </c>
      <c r="F661">
        <v>2018</v>
      </c>
      <c r="G661">
        <v>66</v>
      </c>
      <c r="H661">
        <v>0.79</v>
      </c>
      <c r="I661">
        <v>0.31</v>
      </c>
      <c r="J661">
        <v>0.26</v>
      </c>
      <c r="K661">
        <v>0.14000000000000001</v>
      </c>
      <c r="L661">
        <v>0.08</v>
      </c>
      <c r="M661" t="s">
        <v>17</v>
      </c>
      <c r="N661" t="s">
        <v>1071</v>
      </c>
    </row>
    <row r="662" spans="1:14" x14ac:dyDescent="0.35">
      <c r="A662">
        <v>661</v>
      </c>
      <c r="B662" t="s">
        <v>703</v>
      </c>
      <c r="C662" t="s">
        <v>23</v>
      </c>
      <c r="D662" t="s">
        <v>33</v>
      </c>
      <c r="E662" t="s">
        <v>60</v>
      </c>
      <c r="F662">
        <v>2023</v>
      </c>
      <c r="G662">
        <v>80</v>
      </c>
      <c r="H662">
        <v>0.97</v>
      </c>
      <c r="I662">
        <v>0.52</v>
      </c>
      <c r="J662">
        <v>0.24</v>
      </c>
      <c r="K662">
        <v>7.0000000000000007E-2</v>
      </c>
      <c r="L662">
        <v>0.14000000000000001</v>
      </c>
      <c r="M662" t="s">
        <v>17</v>
      </c>
      <c r="N662" t="s">
        <v>1069</v>
      </c>
    </row>
    <row r="663" spans="1:14" x14ac:dyDescent="0.35">
      <c r="A663">
        <v>662</v>
      </c>
      <c r="B663" t="s">
        <v>704</v>
      </c>
      <c r="C663" t="s">
        <v>59</v>
      </c>
      <c r="D663" t="s">
        <v>29</v>
      </c>
      <c r="E663" t="s">
        <v>41</v>
      </c>
      <c r="F663">
        <v>1999</v>
      </c>
      <c r="G663">
        <v>62</v>
      </c>
      <c r="H663">
        <v>0.27</v>
      </c>
      <c r="I663">
        <v>0.14000000000000001</v>
      </c>
      <c r="J663">
        <v>0.06</v>
      </c>
      <c r="K663">
        <v>0.05</v>
      </c>
      <c r="L663">
        <v>0.02</v>
      </c>
      <c r="M663" t="s">
        <v>24</v>
      </c>
      <c r="N663" t="s">
        <v>1071</v>
      </c>
    </row>
    <row r="664" spans="1:14" x14ac:dyDescent="0.35">
      <c r="A664">
        <v>663</v>
      </c>
      <c r="B664" t="s">
        <v>705</v>
      </c>
      <c r="C664" t="s">
        <v>57</v>
      </c>
      <c r="D664" t="s">
        <v>15</v>
      </c>
      <c r="E664" t="s">
        <v>74</v>
      </c>
      <c r="F664">
        <v>2006</v>
      </c>
      <c r="G664">
        <v>56</v>
      </c>
      <c r="H664">
        <v>0.77</v>
      </c>
      <c r="I664">
        <v>0.28000000000000003</v>
      </c>
      <c r="J664">
        <v>0.17</v>
      </c>
      <c r="K664">
        <v>0.14000000000000001</v>
      </c>
      <c r="L664">
        <v>0.18</v>
      </c>
      <c r="M664" t="s">
        <v>17</v>
      </c>
      <c r="N664" t="s">
        <v>1071</v>
      </c>
    </row>
    <row r="665" spans="1:14" x14ac:dyDescent="0.35">
      <c r="A665">
        <v>664</v>
      </c>
      <c r="B665" t="s">
        <v>706</v>
      </c>
      <c r="C665" t="s">
        <v>14</v>
      </c>
      <c r="D665" t="s">
        <v>33</v>
      </c>
      <c r="E665" t="s">
        <v>20</v>
      </c>
      <c r="F665">
        <v>2012</v>
      </c>
      <c r="G665">
        <v>93</v>
      </c>
      <c r="H665">
        <v>0.77</v>
      </c>
      <c r="I665">
        <v>0.39</v>
      </c>
      <c r="J665">
        <v>0.2</v>
      </c>
      <c r="K665">
        <v>0.05</v>
      </c>
      <c r="L665">
        <v>0.13</v>
      </c>
      <c r="M665" t="s">
        <v>17</v>
      </c>
      <c r="N665" t="s">
        <v>1068</v>
      </c>
    </row>
    <row r="666" spans="1:14" x14ac:dyDescent="0.35">
      <c r="A666">
        <v>665</v>
      </c>
      <c r="B666" t="s">
        <v>707</v>
      </c>
      <c r="C666" t="s">
        <v>59</v>
      </c>
      <c r="D666" t="s">
        <v>62</v>
      </c>
      <c r="E666" t="s">
        <v>60</v>
      </c>
      <c r="F666">
        <v>1997</v>
      </c>
      <c r="G666">
        <v>85</v>
      </c>
      <c r="H666">
        <v>0.5</v>
      </c>
      <c r="I666">
        <v>0.19</v>
      </c>
      <c r="J666">
        <v>0.16</v>
      </c>
      <c r="K666">
        <v>7.0000000000000007E-2</v>
      </c>
      <c r="L666">
        <v>0.08</v>
      </c>
      <c r="M666" t="s">
        <v>24</v>
      </c>
      <c r="N666" t="s">
        <v>1069</v>
      </c>
    </row>
    <row r="667" spans="1:14" x14ac:dyDescent="0.35">
      <c r="A667">
        <v>666</v>
      </c>
      <c r="B667" t="s">
        <v>708</v>
      </c>
      <c r="C667" t="s">
        <v>31</v>
      </c>
      <c r="D667" t="s">
        <v>2</v>
      </c>
      <c r="E667" t="s">
        <v>41</v>
      </c>
      <c r="F667">
        <v>2002</v>
      </c>
      <c r="G667">
        <v>95</v>
      </c>
      <c r="H667">
        <v>0.67</v>
      </c>
      <c r="I667">
        <v>0.25</v>
      </c>
      <c r="J667">
        <v>0.19</v>
      </c>
      <c r="K667">
        <v>0.05</v>
      </c>
      <c r="L667">
        <v>0.18</v>
      </c>
      <c r="M667" t="s">
        <v>17</v>
      </c>
      <c r="N667" t="s">
        <v>1068</v>
      </c>
    </row>
    <row r="668" spans="1:14" x14ac:dyDescent="0.35">
      <c r="A668">
        <v>667</v>
      </c>
      <c r="B668" t="s">
        <v>709</v>
      </c>
      <c r="C668" t="s">
        <v>31</v>
      </c>
      <c r="D668" t="s">
        <v>45</v>
      </c>
      <c r="E668" t="s">
        <v>60</v>
      </c>
      <c r="F668">
        <v>2004</v>
      </c>
      <c r="G668">
        <v>55</v>
      </c>
      <c r="H668">
        <v>1.1299999999999999</v>
      </c>
      <c r="I668">
        <v>0.43</v>
      </c>
      <c r="J668">
        <v>0.24</v>
      </c>
      <c r="K668">
        <v>0.21</v>
      </c>
      <c r="L668">
        <v>0.25</v>
      </c>
      <c r="M668" t="s">
        <v>17</v>
      </c>
      <c r="N668" t="s">
        <v>1071</v>
      </c>
    </row>
    <row r="669" spans="1:14" x14ac:dyDescent="0.35">
      <c r="A669">
        <v>668</v>
      </c>
      <c r="B669" t="s">
        <v>710</v>
      </c>
      <c r="C669" t="s">
        <v>14</v>
      </c>
      <c r="D669" t="s">
        <v>45</v>
      </c>
      <c r="E669" t="s">
        <v>43</v>
      </c>
      <c r="F669">
        <v>2010</v>
      </c>
      <c r="G669">
        <v>87</v>
      </c>
      <c r="H669">
        <v>0.39</v>
      </c>
      <c r="I669">
        <v>0.18</v>
      </c>
      <c r="J669">
        <v>0.08</v>
      </c>
      <c r="K669">
        <v>0.02</v>
      </c>
      <c r="L669">
        <v>0.11</v>
      </c>
      <c r="M669" t="s">
        <v>24</v>
      </c>
      <c r="N669" t="s">
        <v>1069</v>
      </c>
    </row>
    <row r="670" spans="1:14" x14ac:dyDescent="0.35">
      <c r="A670">
        <v>669</v>
      </c>
      <c r="B670" t="s">
        <v>711</v>
      </c>
      <c r="C670" t="s">
        <v>57</v>
      </c>
      <c r="D670" t="s">
        <v>37</v>
      </c>
      <c r="E670" t="s">
        <v>60</v>
      </c>
      <c r="F670">
        <v>2005</v>
      </c>
      <c r="G670">
        <v>68</v>
      </c>
      <c r="H670">
        <v>0.2</v>
      </c>
      <c r="I670">
        <v>0.08</v>
      </c>
      <c r="J670">
        <v>0.05</v>
      </c>
      <c r="K670">
        <v>0.03</v>
      </c>
      <c r="L670">
        <v>0.04</v>
      </c>
      <c r="M670" t="s">
        <v>24</v>
      </c>
      <c r="N670" t="s">
        <v>1071</v>
      </c>
    </row>
    <row r="671" spans="1:14" x14ac:dyDescent="0.35">
      <c r="A671">
        <v>670</v>
      </c>
      <c r="B671" t="s">
        <v>712</v>
      </c>
      <c r="C671" t="s">
        <v>19</v>
      </c>
      <c r="D671" t="s">
        <v>48</v>
      </c>
      <c r="E671" t="s">
        <v>43</v>
      </c>
      <c r="F671">
        <v>2017</v>
      </c>
      <c r="G671">
        <v>84</v>
      </c>
      <c r="H671">
        <v>2.33</v>
      </c>
      <c r="I671">
        <v>1.24</v>
      </c>
      <c r="J671">
        <v>0.51</v>
      </c>
      <c r="K671">
        <v>0.44</v>
      </c>
      <c r="L671">
        <v>0.14000000000000001</v>
      </c>
      <c r="M671" t="s">
        <v>27</v>
      </c>
      <c r="N671" t="s">
        <v>1069</v>
      </c>
    </row>
    <row r="672" spans="1:14" x14ac:dyDescent="0.35">
      <c r="A672">
        <v>671</v>
      </c>
      <c r="B672" t="s">
        <v>713</v>
      </c>
      <c r="C672" t="s">
        <v>23</v>
      </c>
      <c r="D672" t="s">
        <v>15</v>
      </c>
      <c r="E672" t="s">
        <v>20</v>
      </c>
      <c r="F672">
        <v>2023</v>
      </c>
      <c r="G672">
        <v>90</v>
      </c>
      <c r="H672">
        <v>1.77</v>
      </c>
      <c r="I672">
        <v>0.9</v>
      </c>
      <c r="J672">
        <v>0.53</v>
      </c>
      <c r="K672">
        <v>0.11</v>
      </c>
      <c r="L672">
        <v>0.23</v>
      </c>
      <c r="M672" t="s">
        <v>17</v>
      </c>
      <c r="N672" t="s">
        <v>1068</v>
      </c>
    </row>
    <row r="673" spans="1:14" x14ac:dyDescent="0.35">
      <c r="A673">
        <v>672</v>
      </c>
      <c r="B673" t="s">
        <v>714</v>
      </c>
      <c r="C673" t="s">
        <v>59</v>
      </c>
      <c r="D673" t="s">
        <v>62</v>
      </c>
      <c r="E673" t="s">
        <v>49</v>
      </c>
      <c r="F673">
        <v>2000</v>
      </c>
      <c r="G673">
        <v>93</v>
      </c>
      <c r="H673">
        <v>0.31</v>
      </c>
      <c r="I673">
        <v>0.16</v>
      </c>
      <c r="J673">
        <v>0.09</v>
      </c>
      <c r="K673">
        <v>0.02</v>
      </c>
      <c r="L673">
        <v>0.04</v>
      </c>
      <c r="M673" t="s">
        <v>24</v>
      </c>
      <c r="N673" t="s">
        <v>1068</v>
      </c>
    </row>
    <row r="674" spans="1:14" x14ac:dyDescent="0.35">
      <c r="A674">
        <v>673</v>
      </c>
      <c r="B674" t="s">
        <v>715</v>
      </c>
      <c r="C674" t="s">
        <v>19</v>
      </c>
      <c r="D674" t="s">
        <v>48</v>
      </c>
      <c r="E674" t="s">
        <v>16</v>
      </c>
      <c r="F674">
        <v>2018</v>
      </c>
      <c r="G674">
        <v>56</v>
      </c>
      <c r="H674">
        <v>2.83</v>
      </c>
      <c r="I674">
        <v>1.39</v>
      </c>
      <c r="J674">
        <v>0.65</v>
      </c>
      <c r="K674">
        <v>0.49</v>
      </c>
      <c r="L674">
        <v>0.3</v>
      </c>
      <c r="M674" t="s">
        <v>27</v>
      </c>
      <c r="N674" t="s">
        <v>1071</v>
      </c>
    </row>
    <row r="675" spans="1:14" x14ac:dyDescent="0.35">
      <c r="A675">
        <v>674</v>
      </c>
      <c r="B675" t="s">
        <v>716</v>
      </c>
      <c r="C675" t="s">
        <v>57</v>
      </c>
      <c r="D675" t="s">
        <v>48</v>
      </c>
      <c r="E675" t="s">
        <v>52</v>
      </c>
      <c r="F675">
        <v>2008</v>
      </c>
      <c r="G675">
        <v>57</v>
      </c>
      <c r="H675">
        <v>0.72</v>
      </c>
      <c r="I675">
        <v>0.28000000000000003</v>
      </c>
      <c r="J675">
        <v>0.23</v>
      </c>
      <c r="K675">
        <v>0.08</v>
      </c>
      <c r="L675">
        <v>0.13</v>
      </c>
      <c r="M675" t="s">
        <v>17</v>
      </c>
      <c r="N675" t="s">
        <v>1071</v>
      </c>
    </row>
    <row r="676" spans="1:14" x14ac:dyDescent="0.35">
      <c r="A676">
        <v>675</v>
      </c>
      <c r="B676" t="s">
        <v>717</v>
      </c>
      <c r="C676" t="s">
        <v>64</v>
      </c>
      <c r="D676" t="s">
        <v>2</v>
      </c>
      <c r="E676" t="s">
        <v>60</v>
      </c>
      <c r="F676">
        <v>2015</v>
      </c>
      <c r="G676">
        <v>90</v>
      </c>
      <c r="H676">
        <v>0.05</v>
      </c>
      <c r="I676">
        <v>0.02</v>
      </c>
      <c r="J676">
        <v>0.01</v>
      </c>
      <c r="K676">
        <v>0</v>
      </c>
      <c r="L676">
        <v>0.02</v>
      </c>
      <c r="M676" t="s">
        <v>24</v>
      </c>
      <c r="N676" t="s">
        <v>1068</v>
      </c>
    </row>
    <row r="677" spans="1:14" x14ac:dyDescent="0.35">
      <c r="A677">
        <v>676</v>
      </c>
      <c r="B677" t="s">
        <v>718</v>
      </c>
      <c r="C677" t="s">
        <v>23</v>
      </c>
      <c r="D677" t="s">
        <v>33</v>
      </c>
      <c r="E677" t="s">
        <v>54</v>
      </c>
      <c r="F677">
        <v>2021</v>
      </c>
      <c r="G677">
        <v>69</v>
      </c>
      <c r="H677">
        <v>7.0000000000000007E-2</v>
      </c>
      <c r="I677">
        <v>0.02</v>
      </c>
      <c r="J677">
        <v>0.02</v>
      </c>
      <c r="K677">
        <v>0.01</v>
      </c>
      <c r="L677">
        <v>0.02</v>
      </c>
      <c r="M677" t="s">
        <v>24</v>
      </c>
      <c r="N677" t="s">
        <v>1071</v>
      </c>
    </row>
    <row r="678" spans="1:14" x14ac:dyDescent="0.35">
      <c r="A678">
        <v>677</v>
      </c>
      <c r="B678" t="s">
        <v>719</v>
      </c>
      <c r="C678" t="s">
        <v>23</v>
      </c>
      <c r="D678" t="s">
        <v>65</v>
      </c>
      <c r="E678" t="s">
        <v>16</v>
      </c>
      <c r="F678">
        <v>2022</v>
      </c>
      <c r="G678">
        <v>96</v>
      </c>
      <c r="H678">
        <v>1.58</v>
      </c>
      <c r="I678">
        <v>0.82</v>
      </c>
      <c r="J678">
        <v>0.39</v>
      </c>
      <c r="K678">
        <v>0.28000000000000003</v>
      </c>
      <c r="L678">
        <v>0.09</v>
      </c>
      <c r="M678" t="s">
        <v>17</v>
      </c>
      <c r="N678" t="s">
        <v>1068</v>
      </c>
    </row>
    <row r="679" spans="1:14" x14ac:dyDescent="0.35">
      <c r="A679">
        <v>678</v>
      </c>
      <c r="B679" t="s">
        <v>720</v>
      </c>
      <c r="C679" t="s">
        <v>19</v>
      </c>
      <c r="D679" t="s">
        <v>33</v>
      </c>
      <c r="E679" t="s">
        <v>60</v>
      </c>
      <c r="F679">
        <v>2017</v>
      </c>
      <c r="G679">
        <v>78</v>
      </c>
      <c r="H679">
        <v>0.83</v>
      </c>
      <c r="I679">
        <v>0.41</v>
      </c>
      <c r="J679">
        <v>0.17</v>
      </c>
      <c r="K679">
        <v>0.16</v>
      </c>
      <c r="L679">
        <v>0.09</v>
      </c>
      <c r="M679" t="s">
        <v>17</v>
      </c>
      <c r="N679" t="s">
        <v>1070</v>
      </c>
    </row>
    <row r="680" spans="1:14" x14ac:dyDescent="0.35">
      <c r="A680">
        <v>679</v>
      </c>
      <c r="B680" t="s">
        <v>721</v>
      </c>
      <c r="C680" t="s">
        <v>23</v>
      </c>
      <c r="D680" t="s">
        <v>29</v>
      </c>
      <c r="E680" t="s">
        <v>20</v>
      </c>
      <c r="F680">
        <v>2023</v>
      </c>
      <c r="G680">
        <v>76</v>
      </c>
      <c r="H680">
        <v>0.16</v>
      </c>
      <c r="I680">
        <v>0.06</v>
      </c>
      <c r="J680">
        <v>0.05</v>
      </c>
      <c r="K680">
        <v>0.03</v>
      </c>
      <c r="L680">
        <v>0.02</v>
      </c>
      <c r="M680" t="s">
        <v>24</v>
      </c>
      <c r="N680" t="s">
        <v>1070</v>
      </c>
    </row>
    <row r="681" spans="1:14" x14ac:dyDescent="0.35">
      <c r="A681">
        <v>680</v>
      </c>
      <c r="B681" t="s">
        <v>722</v>
      </c>
      <c r="C681" t="s">
        <v>19</v>
      </c>
      <c r="D681" t="s">
        <v>48</v>
      </c>
      <c r="E681" t="s">
        <v>52</v>
      </c>
      <c r="F681">
        <v>2014</v>
      </c>
      <c r="G681">
        <v>74</v>
      </c>
      <c r="H681">
        <v>0.22</v>
      </c>
      <c r="I681">
        <v>0.08</v>
      </c>
      <c r="J681">
        <v>7.0000000000000007E-2</v>
      </c>
      <c r="K681">
        <v>0.04</v>
      </c>
      <c r="L681">
        <v>0.03</v>
      </c>
      <c r="M681" t="s">
        <v>24</v>
      </c>
      <c r="N681" t="s">
        <v>1070</v>
      </c>
    </row>
    <row r="682" spans="1:14" x14ac:dyDescent="0.35">
      <c r="A682">
        <v>681</v>
      </c>
      <c r="B682" t="s">
        <v>723</v>
      </c>
      <c r="C682" t="s">
        <v>64</v>
      </c>
      <c r="D682" t="s">
        <v>48</v>
      </c>
      <c r="E682" t="s">
        <v>49</v>
      </c>
      <c r="F682">
        <v>2015</v>
      </c>
      <c r="G682">
        <v>76</v>
      </c>
      <c r="H682">
        <v>0.31</v>
      </c>
      <c r="I682">
        <v>0.11</v>
      </c>
      <c r="J682">
        <v>0.09</v>
      </c>
      <c r="K682">
        <v>0.04</v>
      </c>
      <c r="L682">
        <v>7.0000000000000007E-2</v>
      </c>
      <c r="M682" t="s">
        <v>24</v>
      </c>
      <c r="N682" t="s">
        <v>1070</v>
      </c>
    </row>
    <row r="683" spans="1:14" x14ac:dyDescent="0.35">
      <c r="A683">
        <v>682</v>
      </c>
      <c r="B683" t="s">
        <v>724</v>
      </c>
      <c r="C683" t="s">
        <v>59</v>
      </c>
      <c r="D683" t="s">
        <v>62</v>
      </c>
      <c r="E683" t="s">
        <v>74</v>
      </c>
      <c r="F683">
        <v>2000</v>
      </c>
      <c r="G683">
        <v>58</v>
      </c>
      <c r="H683">
        <v>1.1399999999999999</v>
      </c>
      <c r="I683">
        <v>0.6</v>
      </c>
      <c r="J683">
        <v>0.35</v>
      </c>
      <c r="K683">
        <v>0.19</v>
      </c>
      <c r="L683">
        <v>0</v>
      </c>
      <c r="M683" t="s">
        <v>17</v>
      </c>
      <c r="N683" t="s">
        <v>1071</v>
      </c>
    </row>
    <row r="684" spans="1:14" x14ac:dyDescent="0.35">
      <c r="A684">
        <v>683</v>
      </c>
      <c r="B684" t="s">
        <v>725</v>
      </c>
      <c r="C684" t="s">
        <v>59</v>
      </c>
      <c r="D684" t="s">
        <v>15</v>
      </c>
      <c r="E684" t="s">
        <v>46</v>
      </c>
      <c r="F684">
        <v>1998</v>
      </c>
      <c r="G684">
        <v>59</v>
      </c>
      <c r="H684">
        <v>0.27</v>
      </c>
      <c r="I684">
        <v>0.12</v>
      </c>
      <c r="J684">
        <v>0.09</v>
      </c>
      <c r="K684">
        <v>0.05</v>
      </c>
      <c r="L684">
        <v>0.01</v>
      </c>
      <c r="M684" t="s">
        <v>24</v>
      </c>
      <c r="N684" t="s">
        <v>1071</v>
      </c>
    </row>
    <row r="685" spans="1:14" x14ac:dyDescent="0.35">
      <c r="A685">
        <v>684</v>
      </c>
      <c r="B685" t="s">
        <v>726</v>
      </c>
      <c r="C685" t="s">
        <v>23</v>
      </c>
      <c r="D685" t="s">
        <v>62</v>
      </c>
      <c r="E685" t="s">
        <v>41</v>
      </c>
      <c r="F685">
        <v>2020</v>
      </c>
      <c r="G685">
        <v>94</v>
      </c>
      <c r="H685">
        <v>0.97</v>
      </c>
      <c r="I685">
        <v>0.52</v>
      </c>
      <c r="J685">
        <v>0.31</v>
      </c>
      <c r="K685">
        <v>0.11</v>
      </c>
      <c r="L685">
        <v>0.03</v>
      </c>
      <c r="M685" t="s">
        <v>17</v>
      </c>
      <c r="N685" t="s">
        <v>1068</v>
      </c>
    </row>
    <row r="686" spans="1:14" x14ac:dyDescent="0.35">
      <c r="A686">
        <v>685</v>
      </c>
      <c r="B686" t="s">
        <v>727</v>
      </c>
      <c r="C686" t="s">
        <v>14</v>
      </c>
      <c r="D686" t="s">
        <v>33</v>
      </c>
      <c r="E686" t="s">
        <v>49</v>
      </c>
      <c r="F686">
        <v>2009</v>
      </c>
      <c r="G686">
        <v>59</v>
      </c>
      <c r="H686">
        <v>1.45</v>
      </c>
      <c r="I686">
        <v>0.77</v>
      </c>
      <c r="J686">
        <v>0.32</v>
      </c>
      <c r="K686">
        <v>0.18</v>
      </c>
      <c r="L686">
        <v>0.18</v>
      </c>
      <c r="M686" t="s">
        <v>17</v>
      </c>
      <c r="N686" t="s">
        <v>1071</v>
      </c>
    </row>
    <row r="687" spans="1:14" x14ac:dyDescent="0.35">
      <c r="A687">
        <v>686</v>
      </c>
      <c r="B687" t="s">
        <v>728</v>
      </c>
      <c r="C687" t="s">
        <v>14</v>
      </c>
      <c r="D687" t="s">
        <v>62</v>
      </c>
      <c r="E687" t="s">
        <v>74</v>
      </c>
      <c r="F687">
        <v>2012</v>
      </c>
      <c r="G687">
        <v>70</v>
      </c>
      <c r="H687">
        <v>0.15</v>
      </c>
      <c r="I687">
        <v>7.0000000000000007E-2</v>
      </c>
      <c r="J687">
        <v>0.04</v>
      </c>
      <c r="K687">
        <v>0.02</v>
      </c>
      <c r="L687">
        <v>0.02</v>
      </c>
      <c r="M687" t="s">
        <v>24</v>
      </c>
      <c r="N687" t="s">
        <v>1070</v>
      </c>
    </row>
    <row r="688" spans="1:14" x14ac:dyDescent="0.35">
      <c r="A688">
        <v>687</v>
      </c>
      <c r="B688" t="s">
        <v>729</v>
      </c>
      <c r="C688" t="s">
        <v>23</v>
      </c>
      <c r="D688" t="s">
        <v>37</v>
      </c>
      <c r="E688" t="s">
        <v>54</v>
      </c>
      <c r="F688">
        <v>2024</v>
      </c>
      <c r="G688">
        <v>93</v>
      </c>
      <c r="H688">
        <v>0.5</v>
      </c>
      <c r="I688">
        <v>0.18</v>
      </c>
      <c r="J688">
        <v>0.14000000000000001</v>
      </c>
      <c r="K688">
        <v>0.08</v>
      </c>
      <c r="L688">
        <v>0.1</v>
      </c>
      <c r="M688" t="s">
        <v>24</v>
      </c>
      <c r="N688" t="s">
        <v>1068</v>
      </c>
    </row>
    <row r="689" spans="1:14" x14ac:dyDescent="0.35">
      <c r="A689">
        <v>688</v>
      </c>
      <c r="B689" t="s">
        <v>730</v>
      </c>
      <c r="C689" t="s">
        <v>59</v>
      </c>
      <c r="D689" t="s">
        <v>65</v>
      </c>
      <c r="E689" t="s">
        <v>60</v>
      </c>
      <c r="F689">
        <v>1996</v>
      </c>
      <c r="G689">
        <v>77</v>
      </c>
      <c r="H689">
        <v>0.23</v>
      </c>
      <c r="I689">
        <v>0.12</v>
      </c>
      <c r="J689">
        <v>7.0000000000000007E-2</v>
      </c>
      <c r="K689">
        <v>0.02</v>
      </c>
      <c r="L689">
        <v>0.02</v>
      </c>
      <c r="M689" t="s">
        <v>24</v>
      </c>
      <c r="N689" t="s">
        <v>1070</v>
      </c>
    </row>
    <row r="690" spans="1:14" x14ac:dyDescent="0.35">
      <c r="A690">
        <v>689</v>
      </c>
      <c r="B690" t="s">
        <v>731</v>
      </c>
      <c r="C690" t="s">
        <v>57</v>
      </c>
      <c r="D690" t="s">
        <v>62</v>
      </c>
      <c r="E690" t="s">
        <v>74</v>
      </c>
      <c r="F690">
        <v>2011</v>
      </c>
      <c r="G690">
        <v>91</v>
      </c>
      <c r="H690">
        <v>0.41</v>
      </c>
      <c r="I690">
        <v>0.18</v>
      </c>
      <c r="J690">
        <v>0.13</v>
      </c>
      <c r="K690">
        <v>0.02</v>
      </c>
      <c r="L690">
        <v>0.08</v>
      </c>
      <c r="M690" t="s">
        <v>24</v>
      </c>
      <c r="N690" t="s">
        <v>1068</v>
      </c>
    </row>
    <row r="691" spans="1:14" x14ac:dyDescent="0.35">
      <c r="A691">
        <v>690</v>
      </c>
      <c r="B691" t="s">
        <v>732</v>
      </c>
      <c r="C691" t="s">
        <v>31</v>
      </c>
      <c r="D691" t="s">
        <v>48</v>
      </c>
      <c r="E691" t="s">
        <v>52</v>
      </c>
      <c r="F691">
        <v>2000</v>
      </c>
      <c r="G691">
        <v>68</v>
      </c>
      <c r="H691">
        <v>0.15</v>
      </c>
      <c r="I691">
        <v>0.08</v>
      </c>
      <c r="J691">
        <v>0.04</v>
      </c>
      <c r="K691">
        <v>0.02</v>
      </c>
      <c r="L691">
        <v>0.01</v>
      </c>
      <c r="M691" t="s">
        <v>24</v>
      </c>
      <c r="N691" t="s">
        <v>1071</v>
      </c>
    </row>
    <row r="692" spans="1:14" x14ac:dyDescent="0.35">
      <c r="A692">
        <v>691</v>
      </c>
      <c r="B692" t="s">
        <v>733</v>
      </c>
      <c r="C692" t="s">
        <v>31</v>
      </c>
      <c r="D692" t="s">
        <v>37</v>
      </c>
      <c r="E692" t="s">
        <v>20</v>
      </c>
      <c r="F692">
        <v>2003</v>
      </c>
      <c r="G692">
        <v>59</v>
      </c>
      <c r="H692">
        <v>0.41</v>
      </c>
      <c r="I692">
        <v>0.16</v>
      </c>
      <c r="J692">
        <v>0.11</v>
      </c>
      <c r="K692">
        <v>0.06</v>
      </c>
      <c r="L692">
        <v>0.08</v>
      </c>
      <c r="M692" t="s">
        <v>24</v>
      </c>
      <c r="N692" t="s">
        <v>1071</v>
      </c>
    </row>
    <row r="693" spans="1:14" x14ac:dyDescent="0.35">
      <c r="A693">
        <v>692</v>
      </c>
      <c r="B693" t="s">
        <v>734</v>
      </c>
      <c r="C693" t="s">
        <v>64</v>
      </c>
      <c r="D693" t="s">
        <v>15</v>
      </c>
      <c r="E693" t="s">
        <v>20</v>
      </c>
      <c r="F693">
        <v>2016</v>
      </c>
      <c r="G693">
        <v>73</v>
      </c>
      <c r="H693">
        <v>0.49</v>
      </c>
      <c r="I693">
        <v>0.23</v>
      </c>
      <c r="J693">
        <v>0.11</v>
      </c>
      <c r="K693">
        <v>0.03</v>
      </c>
      <c r="L693">
        <v>0.12</v>
      </c>
      <c r="M693" t="s">
        <v>24</v>
      </c>
      <c r="N693" t="s">
        <v>1070</v>
      </c>
    </row>
    <row r="694" spans="1:14" x14ac:dyDescent="0.35">
      <c r="A694">
        <v>693</v>
      </c>
      <c r="B694" t="s">
        <v>735</v>
      </c>
      <c r="C694" t="s">
        <v>64</v>
      </c>
      <c r="D694" t="s">
        <v>33</v>
      </c>
      <c r="E694" t="s">
        <v>20</v>
      </c>
      <c r="F694">
        <v>2015</v>
      </c>
      <c r="G694">
        <v>96</v>
      </c>
      <c r="H694">
        <v>0.49</v>
      </c>
      <c r="I694">
        <v>0.26</v>
      </c>
      <c r="J694">
        <v>0.12</v>
      </c>
      <c r="K694">
        <v>0.04</v>
      </c>
      <c r="L694">
        <v>7.0000000000000007E-2</v>
      </c>
      <c r="M694" t="s">
        <v>24</v>
      </c>
      <c r="N694" t="s">
        <v>1068</v>
      </c>
    </row>
    <row r="695" spans="1:14" x14ac:dyDescent="0.35">
      <c r="A695">
        <v>694</v>
      </c>
      <c r="B695" t="s">
        <v>736</v>
      </c>
      <c r="C695" t="s">
        <v>64</v>
      </c>
      <c r="D695" t="s">
        <v>37</v>
      </c>
      <c r="E695" t="s">
        <v>60</v>
      </c>
      <c r="F695">
        <v>2016</v>
      </c>
      <c r="G695">
        <v>59</v>
      </c>
      <c r="H695">
        <v>0.15</v>
      </c>
      <c r="I695">
        <v>7.0000000000000007E-2</v>
      </c>
      <c r="J695">
        <v>0.05</v>
      </c>
      <c r="K695">
        <v>0.01</v>
      </c>
      <c r="L695">
        <v>0.02</v>
      </c>
      <c r="M695" t="s">
        <v>24</v>
      </c>
      <c r="N695" t="s">
        <v>1071</v>
      </c>
    </row>
    <row r="696" spans="1:14" x14ac:dyDescent="0.35">
      <c r="A696">
        <v>695</v>
      </c>
      <c r="B696" t="s">
        <v>737</v>
      </c>
      <c r="C696" t="s">
        <v>19</v>
      </c>
      <c r="D696" t="s">
        <v>15</v>
      </c>
      <c r="E696" t="s">
        <v>74</v>
      </c>
      <c r="F696">
        <v>2016</v>
      </c>
      <c r="G696">
        <v>89</v>
      </c>
      <c r="H696">
        <v>0.56000000000000005</v>
      </c>
      <c r="I696">
        <v>0.22</v>
      </c>
      <c r="J696">
        <v>0.16</v>
      </c>
      <c r="K696">
        <v>0.05</v>
      </c>
      <c r="L696">
        <v>0.13</v>
      </c>
      <c r="M696" t="s">
        <v>17</v>
      </c>
      <c r="N696" t="s">
        <v>1069</v>
      </c>
    </row>
    <row r="697" spans="1:14" x14ac:dyDescent="0.35">
      <c r="A697">
        <v>696</v>
      </c>
      <c r="B697" t="s">
        <v>738</v>
      </c>
      <c r="C697" t="s">
        <v>31</v>
      </c>
      <c r="D697" t="s">
        <v>65</v>
      </c>
      <c r="E697" t="s">
        <v>74</v>
      </c>
      <c r="F697">
        <v>2006</v>
      </c>
      <c r="G697">
        <v>60</v>
      </c>
      <c r="H697">
        <v>5.43</v>
      </c>
      <c r="I697">
        <v>2.57</v>
      </c>
      <c r="J697">
        <v>1.22</v>
      </c>
      <c r="K697">
        <v>0.59</v>
      </c>
      <c r="L697">
        <v>1.05</v>
      </c>
      <c r="M697" t="s">
        <v>21</v>
      </c>
      <c r="N697" t="s">
        <v>1071</v>
      </c>
    </row>
    <row r="698" spans="1:14" x14ac:dyDescent="0.35">
      <c r="A698">
        <v>697</v>
      </c>
      <c r="B698" t="s">
        <v>739</v>
      </c>
      <c r="C698" t="s">
        <v>57</v>
      </c>
      <c r="D698" t="s">
        <v>29</v>
      </c>
      <c r="E698" t="s">
        <v>16</v>
      </c>
      <c r="F698">
        <v>2012</v>
      </c>
      <c r="G698">
        <v>66</v>
      </c>
      <c r="H698">
        <v>0.31</v>
      </c>
      <c r="I698">
        <v>0.15</v>
      </c>
      <c r="J698">
        <v>0.1</v>
      </c>
      <c r="K698">
        <v>0.04</v>
      </c>
      <c r="L698">
        <v>0.02</v>
      </c>
      <c r="M698" t="s">
        <v>24</v>
      </c>
      <c r="N698" t="s">
        <v>1071</v>
      </c>
    </row>
    <row r="699" spans="1:14" x14ac:dyDescent="0.35">
      <c r="A699">
        <v>698</v>
      </c>
      <c r="B699" t="s">
        <v>740</v>
      </c>
      <c r="C699" t="s">
        <v>14</v>
      </c>
      <c r="D699" t="s">
        <v>2</v>
      </c>
      <c r="E699" t="s">
        <v>20</v>
      </c>
      <c r="F699">
        <v>2012</v>
      </c>
      <c r="G699">
        <v>67</v>
      </c>
      <c r="H699">
        <v>0.54</v>
      </c>
      <c r="I699">
        <v>0.21</v>
      </c>
      <c r="J699">
        <v>0.14000000000000001</v>
      </c>
      <c r="K699">
        <v>0.06</v>
      </c>
      <c r="L699">
        <v>0.13</v>
      </c>
      <c r="M699" t="s">
        <v>17</v>
      </c>
      <c r="N699" t="s">
        <v>1071</v>
      </c>
    </row>
    <row r="700" spans="1:14" x14ac:dyDescent="0.35">
      <c r="A700">
        <v>699</v>
      </c>
      <c r="B700" t="s">
        <v>741</v>
      </c>
      <c r="C700" t="s">
        <v>31</v>
      </c>
      <c r="D700" t="s">
        <v>29</v>
      </c>
      <c r="E700" t="s">
        <v>46</v>
      </c>
      <c r="F700">
        <v>2006</v>
      </c>
      <c r="G700">
        <v>63</v>
      </c>
      <c r="H700">
        <v>1.1499999999999999</v>
      </c>
      <c r="I700">
        <v>0.52</v>
      </c>
      <c r="J700">
        <v>0.27</v>
      </c>
      <c r="K700">
        <v>0.06</v>
      </c>
      <c r="L700">
        <v>0.3</v>
      </c>
      <c r="M700" t="s">
        <v>17</v>
      </c>
      <c r="N700" t="s">
        <v>1071</v>
      </c>
    </row>
    <row r="701" spans="1:14" x14ac:dyDescent="0.35">
      <c r="A701">
        <v>700</v>
      </c>
      <c r="B701" t="s">
        <v>742</v>
      </c>
      <c r="C701" t="s">
        <v>23</v>
      </c>
      <c r="D701" t="s">
        <v>29</v>
      </c>
      <c r="E701" t="s">
        <v>41</v>
      </c>
      <c r="F701">
        <v>2024</v>
      </c>
      <c r="G701">
        <v>82</v>
      </c>
      <c r="H701">
        <v>0.36</v>
      </c>
      <c r="I701">
        <v>0.15</v>
      </c>
      <c r="J701">
        <v>0.09</v>
      </c>
      <c r="K701">
        <v>0.03</v>
      </c>
      <c r="L701">
        <v>0.09</v>
      </c>
      <c r="M701" t="s">
        <v>24</v>
      </c>
      <c r="N701" t="s">
        <v>1069</v>
      </c>
    </row>
    <row r="702" spans="1:14" x14ac:dyDescent="0.35">
      <c r="A702">
        <v>701</v>
      </c>
      <c r="B702" t="s">
        <v>743</v>
      </c>
      <c r="C702" t="s">
        <v>31</v>
      </c>
      <c r="D702" t="s">
        <v>33</v>
      </c>
      <c r="E702" t="s">
        <v>43</v>
      </c>
      <c r="F702">
        <v>2002</v>
      </c>
      <c r="G702">
        <v>87</v>
      </c>
      <c r="H702">
        <v>0.7</v>
      </c>
      <c r="I702">
        <v>0.36</v>
      </c>
      <c r="J702">
        <v>0.24</v>
      </c>
      <c r="K702">
        <v>0.05</v>
      </c>
      <c r="L702">
        <v>0.05</v>
      </c>
      <c r="M702" t="s">
        <v>17</v>
      </c>
      <c r="N702" t="s">
        <v>1069</v>
      </c>
    </row>
    <row r="703" spans="1:14" x14ac:dyDescent="0.35">
      <c r="A703">
        <v>702</v>
      </c>
      <c r="B703" t="s">
        <v>744</v>
      </c>
      <c r="C703" t="s">
        <v>59</v>
      </c>
      <c r="D703" t="s">
        <v>15</v>
      </c>
      <c r="E703" t="s">
        <v>60</v>
      </c>
      <c r="F703">
        <v>1997</v>
      </c>
      <c r="G703">
        <v>67</v>
      </c>
      <c r="H703">
        <v>0.57999999999999996</v>
      </c>
      <c r="I703">
        <v>0.28999999999999998</v>
      </c>
      <c r="J703">
        <v>0.18</v>
      </c>
      <c r="K703">
        <v>0.1</v>
      </c>
      <c r="L703">
        <v>0.01</v>
      </c>
      <c r="M703" t="s">
        <v>17</v>
      </c>
      <c r="N703" t="s">
        <v>1071</v>
      </c>
    </row>
    <row r="704" spans="1:14" x14ac:dyDescent="0.35">
      <c r="A704">
        <v>703</v>
      </c>
      <c r="B704" t="s">
        <v>745</v>
      </c>
      <c r="C704" t="s">
        <v>31</v>
      </c>
      <c r="D704" t="s">
        <v>2</v>
      </c>
      <c r="E704" t="s">
        <v>54</v>
      </c>
      <c r="F704">
        <v>2005</v>
      </c>
      <c r="G704">
        <v>55</v>
      </c>
      <c r="H704">
        <v>1.19</v>
      </c>
      <c r="I704">
        <v>0.5</v>
      </c>
      <c r="J704">
        <v>0.42</v>
      </c>
      <c r="K704">
        <v>0.23</v>
      </c>
      <c r="L704">
        <v>0.04</v>
      </c>
      <c r="M704" t="s">
        <v>17</v>
      </c>
      <c r="N704" t="s">
        <v>1071</v>
      </c>
    </row>
    <row r="705" spans="1:14" x14ac:dyDescent="0.35">
      <c r="A705">
        <v>704</v>
      </c>
      <c r="B705" t="s">
        <v>746</v>
      </c>
      <c r="C705" t="s">
        <v>64</v>
      </c>
      <c r="D705" t="s">
        <v>62</v>
      </c>
      <c r="E705" t="s">
        <v>60</v>
      </c>
      <c r="F705">
        <v>2011</v>
      </c>
      <c r="G705">
        <v>69</v>
      </c>
      <c r="H705">
        <v>0.05</v>
      </c>
      <c r="I705">
        <v>0.02</v>
      </c>
      <c r="J705">
        <v>0.01</v>
      </c>
      <c r="K705">
        <v>0.01</v>
      </c>
      <c r="L705">
        <v>0.01</v>
      </c>
      <c r="M705" t="s">
        <v>24</v>
      </c>
      <c r="N705" t="s">
        <v>1071</v>
      </c>
    </row>
    <row r="706" spans="1:14" x14ac:dyDescent="0.35">
      <c r="A706">
        <v>705</v>
      </c>
      <c r="B706" t="s">
        <v>747</v>
      </c>
      <c r="C706" t="s">
        <v>64</v>
      </c>
      <c r="D706" t="s">
        <v>62</v>
      </c>
      <c r="E706" t="s">
        <v>43</v>
      </c>
      <c r="F706">
        <v>2018</v>
      </c>
      <c r="G706">
        <v>67</v>
      </c>
      <c r="H706">
        <v>0.05</v>
      </c>
      <c r="I706">
        <v>0.02</v>
      </c>
      <c r="J706">
        <v>0.01</v>
      </c>
      <c r="K706">
        <v>0.01</v>
      </c>
      <c r="L706">
        <v>0.01</v>
      </c>
      <c r="M706" t="s">
        <v>24</v>
      </c>
      <c r="N706" t="s">
        <v>1071</v>
      </c>
    </row>
    <row r="707" spans="1:14" x14ac:dyDescent="0.35">
      <c r="A707">
        <v>706</v>
      </c>
      <c r="B707" t="s">
        <v>748</v>
      </c>
      <c r="C707" t="s">
        <v>59</v>
      </c>
      <c r="D707" t="s">
        <v>37</v>
      </c>
      <c r="E707" t="s">
        <v>74</v>
      </c>
      <c r="F707">
        <v>1997</v>
      </c>
      <c r="G707">
        <v>55</v>
      </c>
      <c r="H707">
        <v>0.4</v>
      </c>
      <c r="I707">
        <v>0.17</v>
      </c>
      <c r="J707">
        <v>0.09</v>
      </c>
      <c r="K707">
        <v>0.05</v>
      </c>
      <c r="L707">
        <v>0.09</v>
      </c>
      <c r="M707" t="s">
        <v>24</v>
      </c>
      <c r="N707" t="s">
        <v>1071</v>
      </c>
    </row>
    <row r="708" spans="1:14" x14ac:dyDescent="0.35">
      <c r="A708">
        <v>707</v>
      </c>
      <c r="B708" t="s">
        <v>749</v>
      </c>
      <c r="C708" t="s">
        <v>64</v>
      </c>
      <c r="D708" t="s">
        <v>65</v>
      </c>
      <c r="E708" t="s">
        <v>46</v>
      </c>
      <c r="F708">
        <v>2017</v>
      </c>
      <c r="G708">
        <v>56</v>
      </c>
      <c r="H708">
        <v>0.33</v>
      </c>
      <c r="I708">
        <v>0.12</v>
      </c>
      <c r="J708">
        <v>0.11</v>
      </c>
      <c r="K708">
        <v>7.0000000000000007E-2</v>
      </c>
      <c r="L708">
        <v>0.03</v>
      </c>
      <c r="M708" t="s">
        <v>24</v>
      </c>
      <c r="N708" t="s">
        <v>1071</v>
      </c>
    </row>
    <row r="709" spans="1:14" x14ac:dyDescent="0.35">
      <c r="A709">
        <v>708</v>
      </c>
      <c r="B709" t="s">
        <v>750</v>
      </c>
      <c r="C709" t="s">
        <v>23</v>
      </c>
      <c r="D709" t="s">
        <v>2</v>
      </c>
      <c r="E709" t="s">
        <v>74</v>
      </c>
      <c r="F709">
        <v>2025</v>
      </c>
      <c r="G709">
        <v>79</v>
      </c>
      <c r="H709">
        <v>0.35</v>
      </c>
      <c r="I709">
        <v>0.16</v>
      </c>
      <c r="J709">
        <v>0.08</v>
      </c>
      <c r="K709">
        <v>0.02</v>
      </c>
      <c r="L709">
        <v>0.09</v>
      </c>
      <c r="M709" t="s">
        <v>24</v>
      </c>
      <c r="N709" t="s">
        <v>1070</v>
      </c>
    </row>
    <row r="710" spans="1:14" x14ac:dyDescent="0.35">
      <c r="A710">
        <v>709</v>
      </c>
      <c r="B710" t="s">
        <v>751</v>
      </c>
      <c r="C710" t="s">
        <v>23</v>
      </c>
      <c r="D710" t="s">
        <v>51</v>
      </c>
      <c r="E710" t="s">
        <v>49</v>
      </c>
      <c r="F710">
        <v>2023</v>
      </c>
      <c r="G710">
        <v>98</v>
      </c>
      <c r="H710">
        <v>0.8</v>
      </c>
      <c r="I710">
        <v>0.39</v>
      </c>
      <c r="J710">
        <v>0.22</v>
      </c>
      <c r="K710">
        <v>0.06</v>
      </c>
      <c r="L710">
        <v>0.13</v>
      </c>
      <c r="M710" t="s">
        <v>17</v>
      </c>
      <c r="N710" t="s">
        <v>1068</v>
      </c>
    </row>
    <row r="711" spans="1:14" x14ac:dyDescent="0.35">
      <c r="A711">
        <v>710</v>
      </c>
      <c r="B711" t="s">
        <v>752</v>
      </c>
      <c r="C711" t="s">
        <v>59</v>
      </c>
      <c r="D711" t="s">
        <v>51</v>
      </c>
      <c r="E711" t="s">
        <v>52</v>
      </c>
      <c r="F711">
        <v>1998</v>
      </c>
      <c r="G711">
        <v>97</v>
      </c>
      <c r="H711">
        <v>0.43</v>
      </c>
      <c r="I711">
        <v>0.18</v>
      </c>
      <c r="J711">
        <v>0.09</v>
      </c>
      <c r="K711">
        <v>0.04</v>
      </c>
      <c r="L711">
        <v>0.12</v>
      </c>
      <c r="M711" t="s">
        <v>24</v>
      </c>
      <c r="N711" t="s">
        <v>1068</v>
      </c>
    </row>
    <row r="712" spans="1:14" x14ac:dyDescent="0.35">
      <c r="A712">
        <v>711</v>
      </c>
      <c r="B712" t="s">
        <v>753</v>
      </c>
      <c r="C712" t="s">
        <v>19</v>
      </c>
      <c r="D712" t="s">
        <v>37</v>
      </c>
      <c r="E712" t="s">
        <v>49</v>
      </c>
      <c r="F712">
        <v>2019</v>
      </c>
      <c r="G712">
        <v>81</v>
      </c>
      <c r="H712">
        <v>0.78</v>
      </c>
      <c r="I712">
        <v>0.42</v>
      </c>
      <c r="J712">
        <v>0.26</v>
      </c>
      <c r="K712">
        <v>0.05</v>
      </c>
      <c r="L712">
        <v>0.05</v>
      </c>
      <c r="M712" t="s">
        <v>17</v>
      </c>
      <c r="N712" t="s">
        <v>1069</v>
      </c>
    </row>
    <row r="713" spans="1:14" x14ac:dyDescent="0.35">
      <c r="A713">
        <v>712</v>
      </c>
      <c r="B713" t="s">
        <v>754</v>
      </c>
      <c r="C713" t="s">
        <v>31</v>
      </c>
      <c r="D713" t="s">
        <v>45</v>
      </c>
      <c r="E713" t="s">
        <v>16</v>
      </c>
      <c r="F713">
        <v>2002</v>
      </c>
      <c r="G713">
        <v>91</v>
      </c>
      <c r="H713">
        <v>3.43</v>
      </c>
      <c r="I713">
        <v>1.55</v>
      </c>
      <c r="J713">
        <v>1.04</v>
      </c>
      <c r="K713">
        <v>0.31</v>
      </c>
      <c r="L713">
        <v>0.53</v>
      </c>
      <c r="M713" t="s">
        <v>27</v>
      </c>
      <c r="N713" t="s">
        <v>1068</v>
      </c>
    </row>
    <row r="714" spans="1:14" x14ac:dyDescent="0.35">
      <c r="A714">
        <v>713</v>
      </c>
      <c r="B714" t="s">
        <v>755</v>
      </c>
      <c r="C714" t="s">
        <v>59</v>
      </c>
      <c r="D714" t="s">
        <v>62</v>
      </c>
      <c r="E714" t="s">
        <v>49</v>
      </c>
      <c r="F714">
        <v>1996</v>
      </c>
      <c r="G714">
        <v>70</v>
      </c>
      <c r="H714">
        <v>0.63</v>
      </c>
      <c r="I714">
        <v>0.33</v>
      </c>
      <c r="J714">
        <v>0.17</v>
      </c>
      <c r="K714">
        <v>0.09</v>
      </c>
      <c r="L714">
        <v>0.04</v>
      </c>
      <c r="M714" t="s">
        <v>17</v>
      </c>
      <c r="N714" t="s">
        <v>1070</v>
      </c>
    </row>
    <row r="715" spans="1:14" x14ac:dyDescent="0.35">
      <c r="A715">
        <v>714</v>
      </c>
      <c r="B715" t="s">
        <v>756</v>
      </c>
      <c r="C715" t="s">
        <v>57</v>
      </c>
      <c r="D715" t="s">
        <v>51</v>
      </c>
      <c r="E715" t="s">
        <v>16</v>
      </c>
      <c r="F715">
        <v>2005</v>
      </c>
      <c r="G715">
        <v>80</v>
      </c>
      <c r="H715">
        <v>1.2</v>
      </c>
      <c r="I715">
        <v>0.46</v>
      </c>
      <c r="J715">
        <v>0.28000000000000003</v>
      </c>
      <c r="K715">
        <v>0.22</v>
      </c>
      <c r="L715">
        <v>0.24</v>
      </c>
      <c r="M715" t="s">
        <v>17</v>
      </c>
      <c r="N715" t="s">
        <v>1069</v>
      </c>
    </row>
    <row r="716" spans="1:14" x14ac:dyDescent="0.35">
      <c r="A716">
        <v>715</v>
      </c>
      <c r="B716" t="s">
        <v>757</v>
      </c>
      <c r="C716" t="s">
        <v>57</v>
      </c>
      <c r="D716" t="s">
        <v>62</v>
      </c>
      <c r="E716" t="s">
        <v>41</v>
      </c>
      <c r="F716">
        <v>2010</v>
      </c>
      <c r="G716">
        <v>61</v>
      </c>
      <c r="H716">
        <v>0.05</v>
      </c>
      <c r="I716">
        <v>0.02</v>
      </c>
      <c r="J716">
        <v>0.02</v>
      </c>
      <c r="K716">
        <v>0</v>
      </c>
      <c r="L716">
        <v>0.01</v>
      </c>
      <c r="M716" t="s">
        <v>24</v>
      </c>
      <c r="N716" t="s">
        <v>1071</v>
      </c>
    </row>
    <row r="717" spans="1:14" x14ac:dyDescent="0.35">
      <c r="A717">
        <v>716</v>
      </c>
      <c r="B717" t="s">
        <v>758</v>
      </c>
      <c r="C717" t="s">
        <v>57</v>
      </c>
      <c r="D717" t="s">
        <v>51</v>
      </c>
      <c r="E717" t="s">
        <v>49</v>
      </c>
      <c r="F717">
        <v>2012</v>
      </c>
      <c r="G717">
        <v>81</v>
      </c>
      <c r="H717">
        <v>0.28999999999999998</v>
      </c>
      <c r="I717">
        <v>0.12</v>
      </c>
      <c r="J717">
        <v>0.08</v>
      </c>
      <c r="K717">
        <v>0.03</v>
      </c>
      <c r="L717">
        <v>0.06</v>
      </c>
      <c r="M717" t="s">
        <v>24</v>
      </c>
      <c r="N717" t="s">
        <v>1069</v>
      </c>
    </row>
    <row r="718" spans="1:14" x14ac:dyDescent="0.35">
      <c r="A718">
        <v>717</v>
      </c>
      <c r="B718" t="s">
        <v>759</v>
      </c>
      <c r="C718" t="s">
        <v>59</v>
      </c>
      <c r="D718" t="s">
        <v>62</v>
      </c>
      <c r="E718" t="s">
        <v>41</v>
      </c>
      <c r="F718">
        <v>2000</v>
      </c>
      <c r="G718">
        <v>67</v>
      </c>
      <c r="H718">
        <v>0.34</v>
      </c>
      <c r="I718">
        <v>0.13</v>
      </c>
      <c r="J718">
        <v>0.11</v>
      </c>
      <c r="K718">
        <v>0.03</v>
      </c>
      <c r="L718">
        <v>7.0000000000000007E-2</v>
      </c>
      <c r="M718" t="s">
        <v>24</v>
      </c>
      <c r="N718" t="s">
        <v>1071</v>
      </c>
    </row>
    <row r="719" spans="1:14" x14ac:dyDescent="0.35">
      <c r="A719">
        <v>718</v>
      </c>
      <c r="B719" t="s">
        <v>760</v>
      </c>
      <c r="C719" t="s">
        <v>57</v>
      </c>
      <c r="D719" t="s">
        <v>62</v>
      </c>
      <c r="E719" t="s">
        <v>16</v>
      </c>
      <c r="F719">
        <v>2011</v>
      </c>
      <c r="G719">
        <v>90</v>
      </c>
      <c r="H719">
        <v>1.1200000000000001</v>
      </c>
      <c r="I719">
        <v>0.49</v>
      </c>
      <c r="J719">
        <v>0.3</v>
      </c>
      <c r="K719">
        <v>0.1</v>
      </c>
      <c r="L719">
        <v>0.23</v>
      </c>
      <c r="M719" t="s">
        <v>17</v>
      </c>
      <c r="N719" t="s">
        <v>1068</v>
      </c>
    </row>
    <row r="720" spans="1:14" x14ac:dyDescent="0.35">
      <c r="A720">
        <v>719</v>
      </c>
      <c r="B720" t="s">
        <v>761</v>
      </c>
      <c r="C720" t="s">
        <v>31</v>
      </c>
      <c r="D720" t="s">
        <v>15</v>
      </c>
      <c r="E720" t="s">
        <v>74</v>
      </c>
      <c r="F720">
        <v>2001</v>
      </c>
      <c r="G720">
        <v>73</v>
      </c>
      <c r="H720">
        <v>0.14000000000000001</v>
      </c>
      <c r="I720">
        <v>0.05</v>
      </c>
      <c r="J720">
        <v>0.03</v>
      </c>
      <c r="K720">
        <v>0.02</v>
      </c>
      <c r="L720">
        <v>0.04</v>
      </c>
      <c r="M720" t="s">
        <v>24</v>
      </c>
      <c r="N720" t="s">
        <v>1070</v>
      </c>
    </row>
    <row r="721" spans="1:14" x14ac:dyDescent="0.35">
      <c r="A721">
        <v>720</v>
      </c>
      <c r="B721" t="s">
        <v>762</v>
      </c>
      <c r="C721" t="s">
        <v>31</v>
      </c>
      <c r="D721" t="s">
        <v>15</v>
      </c>
      <c r="E721" t="s">
        <v>60</v>
      </c>
      <c r="F721">
        <v>2001</v>
      </c>
      <c r="G721">
        <v>58</v>
      </c>
      <c r="H721">
        <v>1.43</v>
      </c>
      <c r="I721">
        <v>0.76</v>
      </c>
      <c r="J721">
        <v>0.37</v>
      </c>
      <c r="K721">
        <v>0.14000000000000001</v>
      </c>
      <c r="L721">
        <v>0.16</v>
      </c>
      <c r="M721" t="s">
        <v>17</v>
      </c>
      <c r="N721" t="s">
        <v>1071</v>
      </c>
    </row>
    <row r="722" spans="1:14" x14ac:dyDescent="0.35">
      <c r="A722">
        <v>721</v>
      </c>
      <c r="B722" t="s">
        <v>763</v>
      </c>
      <c r="C722" t="s">
        <v>59</v>
      </c>
      <c r="D722" t="s">
        <v>15</v>
      </c>
      <c r="E722" t="s">
        <v>20</v>
      </c>
      <c r="F722">
        <v>1999</v>
      </c>
      <c r="G722">
        <v>70</v>
      </c>
      <c r="H722">
        <v>0.31</v>
      </c>
      <c r="I722">
        <v>0.11</v>
      </c>
      <c r="J722">
        <v>0.08</v>
      </c>
      <c r="K722">
        <v>0.06</v>
      </c>
      <c r="L722">
        <v>0.06</v>
      </c>
      <c r="M722" t="s">
        <v>24</v>
      </c>
      <c r="N722" t="s">
        <v>1070</v>
      </c>
    </row>
    <row r="723" spans="1:14" x14ac:dyDescent="0.35">
      <c r="A723">
        <v>722</v>
      </c>
      <c r="B723" t="s">
        <v>764</v>
      </c>
      <c r="C723" t="s">
        <v>14</v>
      </c>
      <c r="D723" t="s">
        <v>33</v>
      </c>
      <c r="E723" t="s">
        <v>52</v>
      </c>
      <c r="F723">
        <v>2009</v>
      </c>
      <c r="G723">
        <v>65</v>
      </c>
      <c r="H723">
        <v>0.14000000000000001</v>
      </c>
      <c r="I723">
        <v>7.0000000000000007E-2</v>
      </c>
      <c r="J723">
        <v>0.03</v>
      </c>
      <c r="K723">
        <v>0.02</v>
      </c>
      <c r="L723">
        <v>0.02</v>
      </c>
      <c r="M723" t="s">
        <v>24</v>
      </c>
      <c r="N723" t="s">
        <v>1071</v>
      </c>
    </row>
    <row r="724" spans="1:14" x14ac:dyDescent="0.35">
      <c r="A724">
        <v>723</v>
      </c>
      <c r="B724" t="s">
        <v>765</v>
      </c>
      <c r="C724" t="s">
        <v>23</v>
      </c>
      <c r="D724" t="s">
        <v>65</v>
      </c>
      <c r="E724" t="s">
        <v>41</v>
      </c>
      <c r="F724">
        <v>2021</v>
      </c>
      <c r="G724">
        <v>69</v>
      </c>
      <c r="H724">
        <v>0.37</v>
      </c>
      <c r="I724">
        <v>0.14000000000000001</v>
      </c>
      <c r="J724">
        <v>0.1</v>
      </c>
      <c r="K724">
        <v>0.04</v>
      </c>
      <c r="L724">
        <v>0.09</v>
      </c>
      <c r="M724" t="s">
        <v>24</v>
      </c>
      <c r="N724" t="s">
        <v>1071</v>
      </c>
    </row>
    <row r="725" spans="1:14" x14ac:dyDescent="0.35">
      <c r="A725">
        <v>724</v>
      </c>
      <c r="B725" t="s">
        <v>766</v>
      </c>
      <c r="C725" t="s">
        <v>19</v>
      </c>
      <c r="D725" t="s">
        <v>62</v>
      </c>
      <c r="E725" t="s">
        <v>52</v>
      </c>
      <c r="F725">
        <v>2016</v>
      </c>
      <c r="G725">
        <v>96</v>
      </c>
      <c r="H725">
        <v>0.99</v>
      </c>
      <c r="I725">
        <v>0.52</v>
      </c>
      <c r="J725">
        <v>0.26</v>
      </c>
      <c r="K725">
        <v>0.16</v>
      </c>
      <c r="L725">
        <v>0.05</v>
      </c>
      <c r="M725" t="s">
        <v>17</v>
      </c>
      <c r="N725" t="s">
        <v>1068</v>
      </c>
    </row>
    <row r="726" spans="1:14" x14ac:dyDescent="0.35">
      <c r="A726">
        <v>725</v>
      </c>
      <c r="B726" t="s">
        <v>767</v>
      </c>
      <c r="C726" t="s">
        <v>19</v>
      </c>
      <c r="D726" t="s">
        <v>65</v>
      </c>
      <c r="E726" t="s">
        <v>74</v>
      </c>
      <c r="F726">
        <v>2014</v>
      </c>
      <c r="G726">
        <v>61</v>
      </c>
      <c r="H726">
        <v>2.08</v>
      </c>
      <c r="I726">
        <v>1.1299999999999999</v>
      </c>
      <c r="J726">
        <v>0.63</v>
      </c>
      <c r="K726">
        <v>0.21</v>
      </c>
      <c r="L726">
        <v>0.11</v>
      </c>
      <c r="M726" t="s">
        <v>27</v>
      </c>
      <c r="N726" t="s">
        <v>1071</v>
      </c>
    </row>
    <row r="727" spans="1:14" x14ac:dyDescent="0.35">
      <c r="A727">
        <v>726</v>
      </c>
      <c r="B727" t="s">
        <v>768</v>
      </c>
      <c r="C727" t="s">
        <v>57</v>
      </c>
      <c r="D727" t="s">
        <v>62</v>
      </c>
      <c r="E727" t="s">
        <v>49</v>
      </c>
      <c r="F727">
        <v>2009</v>
      </c>
      <c r="G727">
        <v>93</v>
      </c>
      <c r="H727">
        <v>1.52</v>
      </c>
      <c r="I727">
        <v>0.69</v>
      </c>
      <c r="J727">
        <v>0.47</v>
      </c>
      <c r="K727">
        <v>0.19</v>
      </c>
      <c r="L727">
        <v>0.17</v>
      </c>
      <c r="M727" t="s">
        <v>17</v>
      </c>
      <c r="N727" t="s">
        <v>1068</v>
      </c>
    </row>
    <row r="728" spans="1:14" x14ac:dyDescent="0.35">
      <c r="A728">
        <v>727</v>
      </c>
      <c r="B728" t="s">
        <v>769</v>
      </c>
      <c r="C728" t="s">
        <v>57</v>
      </c>
      <c r="D728" t="s">
        <v>48</v>
      </c>
      <c r="E728" t="s">
        <v>20</v>
      </c>
      <c r="F728">
        <v>2004</v>
      </c>
      <c r="G728">
        <v>74</v>
      </c>
      <c r="H728">
        <v>0.23</v>
      </c>
      <c r="I728">
        <v>0.09</v>
      </c>
      <c r="J728">
        <v>0.05</v>
      </c>
      <c r="K728">
        <v>0.02</v>
      </c>
      <c r="L728">
        <v>7.0000000000000007E-2</v>
      </c>
      <c r="M728" t="s">
        <v>24</v>
      </c>
      <c r="N728" t="s">
        <v>1070</v>
      </c>
    </row>
    <row r="729" spans="1:14" x14ac:dyDescent="0.35">
      <c r="A729">
        <v>728</v>
      </c>
      <c r="B729" t="s">
        <v>770</v>
      </c>
      <c r="C729" t="s">
        <v>19</v>
      </c>
      <c r="D729" t="s">
        <v>48</v>
      </c>
      <c r="E729" t="s">
        <v>54</v>
      </c>
      <c r="F729">
        <v>2017</v>
      </c>
      <c r="G729">
        <v>96</v>
      </c>
      <c r="H729">
        <v>13.3</v>
      </c>
      <c r="I729">
        <v>6.62</v>
      </c>
      <c r="J729">
        <v>3.32</v>
      </c>
      <c r="K729">
        <v>1.22</v>
      </c>
      <c r="L729">
        <v>2.14</v>
      </c>
      <c r="M729" t="s">
        <v>21</v>
      </c>
      <c r="N729" t="s">
        <v>1068</v>
      </c>
    </row>
    <row r="730" spans="1:14" x14ac:dyDescent="0.35">
      <c r="A730">
        <v>729</v>
      </c>
      <c r="B730" t="s">
        <v>771</v>
      </c>
      <c r="C730" t="s">
        <v>57</v>
      </c>
      <c r="D730" t="s">
        <v>65</v>
      </c>
      <c r="E730" t="s">
        <v>41</v>
      </c>
      <c r="F730">
        <v>2004</v>
      </c>
      <c r="G730">
        <v>69</v>
      </c>
      <c r="H730">
        <v>1.07</v>
      </c>
      <c r="I730">
        <v>0.43</v>
      </c>
      <c r="J730">
        <v>0.3</v>
      </c>
      <c r="K730">
        <v>0.2</v>
      </c>
      <c r="L730">
        <v>0.14000000000000001</v>
      </c>
      <c r="M730" t="s">
        <v>17</v>
      </c>
      <c r="N730" t="s">
        <v>1071</v>
      </c>
    </row>
    <row r="731" spans="1:14" x14ac:dyDescent="0.35">
      <c r="A731">
        <v>730</v>
      </c>
      <c r="B731" t="s">
        <v>772</v>
      </c>
      <c r="C731" t="s">
        <v>57</v>
      </c>
      <c r="D731" t="s">
        <v>48</v>
      </c>
      <c r="E731" t="s">
        <v>74</v>
      </c>
      <c r="F731">
        <v>2007</v>
      </c>
      <c r="G731">
        <v>75</v>
      </c>
      <c r="H731">
        <v>0.13</v>
      </c>
      <c r="I731">
        <v>0.05</v>
      </c>
      <c r="J731">
        <v>0.04</v>
      </c>
      <c r="K731">
        <v>0.03</v>
      </c>
      <c r="L731">
        <v>0.01</v>
      </c>
      <c r="M731" t="s">
        <v>24</v>
      </c>
      <c r="N731" t="s">
        <v>1070</v>
      </c>
    </row>
    <row r="732" spans="1:14" x14ac:dyDescent="0.35">
      <c r="A732">
        <v>731</v>
      </c>
      <c r="B732" t="s">
        <v>773</v>
      </c>
      <c r="C732" t="s">
        <v>59</v>
      </c>
      <c r="D732" t="s">
        <v>37</v>
      </c>
      <c r="E732" t="s">
        <v>52</v>
      </c>
      <c r="F732">
        <v>2000</v>
      </c>
      <c r="G732">
        <v>66</v>
      </c>
      <c r="H732">
        <v>0.95</v>
      </c>
      <c r="I732">
        <v>0.51</v>
      </c>
      <c r="J732">
        <v>0.22</v>
      </c>
      <c r="K732">
        <v>0.06</v>
      </c>
      <c r="L732">
        <v>0.16</v>
      </c>
      <c r="M732" t="s">
        <v>17</v>
      </c>
      <c r="N732" t="s">
        <v>1071</v>
      </c>
    </row>
    <row r="733" spans="1:14" x14ac:dyDescent="0.35">
      <c r="A733">
        <v>732</v>
      </c>
      <c r="B733" t="s">
        <v>774</v>
      </c>
      <c r="C733" t="s">
        <v>57</v>
      </c>
      <c r="D733" t="s">
        <v>51</v>
      </c>
      <c r="E733" t="s">
        <v>54</v>
      </c>
      <c r="F733">
        <v>2011</v>
      </c>
      <c r="G733">
        <v>82</v>
      </c>
      <c r="H733">
        <v>0.25</v>
      </c>
      <c r="I733">
        <v>0.1</v>
      </c>
      <c r="J733">
        <v>7.0000000000000007E-2</v>
      </c>
      <c r="K733">
        <v>0.04</v>
      </c>
      <c r="L733">
        <v>0.04</v>
      </c>
      <c r="M733" t="s">
        <v>24</v>
      </c>
      <c r="N733" t="s">
        <v>1069</v>
      </c>
    </row>
    <row r="734" spans="1:14" x14ac:dyDescent="0.35">
      <c r="A734">
        <v>733</v>
      </c>
      <c r="B734" t="s">
        <v>775</v>
      </c>
      <c r="C734" t="s">
        <v>14</v>
      </c>
      <c r="D734" t="s">
        <v>33</v>
      </c>
      <c r="E734" t="s">
        <v>43</v>
      </c>
      <c r="F734">
        <v>2013</v>
      </c>
      <c r="G734">
        <v>65</v>
      </c>
      <c r="H734">
        <v>0.55000000000000004</v>
      </c>
      <c r="I734">
        <v>0.26</v>
      </c>
      <c r="J734">
        <v>0.15</v>
      </c>
      <c r="K734">
        <v>0.04</v>
      </c>
      <c r="L734">
        <v>0.1</v>
      </c>
      <c r="M734" t="s">
        <v>17</v>
      </c>
      <c r="N734" t="s">
        <v>1071</v>
      </c>
    </row>
    <row r="735" spans="1:14" x14ac:dyDescent="0.35">
      <c r="A735">
        <v>734</v>
      </c>
      <c r="B735" t="s">
        <v>776</v>
      </c>
      <c r="C735" t="s">
        <v>64</v>
      </c>
      <c r="D735" t="s">
        <v>15</v>
      </c>
      <c r="E735" t="s">
        <v>41</v>
      </c>
      <c r="F735">
        <v>2018</v>
      </c>
      <c r="G735">
        <v>74</v>
      </c>
      <c r="H735">
        <v>0.35</v>
      </c>
      <c r="I735">
        <v>0.17</v>
      </c>
      <c r="J735">
        <v>0.08</v>
      </c>
      <c r="K735">
        <v>0.04</v>
      </c>
      <c r="L735">
        <v>0.06</v>
      </c>
      <c r="M735" t="s">
        <v>24</v>
      </c>
      <c r="N735" t="s">
        <v>1070</v>
      </c>
    </row>
    <row r="736" spans="1:14" x14ac:dyDescent="0.35">
      <c r="A736">
        <v>735</v>
      </c>
      <c r="B736" t="s">
        <v>777</v>
      </c>
      <c r="C736" t="s">
        <v>19</v>
      </c>
      <c r="D736" t="s">
        <v>45</v>
      </c>
      <c r="E736" t="s">
        <v>60</v>
      </c>
      <c r="F736">
        <v>2017</v>
      </c>
      <c r="G736">
        <v>59</v>
      </c>
      <c r="H736">
        <v>0.33</v>
      </c>
      <c r="I736">
        <v>0.13</v>
      </c>
      <c r="J736">
        <v>0.11</v>
      </c>
      <c r="K736">
        <v>0.02</v>
      </c>
      <c r="L736">
        <v>7.0000000000000007E-2</v>
      </c>
      <c r="M736" t="s">
        <v>24</v>
      </c>
      <c r="N736" t="s">
        <v>1071</v>
      </c>
    </row>
    <row r="737" spans="1:14" x14ac:dyDescent="0.35">
      <c r="A737">
        <v>736</v>
      </c>
      <c r="B737" t="s">
        <v>778</v>
      </c>
      <c r="C737" t="s">
        <v>64</v>
      </c>
      <c r="D737" t="s">
        <v>29</v>
      </c>
      <c r="E737" t="s">
        <v>16</v>
      </c>
      <c r="F737">
        <v>2019</v>
      </c>
      <c r="G737">
        <v>80</v>
      </c>
      <c r="H737">
        <v>0.94</v>
      </c>
      <c r="I737">
        <v>0.42</v>
      </c>
      <c r="J737">
        <v>0.28000000000000003</v>
      </c>
      <c r="K737">
        <v>0.13</v>
      </c>
      <c r="L737">
        <v>0.11</v>
      </c>
      <c r="M737" t="s">
        <v>17</v>
      </c>
      <c r="N737" t="s">
        <v>1069</v>
      </c>
    </row>
    <row r="738" spans="1:14" x14ac:dyDescent="0.35">
      <c r="A738">
        <v>737</v>
      </c>
      <c r="B738" t="s">
        <v>779</v>
      </c>
      <c r="C738" t="s">
        <v>19</v>
      </c>
      <c r="D738" t="s">
        <v>33</v>
      </c>
      <c r="E738" t="s">
        <v>41</v>
      </c>
      <c r="F738">
        <v>2013</v>
      </c>
      <c r="G738">
        <v>67</v>
      </c>
      <c r="H738">
        <v>4.37</v>
      </c>
      <c r="I738">
        <v>1.83</v>
      </c>
      <c r="J738">
        <v>1.34</v>
      </c>
      <c r="K738">
        <v>0.63</v>
      </c>
      <c r="L738">
        <v>0.56999999999999995</v>
      </c>
      <c r="M738" t="s">
        <v>27</v>
      </c>
      <c r="N738" t="s">
        <v>1071</v>
      </c>
    </row>
    <row r="739" spans="1:14" x14ac:dyDescent="0.35">
      <c r="A739">
        <v>738</v>
      </c>
      <c r="B739" t="s">
        <v>780</v>
      </c>
      <c r="C739" t="s">
        <v>14</v>
      </c>
      <c r="D739" t="s">
        <v>45</v>
      </c>
      <c r="E739" t="s">
        <v>41</v>
      </c>
      <c r="F739">
        <v>2006</v>
      </c>
      <c r="G739">
        <v>85</v>
      </c>
      <c r="H739">
        <v>1.1000000000000001</v>
      </c>
      <c r="I739">
        <v>0.54</v>
      </c>
      <c r="J739">
        <v>0.33</v>
      </c>
      <c r="K739">
        <v>0.1</v>
      </c>
      <c r="L739">
        <v>0.13</v>
      </c>
      <c r="M739" t="s">
        <v>17</v>
      </c>
      <c r="N739" t="s">
        <v>1069</v>
      </c>
    </row>
    <row r="740" spans="1:14" x14ac:dyDescent="0.35">
      <c r="A740">
        <v>739</v>
      </c>
      <c r="B740" t="s">
        <v>781</v>
      </c>
      <c r="C740" t="s">
        <v>19</v>
      </c>
      <c r="D740" t="s">
        <v>51</v>
      </c>
      <c r="E740" t="s">
        <v>52</v>
      </c>
      <c r="F740">
        <v>2015</v>
      </c>
      <c r="G740">
        <v>97</v>
      </c>
      <c r="H740">
        <v>2.63</v>
      </c>
      <c r="I740">
        <v>1.4</v>
      </c>
      <c r="J740">
        <v>0.68</v>
      </c>
      <c r="K740">
        <v>0.36</v>
      </c>
      <c r="L740">
        <v>0.19</v>
      </c>
      <c r="M740" t="s">
        <v>27</v>
      </c>
      <c r="N740" t="s">
        <v>1068</v>
      </c>
    </row>
    <row r="741" spans="1:14" x14ac:dyDescent="0.35">
      <c r="A741">
        <v>740</v>
      </c>
      <c r="B741" t="s">
        <v>782</v>
      </c>
      <c r="C741" t="s">
        <v>59</v>
      </c>
      <c r="D741" t="s">
        <v>48</v>
      </c>
      <c r="E741" t="s">
        <v>41</v>
      </c>
      <c r="F741">
        <v>1999</v>
      </c>
      <c r="G741">
        <v>71</v>
      </c>
      <c r="H741">
        <v>0.73</v>
      </c>
      <c r="I741">
        <v>0.33</v>
      </c>
      <c r="J741">
        <v>0.24</v>
      </c>
      <c r="K741">
        <v>0.1</v>
      </c>
      <c r="L741">
        <v>0.06</v>
      </c>
      <c r="M741" t="s">
        <v>17</v>
      </c>
      <c r="N741" t="s">
        <v>1070</v>
      </c>
    </row>
    <row r="742" spans="1:14" x14ac:dyDescent="0.35">
      <c r="A742">
        <v>741</v>
      </c>
      <c r="B742" t="s">
        <v>783</v>
      </c>
      <c r="C742" t="s">
        <v>57</v>
      </c>
      <c r="D742" t="s">
        <v>33</v>
      </c>
      <c r="E742" t="s">
        <v>49</v>
      </c>
      <c r="F742">
        <v>2010</v>
      </c>
      <c r="G742">
        <v>64</v>
      </c>
      <c r="H742">
        <v>0.31</v>
      </c>
      <c r="I742">
        <v>0.15</v>
      </c>
      <c r="J742">
        <v>0.09</v>
      </c>
      <c r="K742">
        <v>0.02</v>
      </c>
      <c r="L742">
        <v>0.05</v>
      </c>
      <c r="M742" t="s">
        <v>24</v>
      </c>
      <c r="N742" t="s">
        <v>1071</v>
      </c>
    </row>
    <row r="743" spans="1:14" x14ac:dyDescent="0.35">
      <c r="A743">
        <v>742</v>
      </c>
      <c r="B743" t="s">
        <v>784</v>
      </c>
      <c r="C743" t="s">
        <v>31</v>
      </c>
      <c r="D743" t="s">
        <v>62</v>
      </c>
      <c r="E743" t="s">
        <v>20</v>
      </c>
      <c r="F743">
        <v>2006</v>
      </c>
      <c r="G743">
        <v>81</v>
      </c>
      <c r="H743">
        <v>0.74</v>
      </c>
      <c r="I743">
        <v>0.37</v>
      </c>
      <c r="J743">
        <v>0.17</v>
      </c>
      <c r="K743">
        <v>0.08</v>
      </c>
      <c r="L743">
        <v>0.12</v>
      </c>
      <c r="M743" t="s">
        <v>17</v>
      </c>
      <c r="N743" t="s">
        <v>1069</v>
      </c>
    </row>
    <row r="744" spans="1:14" x14ac:dyDescent="0.35">
      <c r="A744">
        <v>743</v>
      </c>
      <c r="B744" t="s">
        <v>785</v>
      </c>
      <c r="C744" t="s">
        <v>57</v>
      </c>
      <c r="D744" t="s">
        <v>48</v>
      </c>
      <c r="E744" t="s">
        <v>16</v>
      </c>
      <c r="F744">
        <v>2006</v>
      </c>
      <c r="G744">
        <v>62</v>
      </c>
      <c r="H744">
        <v>0.32</v>
      </c>
      <c r="I744">
        <v>0.12</v>
      </c>
      <c r="J744">
        <v>7.0000000000000007E-2</v>
      </c>
      <c r="K744">
        <v>0.02</v>
      </c>
      <c r="L744">
        <v>0.11</v>
      </c>
      <c r="M744" t="s">
        <v>24</v>
      </c>
      <c r="N744" t="s">
        <v>1071</v>
      </c>
    </row>
    <row r="745" spans="1:14" x14ac:dyDescent="0.35">
      <c r="A745">
        <v>744</v>
      </c>
      <c r="B745" t="s">
        <v>786</v>
      </c>
      <c r="C745" t="s">
        <v>64</v>
      </c>
      <c r="D745" t="s">
        <v>51</v>
      </c>
      <c r="E745" t="s">
        <v>41</v>
      </c>
      <c r="F745">
        <v>2014</v>
      </c>
      <c r="G745">
        <v>61</v>
      </c>
      <c r="H745">
        <v>0.57999999999999996</v>
      </c>
      <c r="I745">
        <v>0.24</v>
      </c>
      <c r="J745">
        <v>0.15</v>
      </c>
      <c r="K745">
        <v>0.05</v>
      </c>
      <c r="L745">
        <v>0.14000000000000001</v>
      </c>
      <c r="M745" t="s">
        <v>17</v>
      </c>
      <c r="N745" t="s">
        <v>1071</v>
      </c>
    </row>
    <row r="746" spans="1:14" x14ac:dyDescent="0.35">
      <c r="A746">
        <v>745</v>
      </c>
      <c r="B746" t="s">
        <v>787</v>
      </c>
      <c r="C746" t="s">
        <v>14</v>
      </c>
      <c r="D746" t="s">
        <v>2</v>
      </c>
      <c r="E746" t="s">
        <v>52</v>
      </c>
      <c r="F746">
        <v>2006</v>
      </c>
      <c r="G746">
        <v>98</v>
      </c>
      <c r="H746">
        <v>1.98</v>
      </c>
      <c r="I746">
        <v>0.71</v>
      </c>
      <c r="J746">
        <v>0.46</v>
      </c>
      <c r="K746">
        <v>0.33</v>
      </c>
      <c r="L746">
        <v>0.48</v>
      </c>
      <c r="M746" t="s">
        <v>17</v>
      </c>
      <c r="N746" t="s">
        <v>1068</v>
      </c>
    </row>
    <row r="747" spans="1:14" x14ac:dyDescent="0.35">
      <c r="A747">
        <v>746</v>
      </c>
      <c r="B747" t="s">
        <v>788</v>
      </c>
      <c r="C747" t="s">
        <v>19</v>
      </c>
      <c r="D747" t="s">
        <v>51</v>
      </c>
      <c r="E747" t="s">
        <v>16</v>
      </c>
      <c r="F747">
        <v>2021</v>
      </c>
      <c r="G747">
        <v>93</v>
      </c>
      <c r="H747">
        <v>0.72</v>
      </c>
      <c r="I747">
        <v>0.36</v>
      </c>
      <c r="J747">
        <v>0.24</v>
      </c>
      <c r="K747">
        <v>0.12</v>
      </c>
      <c r="L747">
        <v>0</v>
      </c>
      <c r="M747" t="s">
        <v>17</v>
      </c>
      <c r="N747" t="s">
        <v>1068</v>
      </c>
    </row>
    <row r="748" spans="1:14" x14ac:dyDescent="0.35">
      <c r="A748">
        <v>747</v>
      </c>
      <c r="B748" t="s">
        <v>789</v>
      </c>
      <c r="C748" t="s">
        <v>14</v>
      </c>
      <c r="D748" t="s">
        <v>45</v>
      </c>
      <c r="E748" t="s">
        <v>74</v>
      </c>
      <c r="F748">
        <v>2012</v>
      </c>
      <c r="G748">
        <v>76</v>
      </c>
      <c r="H748">
        <v>1.53</v>
      </c>
      <c r="I748">
        <v>0.79</v>
      </c>
      <c r="J748">
        <v>0.52</v>
      </c>
      <c r="K748">
        <v>0.08</v>
      </c>
      <c r="L748">
        <v>0.14000000000000001</v>
      </c>
      <c r="M748" t="s">
        <v>17</v>
      </c>
      <c r="N748" t="s">
        <v>1070</v>
      </c>
    </row>
    <row r="749" spans="1:14" x14ac:dyDescent="0.35">
      <c r="A749">
        <v>748</v>
      </c>
      <c r="B749" t="s">
        <v>790</v>
      </c>
      <c r="C749" t="s">
        <v>59</v>
      </c>
      <c r="D749" t="s">
        <v>51</v>
      </c>
      <c r="E749" t="s">
        <v>52</v>
      </c>
      <c r="F749">
        <v>1999</v>
      </c>
      <c r="G749">
        <v>94</v>
      </c>
      <c r="H749">
        <v>3.69</v>
      </c>
      <c r="I749">
        <v>1.67</v>
      </c>
      <c r="J749">
        <v>1.1000000000000001</v>
      </c>
      <c r="K749">
        <v>0.19</v>
      </c>
      <c r="L749">
        <v>0.73</v>
      </c>
      <c r="M749" t="s">
        <v>27</v>
      </c>
      <c r="N749" t="s">
        <v>1068</v>
      </c>
    </row>
    <row r="750" spans="1:14" x14ac:dyDescent="0.35">
      <c r="A750">
        <v>749</v>
      </c>
      <c r="B750" t="s">
        <v>791</v>
      </c>
      <c r="C750" t="s">
        <v>57</v>
      </c>
      <c r="D750" t="s">
        <v>15</v>
      </c>
      <c r="E750" t="s">
        <v>43</v>
      </c>
      <c r="F750">
        <v>2009</v>
      </c>
      <c r="G750">
        <v>98</v>
      </c>
      <c r="H750">
        <v>0.38</v>
      </c>
      <c r="I750">
        <v>0.16</v>
      </c>
      <c r="J750">
        <v>0.11</v>
      </c>
      <c r="K750">
        <v>0.02</v>
      </c>
      <c r="L750">
        <v>0.09</v>
      </c>
      <c r="M750" t="s">
        <v>24</v>
      </c>
      <c r="N750" t="s">
        <v>1068</v>
      </c>
    </row>
    <row r="751" spans="1:14" x14ac:dyDescent="0.35">
      <c r="A751">
        <v>750</v>
      </c>
      <c r="B751" t="s">
        <v>792</v>
      </c>
      <c r="C751" t="s">
        <v>19</v>
      </c>
      <c r="D751" t="s">
        <v>33</v>
      </c>
      <c r="E751" t="s">
        <v>41</v>
      </c>
      <c r="F751">
        <v>2020</v>
      </c>
      <c r="G751">
        <v>67</v>
      </c>
      <c r="H751">
        <v>10.02</v>
      </c>
      <c r="I751">
        <v>5.26</v>
      </c>
      <c r="J751">
        <v>3.18</v>
      </c>
      <c r="K751">
        <v>1.58</v>
      </c>
      <c r="L751">
        <v>0</v>
      </c>
      <c r="M751" t="s">
        <v>21</v>
      </c>
      <c r="N751" t="s">
        <v>1071</v>
      </c>
    </row>
    <row r="752" spans="1:14" x14ac:dyDescent="0.35">
      <c r="A752">
        <v>751</v>
      </c>
      <c r="B752" t="s">
        <v>793</v>
      </c>
      <c r="C752" t="s">
        <v>59</v>
      </c>
      <c r="D752" t="s">
        <v>62</v>
      </c>
      <c r="E752" t="s">
        <v>49</v>
      </c>
      <c r="F752">
        <v>1996</v>
      </c>
      <c r="G752">
        <v>84</v>
      </c>
      <c r="H752">
        <v>0.16</v>
      </c>
      <c r="I752">
        <v>0.06</v>
      </c>
      <c r="J752">
        <v>0.05</v>
      </c>
      <c r="K752">
        <v>0.01</v>
      </c>
      <c r="L752">
        <v>0.04</v>
      </c>
      <c r="M752" t="s">
        <v>24</v>
      </c>
      <c r="N752" t="s">
        <v>1069</v>
      </c>
    </row>
    <row r="753" spans="1:14" x14ac:dyDescent="0.35">
      <c r="A753">
        <v>752</v>
      </c>
      <c r="B753" t="s">
        <v>794</v>
      </c>
      <c r="C753" t="s">
        <v>31</v>
      </c>
      <c r="D753" t="s">
        <v>33</v>
      </c>
      <c r="E753" t="s">
        <v>49</v>
      </c>
      <c r="F753">
        <v>2001</v>
      </c>
      <c r="G753">
        <v>65</v>
      </c>
      <c r="H753">
        <v>1.77</v>
      </c>
      <c r="I753">
        <v>0.76</v>
      </c>
      <c r="J753">
        <v>0.43</v>
      </c>
      <c r="K753">
        <v>0.28000000000000003</v>
      </c>
      <c r="L753">
        <v>0.3</v>
      </c>
      <c r="M753" t="s">
        <v>17</v>
      </c>
      <c r="N753" t="s">
        <v>1071</v>
      </c>
    </row>
    <row r="754" spans="1:14" x14ac:dyDescent="0.35">
      <c r="A754">
        <v>753</v>
      </c>
      <c r="B754" t="s">
        <v>795</v>
      </c>
      <c r="C754" t="s">
        <v>57</v>
      </c>
      <c r="D754" t="s">
        <v>33</v>
      </c>
      <c r="E754" t="s">
        <v>54</v>
      </c>
      <c r="F754">
        <v>2011</v>
      </c>
      <c r="G754">
        <v>60</v>
      </c>
      <c r="H754">
        <v>0.95</v>
      </c>
      <c r="I754">
        <v>0.38</v>
      </c>
      <c r="J754">
        <v>0.27</v>
      </c>
      <c r="K754">
        <v>0.18</v>
      </c>
      <c r="L754">
        <v>0.12</v>
      </c>
      <c r="M754" t="s">
        <v>17</v>
      </c>
      <c r="N754" t="s">
        <v>1071</v>
      </c>
    </row>
    <row r="755" spans="1:14" x14ac:dyDescent="0.35">
      <c r="A755">
        <v>754</v>
      </c>
      <c r="B755" t="s">
        <v>796</v>
      </c>
      <c r="C755" t="s">
        <v>59</v>
      </c>
      <c r="D755" t="s">
        <v>29</v>
      </c>
      <c r="E755" t="s">
        <v>41</v>
      </c>
      <c r="F755">
        <v>2000</v>
      </c>
      <c r="G755">
        <v>82</v>
      </c>
      <c r="H755">
        <v>0.75</v>
      </c>
      <c r="I755">
        <v>0.28000000000000003</v>
      </c>
      <c r="J755">
        <v>0.16</v>
      </c>
      <c r="K755">
        <v>0.05</v>
      </c>
      <c r="L755">
        <v>0.26</v>
      </c>
      <c r="M755" t="s">
        <v>17</v>
      </c>
      <c r="N755" t="s">
        <v>1069</v>
      </c>
    </row>
    <row r="756" spans="1:14" x14ac:dyDescent="0.35">
      <c r="A756">
        <v>755</v>
      </c>
      <c r="B756" t="s">
        <v>797</v>
      </c>
      <c r="C756" t="s">
        <v>57</v>
      </c>
      <c r="D756" t="s">
        <v>48</v>
      </c>
      <c r="E756" t="s">
        <v>49</v>
      </c>
      <c r="F756">
        <v>2013</v>
      </c>
      <c r="G756">
        <v>63</v>
      </c>
      <c r="H756">
        <v>0.11</v>
      </c>
      <c r="I756">
        <v>0.06</v>
      </c>
      <c r="J756">
        <v>0.04</v>
      </c>
      <c r="K756">
        <v>0.01</v>
      </c>
      <c r="L756">
        <v>0</v>
      </c>
      <c r="M756" t="s">
        <v>24</v>
      </c>
      <c r="N756" t="s">
        <v>1071</v>
      </c>
    </row>
    <row r="757" spans="1:14" x14ac:dyDescent="0.35">
      <c r="A757">
        <v>756</v>
      </c>
      <c r="B757" t="s">
        <v>798</v>
      </c>
      <c r="C757" t="s">
        <v>14</v>
      </c>
      <c r="D757" t="s">
        <v>65</v>
      </c>
      <c r="E757" t="s">
        <v>74</v>
      </c>
      <c r="F757">
        <v>2008</v>
      </c>
      <c r="G757">
        <v>61</v>
      </c>
      <c r="H757">
        <v>0.42</v>
      </c>
      <c r="I757">
        <v>0.19</v>
      </c>
      <c r="J757">
        <v>0.09</v>
      </c>
      <c r="K757">
        <v>0.08</v>
      </c>
      <c r="L757">
        <v>0.06</v>
      </c>
      <c r="M757" t="s">
        <v>24</v>
      </c>
      <c r="N757" t="s">
        <v>1071</v>
      </c>
    </row>
    <row r="758" spans="1:14" x14ac:dyDescent="0.35">
      <c r="A758">
        <v>757</v>
      </c>
      <c r="B758" t="s">
        <v>799</v>
      </c>
      <c r="C758" t="s">
        <v>64</v>
      </c>
      <c r="D758" t="s">
        <v>62</v>
      </c>
      <c r="E758" t="s">
        <v>16</v>
      </c>
      <c r="F758">
        <v>2014</v>
      </c>
      <c r="G758">
        <v>73</v>
      </c>
      <c r="H758">
        <v>0.06</v>
      </c>
      <c r="I758">
        <v>0.03</v>
      </c>
      <c r="J758">
        <v>0.02</v>
      </c>
      <c r="K758">
        <v>0.01</v>
      </c>
      <c r="L758">
        <v>0</v>
      </c>
      <c r="M758" t="s">
        <v>24</v>
      </c>
      <c r="N758" t="s">
        <v>1070</v>
      </c>
    </row>
    <row r="759" spans="1:14" x14ac:dyDescent="0.35">
      <c r="A759">
        <v>758</v>
      </c>
      <c r="B759" t="s">
        <v>800</v>
      </c>
      <c r="C759" t="s">
        <v>14</v>
      </c>
      <c r="D759" t="s">
        <v>51</v>
      </c>
      <c r="E759" t="s">
        <v>74</v>
      </c>
      <c r="F759">
        <v>2007</v>
      </c>
      <c r="G759">
        <v>86</v>
      </c>
      <c r="H759">
        <v>0.09</v>
      </c>
      <c r="I759">
        <v>0.05</v>
      </c>
      <c r="J759">
        <v>0.03</v>
      </c>
      <c r="K759">
        <v>0.01</v>
      </c>
      <c r="L759">
        <v>0</v>
      </c>
      <c r="M759" t="s">
        <v>24</v>
      </c>
      <c r="N759" t="s">
        <v>1069</v>
      </c>
    </row>
    <row r="760" spans="1:14" x14ac:dyDescent="0.35">
      <c r="A760">
        <v>759</v>
      </c>
      <c r="B760" t="s">
        <v>801</v>
      </c>
      <c r="C760" t="s">
        <v>57</v>
      </c>
      <c r="D760" t="s">
        <v>37</v>
      </c>
      <c r="E760" t="s">
        <v>16</v>
      </c>
      <c r="F760">
        <v>2004</v>
      </c>
      <c r="G760">
        <v>97</v>
      </c>
      <c r="H760">
        <v>0.14000000000000001</v>
      </c>
      <c r="I760">
        <v>0.06</v>
      </c>
      <c r="J760">
        <v>0.04</v>
      </c>
      <c r="K760">
        <v>0.01</v>
      </c>
      <c r="L760">
        <v>0.03</v>
      </c>
      <c r="M760" t="s">
        <v>24</v>
      </c>
      <c r="N760" t="s">
        <v>1068</v>
      </c>
    </row>
    <row r="761" spans="1:14" x14ac:dyDescent="0.35">
      <c r="A761">
        <v>760</v>
      </c>
      <c r="B761" t="s">
        <v>802</v>
      </c>
      <c r="C761" t="s">
        <v>19</v>
      </c>
      <c r="D761" t="s">
        <v>33</v>
      </c>
      <c r="E761" t="s">
        <v>60</v>
      </c>
      <c r="F761">
        <v>2019</v>
      </c>
      <c r="G761">
        <v>67</v>
      </c>
      <c r="H761">
        <v>1.61</v>
      </c>
      <c r="I761">
        <v>0.59</v>
      </c>
      <c r="J761">
        <v>0.4</v>
      </c>
      <c r="K761">
        <v>0.27</v>
      </c>
      <c r="L761">
        <v>0.35</v>
      </c>
      <c r="M761" t="s">
        <v>17</v>
      </c>
      <c r="N761" t="s">
        <v>1071</v>
      </c>
    </row>
    <row r="762" spans="1:14" x14ac:dyDescent="0.35">
      <c r="A762">
        <v>761</v>
      </c>
      <c r="B762" t="s">
        <v>803</v>
      </c>
      <c r="C762" t="s">
        <v>64</v>
      </c>
      <c r="D762" t="s">
        <v>51</v>
      </c>
      <c r="E762" t="s">
        <v>16</v>
      </c>
      <c r="F762">
        <v>2011</v>
      </c>
      <c r="G762">
        <v>63</v>
      </c>
      <c r="H762">
        <v>0.25</v>
      </c>
      <c r="I762">
        <v>0.13</v>
      </c>
      <c r="J762">
        <v>0.06</v>
      </c>
      <c r="K762">
        <v>0.04</v>
      </c>
      <c r="L762">
        <v>0.02</v>
      </c>
      <c r="M762" t="s">
        <v>24</v>
      </c>
      <c r="N762" t="s">
        <v>1071</v>
      </c>
    </row>
    <row r="763" spans="1:14" x14ac:dyDescent="0.35">
      <c r="A763">
        <v>762</v>
      </c>
      <c r="B763" t="s">
        <v>804</v>
      </c>
      <c r="C763" t="s">
        <v>31</v>
      </c>
      <c r="D763" t="s">
        <v>15</v>
      </c>
      <c r="E763" t="s">
        <v>43</v>
      </c>
      <c r="F763">
        <v>2005</v>
      </c>
      <c r="G763">
        <v>98</v>
      </c>
      <c r="H763">
        <v>0.93</v>
      </c>
      <c r="I763">
        <v>0.34</v>
      </c>
      <c r="J763">
        <v>0.24</v>
      </c>
      <c r="K763">
        <v>0.11</v>
      </c>
      <c r="L763">
        <v>0.24</v>
      </c>
      <c r="M763" t="s">
        <v>17</v>
      </c>
      <c r="N763" t="s">
        <v>1068</v>
      </c>
    </row>
    <row r="764" spans="1:14" x14ac:dyDescent="0.35">
      <c r="A764">
        <v>763</v>
      </c>
      <c r="B764" t="s">
        <v>805</v>
      </c>
      <c r="C764" t="s">
        <v>59</v>
      </c>
      <c r="D764" t="s">
        <v>65</v>
      </c>
      <c r="E764" t="s">
        <v>43</v>
      </c>
      <c r="F764">
        <v>1995</v>
      </c>
      <c r="G764">
        <v>64</v>
      </c>
      <c r="H764">
        <v>0.56000000000000005</v>
      </c>
      <c r="I764">
        <v>0.2</v>
      </c>
      <c r="J764">
        <v>0.13</v>
      </c>
      <c r="K764">
        <v>7.0000000000000007E-2</v>
      </c>
      <c r="L764">
        <v>0.16</v>
      </c>
      <c r="M764" t="s">
        <v>17</v>
      </c>
      <c r="N764" t="s">
        <v>1071</v>
      </c>
    </row>
    <row r="765" spans="1:14" x14ac:dyDescent="0.35">
      <c r="A765">
        <v>764</v>
      </c>
      <c r="B765" t="s">
        <v>806</v>
      </c>
      <c r="C765" t="s">
        <v>57</v>
      </c>
      <c r="D765" t="s">
        <v>37</v>
      </c>
      <c r="E765" t="s">
        <v>41</v>
      </c>
      <c r="F765">
        <v>2013</v>
      </c>
      <c r="G765">
        <v>96</v>
      </c>
      <c r="H765">
        <v>0.28999999999999998</v>
      </c>
      <c r="I765">
        <v>0.13</v>
      </c>
      <c r="J765">
        <v>0.06</v>
      </c>
      <c r="K765">
        <v>0.02</v>
      </c>
      <c r="L765">
        <v>0.08</v>
      </c>
      <c r="M765" t="s">
        <v>24</v>
      </c>
      <c r="N765" t="s">
        <v>1068</v>
      </c>
    </row>
    <row r="766" spans="1:14" x14ac:dyDescent="0.35">
      <c r="A766">
        <v>765</v>
      </c>
      <c r="B766" t="s">
        <v>807</v>
      </c>
      <c r="C766" t="s">
        <v>59</v>
      </c>
      <c r="D766" t="s">
        <v>65</v>
      </c>
      <c r="E766" t="s">
        <v>52</v>
      </c>
      <c r="F766">
        <v>1998</v>
      </c>
      <c r="G766">
        <v>91</v>
      </c>
      <c r="H766">
        <v>1.72</v>
      </c>
      <c r="I766">
        <v>0.84</v>
      </c>
      <c r="J766">
        <v>0.37</v>
      </c>
      <c r="K766">
        <v>0.24</v>
      </c>
      <c r="L766">
        <v>0.27</v>
      </c>
      <c r="M766" t="s">
        <v>17</v>
      </c>
      <c r="N766" t="s">
        <v>1068</v>
      </c>
    </row>
    <row r="767" spans="1:14" x14ac:dyDescent="0.35">
      <c r="A767">
        <v>766</v>
      </c>
      <c r="B767" t="s">
        <v>808</v>
      </c>
      <c r="C767" t="s">
        <v>19</v>
      </c>
      <c r="D767" t="s">
        <v>45</v>
      </c>
      <c r="E767" t="s">
        <v>46</v>
      </c>
      <c r="F767">
        <v>2020</v>
      </c>
      <c r="G767">
        <v>61</v>
      </c>
      <c r="H767">
        <v>0.32</v>
      </c>
      <c r="I767">
        <v>0.17</v>
      </c>
      <c r="J767">
        <v>0.09</v>
      </c>
      <c r="K767">
        <v>0.04</v>
      </c>
      <c r="L767">
        <v>0.02</v>
      </c>
      <c r="M767" t="s">
        <v>24</v>
      </c>
      <c r="N767" t="s">
        <v>1071</v>
      </c>
    </row>
    <row r="768" spans="1:14" x14ac:dyDescent="0.35">
      <c r="A768">
        <v>767</v>
      </c>
      <c r="B768" t="s">
        <v>809</v>
      </c>
      <c r="C768" t="s">
        <v>57</v>
      </c>
      <c r="D768" t="s">
        <v>45</v>
      </c>
      <c r="E768" t="s">
        <v>60</v>
      </c>
      <c r="F768">
        <v>2004</v>
      </c>
      <c r="G768">
        <v>86</v>
      </c>
      <c r="H768">
        <v>0.67</v>
      </c>
      <c r="I768">
        <v>0.32</v>
      </c>
      <c r="J768">
        <v>0.21</v>
      </c>
      <c r="K768">
        <v>0.05</v>
      </c>
      <c r="L768">
        <v>0.09</v>
      </c>
      <c r="M768" t="s">
        <v>17</v>
      </c>
      <c r="N768" t="s">
        <v>1069</v>
      </c>
    </row>
    <row r="769" spans="1:14" x14ac:dyDescent="0.35">
      <c r="A769">
        <v>768</v>
      </c>
      <c r="B769" t="s">
        <v>810</v>
      </c>
      <c r="C769" t="s">
        <v>57</v>
      </c>
      <c r="D769" t="s">
        <v>37</v>
      </c>
      <c r="E769" t="s">
        <v>74</v>
      </c>
      <c r="F769">
        <v>2005</v>
      </c>
      <c r="G769">
        <v>90</v>
      </c>
      <c r="H769">
        <v>0.43</v>
      </c>
      <c r="I769">
        <v>0.15</v>
      </c>
      <c r="J769">
        <v>0.12</v>
      </c>
      <c r="K769">
        <v>0.06</v>
      </c>
      <c r="L769">
        <v>0.1</v>
      </c>
      <c r="M769" t="s">
        <v>24</v>
      </c>
      <c r="N769" t="s">
        <v>1068</v>
      </c>
    </row>
    <row r="770" spans="1:14" x14ac:dyDescent="0.35">
      <c r="A770">
        <v>769</v>
      </c>
      <c r="B770" t="s">
        <v>811</v>
      </c>
      <c r="C770" t="s">
        <v>59</v>
      </c>
      <c r="D770" t="s">
        <v>51</v>
      </c>
      <c r="E770" t="s">
        <v>20</v>
      </c>
      <c r="F770">
        <v>1999</v>
      </c>
      <c r="G770">
        <v>87</v>
      </c>
      <c r="H770">
        <v>0.56000000000000005</v>
      </c>
      <c r="I770">
        <v>0.2</v>
      </c>
      <c r="J770">
        <v>0.19</v>
      </c>
      <c r="K770">
        <v>0.1</v>
      </c>
      <c r="L770">
        <v>7.0000000000000007E-2</v>
      </c>
      <c r="M770" t="s">
        <v>17</v>
      </c>
      <c r="N770" t="s">
        <v>1069</v>
      </c>
    </row>
    <row r="771" spans="1:14" x14ac:dyDescent="0.35">
      <c r="A771">
        <v>770</v>
      </c>
      <c r="B771" t="s">
        <v>812</v>
      </c>
      <c r="C771" t="s">
        <v>14</v>
      </c>
      <c r="D771" t="s">
        <v>37</v>
      </c>
      <c r="E771" t="s">
        <v>74</v>
      </c>
      <c r="F771">
        <v>2013</v>
      </c>
      <c r="G771">
        <v>88</v>
      </c>
      <c r="H771">
        <v>0.82</v>
      </c>
      <c r="I771">
        <v>0.4</v>
      </c>
      <c r="J771">
        <v>0.25</v>
      </c>
      <c r="K771">
        <v>0.05</v>
      </c>
      <c r="L771">
        <v>0.12</v>
      </c>
      <c r="M771" t="s">
        <v>17</v>
      </c>
      <c r="N771" t="s">
        <v>1069</v>
      </c>
    </row>
    <row r="772" spans="1:14" x14ac:dyDescent="0.35">
      <c r="A772">
        <v>771</v>
      </c>
      <c r="B772" t="s">
        <v>813</v>
      </c>
      <c r="C772" t="s">
        <v>59</v>
      </c>
      <c r="D772" t="s">
        <v>37</v>
      </c>
      <c r="E772" t="s">
        <v>46</v>
      </c>
      <c r="F772">
        <v>1996</v>
      </c>
      <c r="G772">
        <v>93</v>
      </c>
      <c r="H772">
        <v>0.49</v>
      </c>
      <c r="I772">
        <v>0.2</v>
      </c>
      <c r="J772">
        <v>0.15</v>
      </c>
      <c r="K772">
        <v>0.06</v>
      </c>
      <c r="L772">
        <v>0.08</v>
      </c>
      <c r="M772" t="s">
        <v>24</v>
      </c>
      <c r="N772" t="s">
        <v>1068</v>
      </c>
    </row>
    <row r="773" spans="1:14" x14ac:dyDescent="0.35">
      <c r="A773">
        <v>772</v>
      </c>
      <c r="B773" t="s">
        <v>814</v>
      </c>
      <c r="C773" t="s">
        <v>23</v>
      </c>
      <c r="D773" t="s">
        <v>51</v>
      </c>
      <c r="E773" t="s">
        <v>41</v>
      </c>
      <c r="F773">
        <v>2022</v>
      </c>
      <c r="G773">
        <v>84</v>
      </c>
      <c r="H773">
        <v>0.31</v>
      </c>
      <c r="I773">
        <v>0.13</v>
      </c>
      <c r="J773">
        <v>0.09</v>
      </c>
      <c r="K773">
        <v>0.04</v>
      </c>
      <c r="L773">
        <v>0.05</v>
      </c>
      <c r="M773" t="s">
        <v>24</v>
      </c>
      <c r="N773" t="s">
        <v>1069</v>
      </c>
    </row>
    <row r="774" spans="1:14" x14ac:dyDescent="0.35">
      <c r="A774">
        <v>773</v>
      </c>
      <c r="B774" t="s">
        <v>815</v>
      </c>
      <c r="C774" t="s">
        <v>59</v>
      </c>
      <c r="D774" t="s">
        <v>51</v>
      </c>
      <c r="E774" t="s">
        <v>52</v>
      </c>
      <c r="F774">
        <v>2000</v>
      </c>
      <c r="G774">
        <v>97</v>
      </c>
      <c r="H774">
        <v>0.65</v>
      </c>
      <c r="I774">
        <v>0.25</v>
      </c>
      <c r="J774">
        <v>0.21</v>
      </c>
      <c r="K774">
        <v>0.06</v>
      </c>
      <c r="L774">
        <v>0.13</v>
      </c>
      <c r="M774" t="s">
        <v>17</v>
      </c>
      <c r="N774" t="s">
        <v>1068</v>
      </c>
    </row>
    <row r="775" spans="1:14" x14ac:dyDescent="0.35">
      <c r="A775">
        <v>774</v>
      </c>
      <c r="B775" t="s">
        <v>816</v>
      </c>
      <c r="C775" t="s">
        <v>64</v>
      </c>
      <c r="D775" t="s">
        <v>45</v>
      </c>
      <c r="E775" t="s">
        <v>20</v>
      </c>
      <c r="F775">
        <v>2017</v>
      </c>
      <c r="G775">
        <v>59</v>
      </c>
      <c r="H775">
        <v>0.14000000000000001</v>
      </c>
      <c r="I775">
        <v>7.0000000000000007E-2</v>
      </c>
      <c r="J775">
        <v>0.04</v>
      </c>
      <c r="K775">
        <v>0.01</v>
      </c>
      <c r="L775">
        <v>0.02</v>
      </c>
      <c r="M775" t="s">
        <v>24</v>
      </c>
      <c r="N775" t="s">
        <v>1071</v>
      </c>
    </row>
    <row r="776" spans="1:14" x14ac:dyDescent="0.35">
      <c r="A776">
        <v>775</v>
      </c>
      <c r="B776" t="s">
        <v>817</v>
      </c>
      <c r="C776" t="s">
        <v>59</v>
      </c>
      <c r="D776" t="s">
        <v>29</v>
      </c>
      <c r="E776" t="s">
        <v>46</v>
      </c>
      <c r="F776">
        <v>1997</v>
      </c>
      <c r="G776">
        <v>72</v>
      </c>
      <c r="H776">
        <v>0.12</v>
      </c>
      <c r="I776">
        <v>7.0000000000000007E-2</v>
      </c>
      <c r="J776">
        <v>0.03</v>
      </c>
      <c r="K776">
        <v>0.01</v>
      </c>
      <c r="L776">
        <v>0.01</v>
      </c>
      <c r="M776" t="s">
        <v>24</v>
      </c>
      <c r="N776" t="s">
        <v>1070</v>
      </c>
    </row>
    <row r="777" spans="1:14" x14ac:dyDescent="0.35">
      <c r="A777">
        <v>776</v>
      </c>
      <c r="B777" t="s">
        <v>818</v>
      </c>
      <c r="C777" t="s">
        <v>59</v>
      </c>
      <c r="D777" t="s">
        <v>65</v>
      </c>
      <c r="E777" t="s">
        <v>46</v>
      </c>
      <c r="F777">
        <v>1996</v>
      </c>
      <c r="G777">
        <v>61</v>
      </c>
      <c r="H777">
        <v>0.47</v>
      </c>
      <c r="I777">
        <v>0.25</v>
      </c>
      <c r="J777">
        <v>0.13</v>
      </c>
      <c r="K777">
        <v>7.0000000000000007E-2</v>
      </c>
      <c r="L777">
        <v>0.02</v>
      </c>
      <c r="M777" t="s">
        <v>24</v>
      </c>
      <c r="N777" t="s">
        <v>1071</v>
      </c>
    </row>
    <row r="778" spans="1:14" x14ac:dyDescent="0.35">
      <c r="A778">
        <v>777</v>
      </c>
      <c r="B778" t="s">
        <v>819</v>
      </c>
      <c r="C778" t="s">
        <v>59</v>
      </c>
      <c r="D778" t="s">
        <v>29</v>
      </c>
      <c r="E778" t="s">
        <v>41</v>
      </c>
      <c r="F778">
        <v>1996</v>
      </c>
      <c r="G778">
        <v>98</v>
      </c>
      <c r="H778">
        <v>1.9</v>
      </c>
      <c r="I778">
        <v>0.89</v>
      </c>
      <c r="J778">
        <v>0.62</v>
      </c>
      <c r="K778">
        <v>0.23</v>
      </c>
      <c r="L778">
        <v>0.16</v>
      </c>
      <c r="M778" t="s">
        <v>17</v>
      </c>
      <c r="N778" t="s">
        <v>1068</v>
      </c>
    </row>
    <row r="779" spans="1:14" x14ac:dyDescent="0.35">
      <c r="A779">
        <v>778</v>
      </c>
      <c r="B779" t="s">
        <v>820</v>
      </c>
      <c r="C779" t="s">
        <v>31</v>
      </c>
      <c r="D779" t="s">
        <v>15</v>
      </c>
      <c r="E779" t="s">
        <v>60</v>
      </c>
      <c r="F779">
        <v>2002</v>
      </c>
      <c r="G779">
        <v>64</v>
      </c>
      <c r="H779">
        <v>0.33</v>
      </c>
      <c r="I779">
        <v>0.12</v>
      </c>
      <c r="J779">
        <v>0.1</v>
      </c>
      <c r="K779">
        <v>0.06</v>
      </c>
      <c r="L779">
        <v>0.05</v>
      </c>
      <c r="M779" t="s">
        <v>24</v>
      </c>
      <c r="N779" t="s">
        <v>1071</v>
      </c>
    </row>
    <row r="780" spans="1:14" x14ac:dyDescent="0.35">
      <c r="A780">
        <v>779</v>
      </c>
      <c r="B780" t="s">
        <v>821</v>
      </c>
      <c r="C780" t="s">
        <v>57</v>
      </c>
      <c r="D780" t="s">
        <v>2</v>
      </c>
      <c r="E780" t="s">
        <v>41</v>
      </c>
      <c r="F780">
        <v>2007</v>
      </c>
      <c r="G780">
        <v>83</v>
      </c>
      <c r="H780">
        <v>0.48</v>
      </c>
      <c r="I780">
        <v>0.21</v>
      </c>
      <c r="J780">
        <v>0.16</v>
      </c>
      <c r="K780">
        <v>0.09</v>
      </c>
      <c r="L780">
        <v>0.02</v>
      </c>
      <c r="M780" t="s">
        <v>24</v>
      </c>
      <c r="N780" t="s">
        <v>1069</v>
      </c>
    </row>
    <row r="781" spans="1:14" x14ac:dyDescent="0.35">
      <c r="A781">
        <v>780</v>
      </c>
      <c r="B781" t="s">
        <v>822</v>
      </c>
      <c r="C781" t="s">
        <v>64</v>
      </c>
      <c r="D781" t="s">
        <v>51</v>
      </c>
      <c r="E781" t="s">
        <v>49</v>
      </c>
      <c r="F781">
        <v>2014</v>
      </c>
      <c r="G781">
        <v>75</v>
      </c>
      <c r="H781">
        <v>1.27</v>
      </c>
      <c r="I781">
        <v>0.46</v>
      </c>
      <c r="J781">
        <v>0.3</v>
      </c>
      <c r="K781">
        <v>0.08</v>
      </c>
      <c r="L781">
        <v>0.43</v>
      </c>
      <c r="M781" t="s">
        <v>17</v>
      </c>
      <c r="N781" t="s">
        <v>1070</v>
      </c>
    </row>
    <row r="782" spans="1:14" x14ac:dyDescent="0.35">
      <c r="A782">
        <v>781</v>
      </c>
      <c r="B782" t="s">
        <v>823</v>
      </c>
      <c r="C782" t="s">
        <v>23</v>
      </c>
      <c r="D782" t="s">
        <v>33</v>
      </c>
      <c r="E782" t="s">
        <v>46</v>
      </c>
      <c r="F782">
        <v>2020</v>
      </c>
      <c r="G782">
        <v>55</v>
      </c>
      <c r="H782">
        <v>2.54</v>
      </c>
      <c r="I782">
        <v>1.1499999999999999</v>
      </c>
      <c r="J782">
        <v>0.79</v>
      </c>
      <c r="K782">
        <v>0.31</v>
      </c>
      <c r="L782">
        <v>0.28999999999999998</v>
      </c>
      <c r="M782" t="s">
        <v>27</v>
      </c>
      <c r="N782" t="s">
        <v>1071</v>
      </c>
    </row>
    <row r="783" spans="1:14" x14ac:dyDescent="0.35">
      <c r="A783">
        <v>782</v>
      </c>
      <c r="B783" t="s">
        <v>824</v>
      </c>
      <c r="C783" t="s">
        <v>23</v>
      </c>
      <c r="D783" t="s">
        <v>65</v>
      </c>
      <c r="E783" t="s">
        <v>49</v>
      </c>
      <c r="F783">
        <v>2025</v>
      </c>
      <c r="G783">
        <v>94</v>
      </c>
      <c r="H783">
        <v>0.2</v>
      </c>
      <c r="I783">
        <v>0.09</v>
      </c>
      <c r="J783">
        <v>0.05</v>
      </c>
      <c r="K783">
        <v>0.04</v>
      </c>
      <c r="L783">
        <v>0.02</v>
      </c>
      <c r="M783" t="s">
        <v>24</v>
      </c>
      <c r="N783" t="s">
        <v>1068</v>
      </c>
    </row>
    <row r="784" spans="1:14" x14ac:dyDescent="0.35">
      <c r="A784">
        <v>783</v>
      </c>
      <c r="B784" t="s">
        <v>825</v>
      </c>
      <c r="C784" t="s">
        <v>57</v>
      </c>
      <c r="D784" t="s">
        <v>2</v>
      </c>
      <c r="E784" t="s">
        <v>20</v>
      </c>
      <c r="F784">
        <v>2012</v>
      </c>
      <c r="G784">
        <v>65</v>
      </c>
      <c r="H784">
        <v>4.6900000000000004</v>
      </c>
      <c r="I784">
        <v>2.13</v>
      </c>
      <c r="J784">
        <v>1.1000000000000001</v>
      </c>
      <c r="K784">
        <v>0.28999999999999998</v>
      </c>
      <c r="L784">
        <v>1.17</v>
      </c>
      <c r="M784" t="s">
        <v>27</v>
      </c>
      <c r="N784" t="s">
        <v>1071</v>
      </c>
    </row>
    <row r="785" spans="1:14" x14ac:dyDescent="0.35">
      <c r="A785">
        <v>784</v>
      </c>
      <c r="B785" t="s">
        <v>826</v>
      </c>
      <c r="C785" t="s">
        <v>64</v>
      </c>
      <c r="D785" t="s">
        <v>65</v>
      </c>
      <c r="E785" t="s">
        <v>43</v>
      </c>
      <c r="F785">
        <v>2013</v>
      </c>
      <c r="G785">
        <v>86</v>
      </c>
      <c r="H785">
        <v>0.22</v>
      </c>
      <c r="I785">
        <v>0.08</v>
      </c>
      <c r="J785">
        <v>7.0000000000000007E-2</v>
      </c>
      <c r="K785">
        <v>0.02</v>
      </c>
      <c r="L785">
        <v>0.05</v>
      </c>
      <c r="M785" t="s">
        <v>24</v>
      </c>
      <c r="N785" t="s">
        <v>1069</v>
      </c>
    </row>
    <row r="786" spans="1:14" x14ac:dyDescent="0.35">
      <c r="A786">
        <v>785</v>
      </c>
      <c r="B786" t="s">
        <v>827</v>
      </c>
      <c r="C786" t="s">
        <v>23</v>
      </c>
      <c r="D786" t="s">
        <v>33</v>
      </c>
      <c r="E786" t="s">
        <v>46</v>
      </c>
      <c r="F786">
        <v>2026</v>
      </c>
      <c r="G786">
        <v>73</v>
      </c>
      <c r="H786">
        <v>1.1000000000000001</v>
      </c>
      <c r="I786">
        <v>0.55000000000000004</v>
      </c>
      <c r="J786">
        <v>0.35</v>
      </c>
      <c r="K786">
        <v>0.2</v>
      </c>
      <c r="L786">
        <v>0</v>
      </c>
      <c r="M786" t="s">
        <v>17</v>
      </c>
      <c r="N786" t="s">
        <v>1070</v>
      </c>
    </row>
    <row r="787" spans="1:14" x14ac:dyDescent="0.35">
      <c r="A787">
        <v>786</v>
      </c>
      <c r="B787" t="s">
        <v>828</v>
      </c>
      <c r="C787" t="s">
        <v>23</v>
      </c>
      <c r="D787" t="s">
        <v>15</v>
      </c>
      <c r="E787" t="s">
        <v>16</v>
      </c>
      <c r="F787">
        <v>2026</v>
      </c>
      <c r="G787">
        <v>58</v>
      </c>
      <c r="H787">
        <v>0.41</v>
      </c>
      <c r="I787">
        <v>0.17</v>
      </c>
      <c r="J787">
        <v>0.1</v>
      </c>
      <c r="K787">
        <v>0.02</v>
      </c>
      <c r="L787">
        <v>0.12</v>
      </c>
      <c r="M787" t="s">
        <v>24</v>
      </c>
      <c r="N787" t="s">
        <v>1071</v>
      </c>
    </row>
    <row r="788" spans="1:14" x14ac:dyDescent="0.35">
      <c r="A788">
        <v>787</v>
      </c>
      <c r="B788" t="s">
        <v>829</v>
      </c>
      <c r="C788" t="s">
        <v>57</v>
      </c>
      <c r="D788" t="s">
        <v>45</v>
      </c>
      <c r="E788" t="s">
        <v>43</v>
      </c>
      <c r="F788">
        <v>2006</v>
      </c>
      <c r="G788">
        <v>82</v>
      </c>
      <c r="H788">
        <v>0.47</v>
      </c>
      <c r="I788">
        <v>0.21</v>
      </c>
      <c r="J788">
        <v>0.1</v>
      </c>
      <c r="K788">
        <v>0.03</v>
      </c>
      <c r="L788">
        <v>0.13</v>
      </c>
      <c r="M788" t="s">
        <v>24</v>
      </c>
      <c r="N788" t="s">
        <v>1069</v>
      </c>
    </row>
    <row r="789" spans="1:14" x14ac:dyDescent="0.35">
      <c r="A789">
        <v>788</v>
      </c>
      <c r="B789" t="s">
        <v>830</v>
      </c>
      <c r="C789" t="s">
        <v>19</v>
      </c>
      <c r="D789" t="s">
        <v>37</v>
      </c>
      <c r="E789" t="s">
        <v>46</v>
      </c>
      <c r="F789">
        <v>2013</v>
      </c>
      <c r="G789">
        <v>80</v>
      </c>
      <c r="H789">
        <v>0.6</v>
      </c>
      <c r="I789">
        <v>0.32</v>
      </c>
      <c r="J789">
        <v>0.17</v>
      </c>
      <c r="K789">
        <v>0.05</v>
      </c>
      <c r="L789">
        <v>0.06</v>
      </c>
      <c r="M789" t="s">
        <v>17</v>
      </c>
      <c r="N789" t="s">
        <v>1069</v>
      </c>
    </row>
    <row r="790" spans="1:14" x14ac:dyDescent="0.35">
      <c r="A790">
        <v>789</v>
      </c>
      <c r="B790" t="s">
        <v>831</v>
      </c>
      <c r="C790" t="s">
        <v>19</v>
      </c>
      <c r="D790" t="s">
        <v>37</v>
      </c>
      <c r="E790" t="s">
        <v>54</v>
      </c>
      <c r="F790">
        <v>2020</v>
      </c>
      <c r="G790">
        <v>55</v>
      </c>
      <c r="H790">
        <v>0.15</v>
      </c>
      <c r="I790">
        <v>0.06</v>
      </c>
      <c r="J790">
        <v>0.03</v>
      </c>
      <c r="K790">
        <v>0.01</v>
      </c>
      <c r="L790">
        <v>0.05</v>
      </c>
      <c r="M790" t="s">
        <v>24</v>
      </c>
      <c r="N790" t="s">
        <v>1071</v>
      </c>
    </row>
    <row r="791" spans="1:14" x14ac:dyDescent="0.35">
      <c r="A791">
        <v>790</v>
      </c>
      <c r="B791" t="s">
        <v>832</v>
      </c>
      <c r="C791" t="s">
        <v>19</v>
      </c>
      <c r="D791" t="s">
        <v>29</v>
      </c>
      <c r="E791" t="s">
        <v>20</v>
      </c>
      <c r="F791">
        <v>2019</v>
      </c>
      <c r="G791">
        <v>85</v>
      </c>
      <c r="H791">
        <v>0.26</v>
      </c>
      <c r="I791">
        <v>0.12</v>
      </c>
      <c r="J791">
        <v>0.08</v>
      </c>
      <c r="K791">
        <v>0.02</v>
      </c>
      <c r="L791">
        <v>0.04</v>
      </c>
      <c r="M791" t="s">
        <v>24</v>
      </c>
      <c r="N791" t="s">
        <v>1069</v>
      </c>
    </row>
    <row r="792" spans="1:14" x14ac:dyDescent="0.35">
      <c r="A792">
        <v>791</v>
      </c>
      <c r="B792" t="s">
        <v>833</v>
      </c>
      <c r="C792" t="s">
        <v>64</v>
      </c>
      <c r="D792" t="s">
        <v>65</v>
      </c>
      <c r="E792" t="s">
        <v>41</v>
      </c>
      <c r="F792">
        <v>2017</v>
      </c>
      <c r="G792">
        <v>61</v>
      </c>
      <c r="H792">
        <v>0.49</v>
      </c>
      <c r="I792">
        <v>0.21</v>
      </c>
      <c r="J792">
        <v>0.1</v>
      </c>
      <c r="K792">
        <v>7.0000000000000007E-2</v>
      </c>
      <c r="L792">
        <v>0.11</v>
      </c>
      <c r="M792" t="s">
        <v>24</v>
      </c>
      <c r="N792" t="s">
        <v>1071</v>
      </c>
    </row>
    <row r="793" spans="1:14" x14ac:dyDescent="0.35">
      <c r="A793">
        <v>792</v>
      </c>
      <c r="B793" t="s">
        <v>834</v>
      </c>
      <c r="C793" t="s">
        <v>59</v>
      </c>
      <c r="D793" t="s">
        <v>29</v>
      </c>
      <c r="E793" t="s">
        <v>41</v>
      </c>
      <c r="F793">
        <v>2000</v>
      </c>
      <c r="G793">
        <v>82</v>
      </c>
      <c r="H793">
        <v>0.39</v>
      </c>
      <c r="I793">
        <v>0.14000000000000001</v>
      </c>
      <c r="J793">
        <v>0.1</v>
      </c>
      <c r="K793">
        <v>0.06</v>
      </c>
      <c r="L793">
        <v>0.09</v>
      </c>
      <c r="M793" t="s">
        <v>24</v>
      </c>
      <c r="N793" t="s">
        <v>1069</v>
      </c>
    </row>
    <row r="794" spans="1:14" x14ac:dyDescent="0.35">
      <c r="A794">
        <v>793</v>
      </c>
      <c r="B794" t="s">
        <v>835</v>
      </c>
      <c r="C794" t="s">
        <v>57</v>
      </c>
      <c r="D794" t="s">
        <v>37</v>
      </c>
      <c r="E794" t="s">
        <v>52</v>
      </c>
      <c r="F794">
        <v>2012</v>
      </c>
      <c r="G794">
        <v>71</v>
      </c>
      <c r="H794">
        <v>0.89</v>
      </c>
      <c r="I794">
        <v>0.44</v>
      </c>
      <c r="J794">
        <v>0.28999999999999998</v>
      </c>
      <c r="K794">
        <v>0.14000000000000001</v>
      </c>
      <c r="L794">
        <v>0.02</v>
      </c>
      <c r="M794" t="s">
        <v>17</v>
      </c>
      <c r="N794" t="s">
        <v>1070</v>
      </c>
    </row>
    <row r="795" spans="1:14" x14ac:dyDescent="0.35">
      <c r="A795">
        <v>794</v>
      </c>
      <c r="B795" t="s">
        <v>836</v>
      </c>
      <c r="C795" t="s">
        <v>23</v>
      </c>
      <c r="D795" t="s">
        <v>37</v>
      </c>
      <c r="E795" t="s">
        <v>52</v>
      </c>
      <c r="F795">
        <v>2024</v>
      </c>
      <c r="G795">
        <v>69</v>
      </c>
      <c r="H795">
        <v>0.28000000000000003</v>
      </c>
      <c r="I795">
        <v>0.11</v>
      </c>
      <c r="J795">
        <v>0.06</v>
      </c>
      <c r="K795">
        <v>0.02</v>
      </c>
      <c r="L795">
        <v>0.09</v>
      </c>
      <c r="M795" t="s">
        <v>24</v>
      </c>
      <c r="N795" t="s">
        <v>1071</v>
      </c>
    </row>
    <row r="796" spans="1:14" x14ac:dyDescent="0.35">
      <c r="A796">
        <v>795</v>
      </c>
      <c r="B796" t="s">
        <v>837</v>
      </c>
      <c r="C796" t="s">
        <v>59</v>
      </c>
      <c r="D796" t="s">
        <v>48</v>
      </c>
      <c r="E796" t="s">
        <v>49</v>
      </c>
      <c r="F796">
        <v>1999</v>
      </c>
      <c r="G796">
        <v>81</v>
      </c>
      <c r="H796">
        <v>0.46</v>
      </c>
      <c r="I796">
        <v>0.25</v>
      </c>
      <c r="J796">
        <v>0.11</v>
      </c>
      <c r="K796">
        <v>0.05</v>
      </c>
      <c r="L796">
        <v>0.05</v>
      </c>
      <c r="M796" t="s">
        <v>24</v>
      </c>
      <c r="N796" t="s">
        <v>1069</v>
      </c>
    </row>
    <row r="797" spans="1:14" x14ac:dyDescent="0.35">
      <c r="A797">
        <v>796</v>
      </c>
      <c r="B797" t="s">
        <v>838</v>
      </c>
      <c r="C797" t="s">
        <v>59</v>
      </c>
      <c r="D797" t="s">
        <v>45</v>
      </c>
      <c r="E797" t="s">
        <v>20</v>
      </c>
      <c r="F797">
        <v>1999</v>
      </c>
      <c r="G797">
        <v>72</v>
      </c>
      <c r="H797">
        <v>0.63</v>
      </c>
      <c r="I797">
        <v>0.33</v>
      </c>
      <c r="J797">
        <v>0.14000000000000001</v>
      </c>
      <c r="K797">
        <v>0.03</v>
      </c>
      <c r="L797">
        <v>0.13</v>
      </c>
      <c r="M797" t="s">
        <v>17</v>
      </c>
      <c r="N797" t="s">
        <v>1070</v>
      </c>
    </row>
    <row r="798" spans="1:14" x14ac:dyDescent="0.35">
      <c r="A798">
        <v>797</v>
      </c>
      <c r="B798" t="s">
        <v>839</v>
      </c>
      <c r="C798" t="s">
        <v>57</v>
      </c>
      <c r="D798" t="s">
        <v>48</v>
      </c>
      <c r="E798" t="s">
        <v>46</v>
      </c>
      <c r="F798">
        <v>2009</v>
      </c>
      <c r="G798">
        <v>93</v>
      </c>
      <c r="H798">
        <v>0.22</v>
      </c>
      <c r="I798">
        <v>0.12</v>
      </c>
      <c r="J798">
        <v>0.06</v>
      </c>
      <c r="K798">
        <v>0.02</v>
      </c>
      <c r="L798">
        <v>0.02</v>
      </c>
      <c r="M798" t="s">
        <v>24</v>
      </c>
      <c r="N798" t="s">
        <v>1068</v>
      </c>
    </row>
    <row r="799" spans="1:14" x14ac:dyDescent="0.35">
      <c r="A799">
        <v>798</v>
      </c>
      <c r="B799" t="s">
        <v>840</v>
      </c>
      <c r="C799" t="s">
        <v>59</v>
      </c>
      <c r="D799" t="s">
        <v>15</v>
      </c>
      <c r="E799" t="s">
        <v>60</v>
      </c>
      <c r="F799">
        <v>2000</v>
      </c>
      <c r="G799">
        <v>78</v>
      </c>
      <c r="H799">
        <v>0.73</v>
      </c>
      <c r="I799">
        <v>0.37</v>
      </c>
      <c r="J799">
        <v>0.2</v>
      </c>
      <c r="K799">
        <v>0.08</v>
      </c>
      <c r="L799">
        <v>0.08</v>
      </c>
      <c r="M799" t="s">
        <v>17</v>
      </c>
      <c r="N799" t="s">
        <v>1070</v>
      </c>
    </row>
    <row r="800" spans="1:14" x14ac:dyDescent="0.35">
      <c r="A800">
        <v>799</v>
      </c>
      <c r="B800" t="s">
        <v>841</v>
      </c>
      <c r="C800" t="s">
        <v>57</v>
      </c>
      <c r="D800" t="s">
        <v>48</v>
      </c>
      <c r="E800" t="s">
        <v>74</v>
      </c>
      <c r="F800">
        <v>2008</v>
      </c>
      <c r="G800">
        <v>61</v>
      </c>
      <c r="H800">
        <v>0.12</v>
      </c>
      <c r="I800">
        <v>0.06</v>
      </c>
      <c r="J800">
        <v>0.04</v>
      </c>
      <c r="K800">
        <v>0.01</v>
      </c>
      <c r="L800">
        <v>0.01</v>
      </c>
      <c r="M800" t="s">
        <v>24</v>
      </c>
      <c r="N800" t="s">
        <v>1071</v>
      </c>
    </row>
    <row r="801" spans="1:14" x14ac:dyDescent="0.35">
      <c r="A801">
        <v>800</v>
      </c>
      <c r="B801" t="s">
        <v>842</v>
      </c>
      <c r="C801" t="s">
        <v>57</v>
      </c>
      <c r="D801" t="s">
        <v>33</v>
      </c>
      <c r="E801" t="s">
        <v>49</v>
      </c>
      <c r="F801">
        <v>2011</v>
      </c>
      <c r="G801">
        <v>76</v>
      </c>
      <c r="H801">
        <v>0.27</v>
      </c>
      <c r="I801">
        <v>0.14000000000000001</v>
      </c>
      <c r="J801">
        <v>0.08</v>
      </c>
      <c r="K801">
        <v>0.02</v>
      </c>
      <c r="L801">
        <v>0.03</v>
      </c>
      <c r="M801" t="s">
        <v>24</v>
      </c>
      <c r="N801" t="s">
        <v>1070</v>
      </c>
    </row>
    <row r="802" spans="1:14" x14ac:dyDescent="0.35">
      <c r="A802">
        <v>801</v>
      </c>
      <c r="B802" t="s">
        <v>843</v>
      </c>
      <c r="C802" t="s">
        <v>31</v>
      </c>
      <c r="D802" t="s">
        <v>45</v>
      </c>
      <c r="E802" t="s">
        <v>60</v>
      </c>
      <c r="F802">
        <v>2001</v>
      </c>
      <c r="G802">
        <v>77</v>
      </c>
      <c r="H802">
        <v>2</v>
      </c>
      <c r="I802">
        <v>0.99</v>
      </c>
      <c r="J802">
        <v>0.67</v>
      </c>
      <c r="K802">
        <v>0.12</v>
      </c>
      <c r="L802">
        <v>0.22</v>
      </c>
      <c r="M802" t="s">
        <v>17</v>
      </c>
      <c r="N802" t="s">
        <v>1070</v>
      </c>
    </row>
    <row r="803" spans="1:14" x14ac:dyDescent="0.35">
      <c r="A803">
        <v>802</v>
      </c>
      <c r="B803" t="s">
        <v>844</v>
      </c>
      <c r="C803" t="s">
        <v>19</v>
      </c>
      <c r="D803" t="s">
        <v>65</v>
      </c>
      <c r="E803" t="s">
        <v>20</v>
      </c>
      <c r="F803">
        <v>2021</v>
      </c>
      <c r="G803">
        <v>72</v>
      </c>
      <c r="H803">
        <v>1.1499999999999999</v>
      </c>
      <c r="I803">
        <v>0.41</v>
      </c>
      <c r="J803">
        <v>0.33</v>
      </c>
      <c r="K803">
        <v>0.19</v>
      </c>
      <c r="L803">
        <v>0.22</v>
      </c>
      <c r="M803" t="s">
        <v>17</v>
      </c>
      <c r="N803" t="s">
        <v>1070</v>
      </c>
    </row>
    <row r="804" spans="1:14" x14ac:dyDescent="0.35">
      <c r="A804">
        <v>803</v>
      </c>
      <c r="B804" t="s">
        <v>845</v>
      </c>
      <c r="C804" t="s">
        <v>57</v>
      </c>
      <c r="D804" t="s">
        <v>45</v>
      </c>
      <c r="E804" t="s">
        <v>16</v>
      </c>
      <c r="F804">
        <v>2007</v>
      </c>
      <c r="G804">
        <v>59</v>
      </c>
      <c r="H804">
        <v>0.06</v>
      </c>
      <c r="I804">
        <v>0.03</v>
      </c>
      <c r="J804">
        <v>0.02</v>
      </c>
      <c r="K804">
        <v>0.01</v>
      </c>
      <c r="L804">
        <v>0</v>
      </c>
      <c r="M804" t="s">
        <v>24</v>
      </c>
      <c r="N804" t="s">
        <v>1071</v>
      </c>
    </row>
    <row r="805" spans="1:14" x14ac:dyDescent="0.35">
      <c r="A805">
        <v>804</v>
      </c>
      <c r="B805" t="s">
        <v>846</v>
      </c>
      <c r="C805" t="s">
        <v>14</v>
      </c>
      <c r="D805" t="s">
        <v>37</v>
      </c>
      <c r="E805" t="s">
        <v>20</v>
      </c>
      <c r="F805">
        <v>2009</v>
      </c>
      <c r="G805">
        <v>68</v>
      </c>
      <c r="H805">
        <v>0.68</v>
      </c>
      <c r="I805">
        <v>0.36</v>
      </c>
      <c r="J805">
        <v>0.19</v>
      </c>
      <c r="K805">
        <v>0.09</v>
      </c>
      <c r="L805">
        <v>0.04</v>
      </c>
      <c r="M805" t="s">
        <v>17</v>
      </c>
      <c r="N805" t="s">
        <v>1071</v>
      </c>
    </row>
    <row r="806" spans="1:14" x14ac:dyDescent="0.35">
      <c r="A806">
        <v>805</v>
      </c>
      <c r="B806" t="s">
        <v>847</v>
      </c>
      <c r="C806" t="s">
        <v>57</v>
      </c>
      <c r="D806" t="s">
        <v>51</v>
      </c>
      <c r="E806" t="s">
        <v>46</v>
      </c>
      <c r="F806">
        <v>2012</v>
      </c>
      <c r="G806">
        <v>72</v>
      </c>
      <c r="H806">
        <v>0.53</v>
      </c>
      <c r="I806">
        <v>0.19</v>
      </c>
      <c r="J806">
        <v>0.12</v>
      </c>
      <c r="K806">
        <v>0.03</v>
      </c>
      <c r="L806">
        <v>0.19</v>
      </c>
      <c r="M806" t="s">
        <v>17</v>
      </c>
      <c r="N806" t="s">
        <v>1070</v>
      </c>
    </row>
    <row r="807" spans="1:14" x14ac:dyDescent="0.35">
      <c r="A807">
        <v>806</v>
      </c>
      <c r="B807" t="s">
        <v>848</v>
      </c>
      <c r="C807" t="s">
        <v>31</v>
      </c>
      <c r="D807" t="s">
        <v>37</v>
      </c>
      <c r="E807" t="s">
        <v>46</v>
      </c>
      <c r="F807">
        <v>2002</v>
      </c>
      <c r="G807">
        <v>68</v>
      </c>
      <c r="H807">
        <v>0.7</v>
      </c>
      <c r="I807">
        <v>0.28999999999999998</v>
      </c>
      <c r="J807">
        <v>0.2</v>
      </c>
      <c r="K807">
        <v>7.0000000000000007E-2</v>
      </c>
      <c r="L807">
        <v>0.14000000000000001</v>
      </c>
      <c r="M807" t="s">
        <v>17</v>
      </c>
      <c r="N807" t="s">
        <v>1071</v>
      </c>
    </row>
    <row r="808" spans="1:14" x14ac:dyDescent="0.35">
      <c r="A808">
        <v>807</v>
      </c>
      <c r="B808" t="s">
        <v>849</v>
      </c>
      <c r="C808" t="s">
        <v>59</v>
      </c>
      <c r="D808" t="s">
        <v>65</v>
      </c>
      <c r="E808" t="s">
        <v>46</v>
      </c>
      <c r="F808">
        <v>2000</v>
      </c>
      <c r="G808">
        <v>94</v>
      </c>
      <c r="H808">
        <v>0.18</v>
      </c>
      <c r="I808">
        <v>7.0000000000000007E-2</v>
      </c>
      <c r="J808">
        <v>0.04</v>
      </c>
      <c r="K808">
        <v>0.01</v>
      </c>
      <c r="L808">
        <v>0.06</v>
      </c>
      <c r="M808" t="s">
        <v>24</v>
      </c>
      <c r="N808" t="s">
        <v>1068</v>
      </c>
    </row>
    <row r="809" spans="1:14" x14ac:dyDescent="0.35">
      <c r="A809">
        <v>808</v>
      </c>
      <c r="B809" t="s">
        <v>850</v>
      </c>
      <c r="C809" t="s">
        <v>57</v>
      </c>
      <c r="D809" t="s">
        <v>33</v>
      </c>
      <c r="E809" t="s">
        <v>41</v>
      </c>
      <c r="F809">
        <v>2013</v>
      </c>
      <c r="G809">
        <v>90</v>
      </c>
      <c r="H809">
        <v>0.21</v>
      </c>
      <c r="I809">
        <v>0.09</v>
      </c>
      <c r="J809">
        <v>0.05</v>
      </c>
      <c r="K809">
        <v>0.03</v>
      </c>
      <c r="L809">
        <v>0.04</v>
      </c>
      <c r="M809" t="s">
        <v>24</v>
      </c>
      <c r="N809" t="s">
        <v>1068</v>
      </c>
    </row>
    <row r="810" spans="1:14" x14ac:dyDescent="0.35">
      <c r="A810">
        <v>809</v>
      </c>
      <c r="B810" t="s">
        <v>851</v>
      </c>
      <c r="C810" t="s">
        <v>64</v>
      </c>
      <c r="D810" t="s">
        <v>37</v>
      </c>
      <c r="E810" t="s">
        <v>16</v>
      </c>
      <c r="F810">
        <v>2017</v>
      </c>
      <c r="G810">
        <v>78</v>
      </c>
      <c r="H810">
        <v>0.1</v>
      </c>
      <c r="I810">
        <v>0.04</v>
      </c>
      <c r="J810">
        <v>0.03</v>
      </c>
      <c r="K810">
        <v>0.02</v>
      </c>
      <c r="L810">
        <v>0.01</v>
      </c>
      <c r="M810" t="s">
        <v>24</v>
      </c>
      <c r="N810" t="s">
        <v>1070</v>
      </c>
    </row>
    <row r="811" spans="1:14" x14ac:dyDescent="0.35">
      <c r="A811">
        <v>810</v>
      </c>
      <c r="B811" t="s">
        <v>852</v>
      </c>
      <c r="C811" t="s">
        <v>31</v>
      </c>
      <c r="D811" t="s">
        <v>2</v>
      </c>
      <c r="E811" t="s">
        <v>16</v>
      </c>
      <c r="F811">
        <v>2001</v>
      </c>
      <c r="G811">
        <v>56</v>
      </c>
      <c r="H811">
        <v>0.05</v>
      </c>
      <c r="I811">
        <v>0.03</v>
      </c>
      <c r="J811">
        <v>0.02</v>
      </c>
      <c r="K811">
        <v>0</v>
      </c>
      <c r="L811">
        <v>0</v>
      </c>
      <c r="M811" t="s">
        <v>24</v>
      </c>
      <c r="N811" t="s">
        <v>1071</v>
      </c>
    </row>
    <row r="812" spans="1:14" x14ac:dyDescent="0.35">
      <c r="A812">
        <v>811</v>
      </c>
      <c r="B812" t="s">
        <v>853</v>
      </c>
      <c r="C812" t="s">
        <v>31</v>
      </c>
      <c r="D812" t="s">
        <v>45</v>
      </c>
      <c r="E812" t="s">
        <v>52</v>
      </c>
      <c r="F812">
        <v>2000</v>
      </c>
      <c r="G812">
        <v>61</v>
      </c>
      <c r="H812">
        <v>0.99</v>
      </c>
      <c r="I812">
        <v>0.5</v>
      </c>
      <c r="J812">
        <v>0.2</v>
      </c>
      <c r="K812">
        <v>0.06</v>
      </c>
      <c r="L812">
        <v>0.23</v>
      </c>
      <c r="M812" t="s">
        <v>17</v>
      </c>
      <c r="N812" t="s">
        <v>1071</v>
      </c>
    </row>
    <row r="813" spans="1:14" x14ac:dyDescent="0.35">
      <c r="A813">
        <v>812</v>
      </c>
      <c r="B813" t="s">
        <v>854</v>
      </c>
      <c r="C813" t="s">
        <v>19</v>
      </c>
      <c r="D813" t="s">
        <v>33</v>
      </c>
      <c r="E813" t="s">
        <v>20</v>
      </c>
      <c r="F813">
        <v>2013</v>
      </c>
      <c r="G813">
        <v>70</v>
      </c>
      <c r="H813">
        <v>1.43</v>
      </c>
      <c r="I813">
        <v>0.77</v>
      </c>
      <c r="J813">
        <v>0.41</v>
      </c>
      <c r="K813">
        <v>0.24</v>
      </c>
      <c r="L813">
        <v>0.01</v>
      </c>
      <c r="M813" t="s">
        <v>17</v>
      </c>
      <c r="N813" t="s">
        <v>1070</v>
      </c>
    </row>
    <row r="814" spans="1:14" x14ac:dyDescent="0.35">
      <c r="A814">
        <v>813</v>
      </c>
      <c r="B814" t="s">
        <v>855</v>
      </c>
      <c r="C814" t="s">
        <v>59</v>
      </c>
      <c r="D814" t="s">
        <v>65</v>
      </c>
      <c r="E814" t="s">
        <v>43</v>
      </c>
      <c r="F814">
        <v>1995</v>
      </c>
      <c r="G814">
        <v>63</v>
      </c>
      <c r="H814">
        <v>0.38</v>
      </c>
      <c r="I814">
        <v>0.17</v>
      </c>
      <c r="J814">
        <v>0.09</v>
      </c>
      <c r="K814">
        <v>0.04</v>
      </c>
      <c r="L814">
        <v>0.08</v>
      </c>
      <c r="M814" t="s">
        <v>24</v>
      </c>
      <c r="N814" t="s">
        <v>1071</v>
      </c>
    </row>
    <row r="815" spans="1:14" x14ac:dyDescent="0.35">
      <c r="A815">
        <v>814</v>
      </c>
      <c r="B815" t="s">
        <v>856</v>
      </c>
      <c r="C815" t="s">
        <v>31</v>
      </c>
      <c r="D815" t="s">
        <v>15</v>
      </c>
      <c r="E815" t="s">
        <v>60</v>
      </c>
      <c r="F815">
        <v>2001</v>
      </c>
      <c r="G815">
        <v>62</v>
      </c>
      <c r="H815">
        <v>0.72</v>
      </c>
      <c r="I815">
        <v>0.38</v>
      </c>
      <c r="J815">
        <v>0.19</v>
      </c>
      <c r="K815">
        <v>0.04</v>
      </c>
      <c r="L815">
        <v>0.11</v>
      </c>
      <c r="M815" t="s">
        <v>17</v>
      </c>
      <c r="N815" t="s">
        <v>1071</v>
      </c>
    </row>
    <row r="816" spans="1:14" x14ac:dyDescent="0.35">
      <c r="A816">
        <v>815</v>
      </c>
      <c r="B816" t="s">
        <v>857</v>
      </c>
      <c r="C816" t="s">
        <v>31</v>
      </c>
      <c r="D816" t="s">
        <v>48</v>
      </c>
      <c r="E816" t="s">
        <v>41</v>
      </c>
      <c r="F816">
        <v>2000</v>
      </c>
      <c r="G816">
        <v>77</v>
      </c>
      <c r="H816">
        <v>0.9</v>
      </c>
      <c r="I816">
        <v>0.47</v>
      </c>
      <c r="J816">
        <v>0.23</v>
      </c>
      <c r="K816">
        <v>0.16</v>
      </c>
      <c r="L816">
        <v>0.04</v>
      </c>
      <c r="M816" t="s">
        <v>17</v>
      </c>
      <c r="N816" t="s">
        <v>1070</v>
      </c>
    </row>
    <row r="817" spans="1:14" x14ac:dyDescent="0.35">
      <c r="A817">
        <v>816</v>
      </c>
      <c r="B817" t="s">
        <v>858</v>
      </c>
      <c r="C817" t="s">
        <v>64</v>
      </c>
      <c r="D817" t="s">
        <v>62</v>
      </c>
      <c r="E817" t="s">
        <v>54</v>
      </c>
      <c r="F817">
        <v>2012</v>
      </c>
      <c r="G817">
        <v>61</v>
      </c>
      <c r="H817">
        <v>0.79</v>
      </c>
      <c r="I817">
        <v>0.28999999999999998</v>
      </c>
      <c r="J817">
        <v>0.2</v>
      </c>
      <c r="K817">
        <v>0.08</v>
      </c>
      <c r="L817">
        <v>0.22</v>
      </c>
      <c r="M817" t="s">
        <v>17</v>
      </c>
      <c r="N817" t="s">
        <v>1071</v>
      </c>
    </row>
    <row r="818" spans="1:14" x14ac:dyDescent="0.35">
      <c r="A818">
        <v>817</v>
      </c>
      <c r="B818" t="s">
        <v>859</v>
      </c>
      <c r="C818" t="s">
        <v>59</v>
      </c>
      <c r="D818" t="s">
        <v>2</v>
      </c>
      <c r="E818" t="s">
        <v>54</v>
      </c>
      <c r="F818">
        <v>1995</v>
      </c>
      <c r="G818">
        <v>88</v>
      </c>
      <c r="H818">
        <v>0.3</v>
      </c>
      <c r="I818">
        <v>0.13</v>
      </c>
      <c r="J818">
        <v>0.1</v>
      </c>
      <c r="K818">
        <v>0.05</v>
      </c>
      <c r="L818">
        <v>0.02</v>
      </c>
      <c r="M818" t="s">
        <v>24</v>
      </c>
      <c r="N818" t="s">
        <v>1069</v>
      </c>
    </row>
    <row r="819" spans="1:14" x14ac:dyDescent="0.35">
      <c r="A819">
        <v>818</v>
      </c>
      <c r="B819" t="s">
        <v>860</v>
      </c>
      <c r="C819" t="s">
        <v>23</v>
      </c>
      <c r="D819" t="s">
        <v>51</v>
      </c>
      <c r="E819" t="s">
        <v>43</v>
      </c>
      <c r="F819">
        <v>2026</v>
      </c>
      <c r="G819">
        <v>86</v>
      </c>
      <c r="H819">
        <v>3.88</v>
      </c>
      <c r="I819">
        <v>1.42</v>
      </c>
      <c r="J819">
        <v>0.78</v>
      </c>
      <c r="K819">
        <v>0.74</v>
      </c>
      <c r="L819">
        <v>0.94</v>
      </c>
      <c r="M819" t="s">
        <v>27</v>
      </c>
      <c r="N819" t="s">
        <v>1069</v>
      </c>
    </row>
    <row r="820" spans="1:14" x14ac:dyDescent="0.35">
      <c r="A820">
        <v>819</v>
      </c>
      <c r="B820" t="s">
        <v>861</v>
      </c>
      <c r="C820" t="s">
        <v>31</v>
      </c>
      <c r="D820" t="s">
        <v>37</v>
      </c>
      <c r="E820" t="s">
        <v>43</v>
      </c>
      <c r="F820">
        <v>2006</v>
      </c>
      <c r="G820">
        <v>83</v>
      </c>
      <c r="H820">
        <v>3.26</v>
      </c>
      <c r="I820">
        <v>1.45</v>
      </c>
      <c r="J820">
        <v>0.68</v>
      </c>
      <c r="K820">
        <v>0.45</v>
      </c>
      <c r="L820">
        <v>0.68</v>
      </c>
      <c r="M820" t="s">
        <v>27</v>
      </c>
      <c r="N820" t="s">
        <v>1069</v>
      </c>
    </row>
    <row r="821" spans="1:14" x14ac:dyDescent="0.35">
      <c r="A821">
        <v>820</v>
      </c>
      <c r="B821" t="s">
        <v>862</v>
      </c>
      <c r="C821" t="s">
        <v>57</v>
      </c>
      <c r="D821" t="s">
        <v>37</v>
      </c>
      <c r="E821" t="s">
        <v>49</v>
      </c>
      <c r="F821">
        <v>2008</v>
      </c>
      <c r="G821">
        <v>66</v>
      </c>
      <c r="H821">
        <v>0.91</v>
      </c>
      <c r="I821">
        <v>0.41</v>
      </c>
      <c r="J821">
        <v>0.25</v>
      </c>
      <c r="K821">
        <v>0.18</v>
      </c>
      <c r="L821">
        <v>7.0000000000000007E-2</v>
      </c>
      <c r="M821" t="s">
        <v>17</v>
      </c>
      <c r="N821" t="s">
        <v>1071</v>
      </c>
    </row>
    <row r="822" spans="1:14" x14ac:dyDescent="0.35">
      <c r="A822">
        <v>821</v>
      </c>
      <c r="B822" t="s">
        <v>863</v>
      </c>
      <c r="C822" t="s">
        <v>23</v>
      </c>
      <c r="D822" t="s">
        <v>29</v>
      </c>
      <c r="E822" t="s">
        <v>54</v>
      </c>
      <c r="F822">
        <v>2026</v>
      </c>
      <c r="G822">
        <v>81</v>
      </c>
      <c r="H822">
        <v>0.87</v>
      </c>
      <c r="I822">
        <v>0.39</v>
      </c>
      <c r="J822">
        <v>0.24</v>
      </c>
      <c r="K822">
        <v>7.0000000000000007E-2</v>
      </c>
      <c r="L822">
        <v>0.17</v>
      </c>
      <c r="M822" t="s">
        <v>17</v>
      </c>
      <c r="N822" t="s">
        <v>1069</v>
      </c>
    </row>
    <row r="823" spans="1:14" x14ac:dyDescent="0.35">
      <c r="A823">
        <v>822</v>
      </c>
      <c r="B823" t="s">
        <v>864</v>
      </c>
      <c r="C823" t="s">
        <v>59</v>
      </c>
      <c r="D823" t="s">
        <v>45</v>
      </c>
      <c r="E823" t="s">
        <v>60</v>
      </c>
      <c r="F823">
        <v>1999</v>
      </c>
      <c r="G823">
        <v>60</v>
      </c>
      <c r="H823">
        <v>3.4</v>
      </c>
      <c r="I823">
        <v>1.82</v>
      </c>
      <c r="J823">
        <v>0.71</v>
      </c>
      <c r="K823">
        <v>0.35</v>
      </c>
      <c r="L823">
        <v>0.52</v>
      </c>
      <c r="M823" t="s">
        <v>27</v>
      </c>
      <c r="N823" t="s">
        <v>1071</v>
      </c>
    </row>
    <row r="824" spans="1:14" x14ac:dyDescent="0.35">
      <c r="A824">
        <v>823</v>
      </c>
      <c r="B824" t="s">
        <v>865</v>
      </c>
      <c r="C824" t="s">
        <v>64</v>
      </c>
      <c r="D824" t="s">
        <v>51</v>
      </c>
      <c r="E824" t="s">
        <v>16</v>
      </c>
      <c r="F824">
        <v>2013</v>
      </c>
      <c r="G824">
        <v>81</v>
      </c>
      <c r="H824">
        <v>0.05</v>
      </c>
      <c r="I824">
        <v>0.02</v>
      </c>
      <c r="J824">
        <v>0.01</v>
      </c>
      <c r="K824">
        <v>0.01</v>
      </c>
      <c r="L824">
        <v>0.01</v>
      </c>
      <c r="M824" t="s">
        <v>24</v>
      </c>
      <c r="N824" t="s">
        <v>1069</v>
      </c>
    </row>
    <row r="825" spans="1:14" x14ac:dyDescent="0.35">
      <c r="A825">
        <v>824</v>
      </c>
      <c r="B825" t="s">
        <v>866</v>
      </c>
      <c r="C825" t="s">
        <v>57</v>
      </c>
      <c r="D825" t="s">
        <v>45</v>
      </c>
      <c r="E825" t="s">
        <v>20</v>
      </c>
      <c r="F825">
        <v>2006</v>
      </c>
      <c r="G825">
        <v>58</v>
      </c>
      <c r="H825">
        <v>1.2</v>
      </c>
      <c r="I825">
        <v>0.44</v>
      </c>
      <c r="J825">
        <v>0.39</v>
      </c>
      <c r="K825">
        <v>0.22</v>
      </c>
      <c r="L825">
        <v>0.15</v>
      </c>
      <c r="M825" t="s">
        <v>17</v>
      </c>
      <c r="N825" t="s">
        <v>1071</v>
      </c>
    </row>
    <row r="826" spans="1:14" x14ac:dyDescent="0.35">
      <c r="A826">
        <v>825</v>
      </c>
      <c r="B826" t="s">
        <v>867</v>
      </c>
      <c r="C826" t="s">
        <v>59</v>
      </c>
      <c r="D826" t="s">
        <v>29</v>
      </c>
      <c r="E826" t="s">
        <v>54</v>
      </c>
      <c r="F826">
        <v>1996</v>
      </c>
      <c r="G826">
        <v>59</v>
      </c>
      <c r="H826">
        <v>0.23</v>
      </c>
      <c r="I826">
        <v>0.1</v>
      </c>
      <c r="J826">
        <v>0.05</v>
      </c>
      <c r="K826">
        <v>0.03</v>
      </c>
      <c r="L826">
        <v>0.05</v>
      </c>
      <c r="M826" t="s">
        <v>24</v>
      </c>
      <c r="N826" t="s">
        <v>1071</v>
      </c>
    </row>
    <row r="827" spans="1:14" x14ac:dyDescent="0.35">
      <c r="A827">
        <v>826</v>
      </c>
      <c r="B827" t="s">
        <v>868</v>
      </c>
      <c r="C827" t="s">
        <v>14</v>
      </c>
      <c r="D827" t="s">
        <v>45</v>
      </c>
      <c r="E827" t="s">
        <v>43</v>
      </c>
      <c r="F827">
        <v>2013</v>
      </c>
      <c r="G827">
        <v>73</v>
      </c>
      <c r="H827">
        <v>1.03</v>
      </c>
      <c r="I827">
        <v>0.4</v>
      </c>
      <c r="J827">
        <v>0.23</v>
      </c>
      <c r="K827">
        <v>0.11</v>
      </c>
      <c r="L827">
        <v>0.28999999999999998</v>
      </c>
      <c r="M827" t="s">
        <v>17</v>
      </c>
      <c r="N827" t="s">
        <v>1070</v>
      </c>
    </row>
    <row r="828" spans="1:14" x14ac:dyDescent="0.35">
      <c r="A828">
        <v>827</v>
      </c>
      <c r="B828" t="s">
        <v>869</v>
      </c>
      <c r="C828" t="s">
        <v>19</v>
      </c>
      <c r="D828" t="s">
        <v>65</v>
      </c>
      <c r="E828" t="s">
        <v>46</v>
      </c>
      <c r="F828">
        <v>2020</v>
      </c>
      <c r="G828">
        <v>74</v>
      </c>
      <c r="H828">
        <v>1.42</v>
      </c>
      <c r="I828">
        <v>0.54</v>
      </c>
      <c r="J828">
        <v>0.49</v>
      </c>
      <c r="K828">
        <v>0.18</v>
      </c>
      <c r="L828">
        <v>0.21</v>
      </c>
      <c r="M828" t="s">
        <v>17</v>
      </c>
      <c r="N828" t="s">
        <v>1070</v>
      </c>
    </row>
    <row r="829" spans="1:14" x14ac:dyDescent="0.35">
      <c r="A829">
        <v>828</v>
      </c>
      <c r="B829" t="s">
        <v>870</v>
      </c>
      <c r="C829" t="s">
        <v>31</v>
      </c>
      <c r="D829" t="s">
        <v>48</v>
      </c>
      <c r="E829" t="s">
        <v>41</v>
      </c>
      <c r="F829">
        <v>2005</v>
      </c>
      <c r="G829">
        <v>69</v>
      </c>
      <c r="H829">
        <v>0.26</v>
      </c>
      <c r="I829">
        <v>0.14000000000000001</v>
      </c>
      <c r="J829">
        <v>0.08</v>
      </c>
      <c r="K829">
        <v>0.02</v>
      </c>
      <c r="L829">
        <v>0.02</v>
      </c>
      <c r="M829" t="s">
        <v>24</v>
      </c>
      <c r="N829" t="s">
        <v>1071</v>
      </c>
    </row>
    <row r="830" spans="1:14" x14ac:dyDescent="0.35">
      <c r="A830">
        <v>829</v>
      </c>
      <c r="B830" t="s">
        <v>871</v>
      </c>
      <c r="C830" t="s">
        <v>57</v>
      </c>
      <c r="D830" t="s">
        <v>62</v>
      </c>
      <c r="E830" t="s">
        <v>43</v>
      </c>
      <c r="F830">
        <v>2011</v>
      </c>
      <c r="G830">
        <v>65</v>
      </c>
      <c r="H830">
        <v>0.16</v>
      </c>
      <c r="I830">
        <v>7.0000000000000007E-2</v>
      </c>
      <c r="J830">
        <v>0.04</v>
      </c>
      <c r="K830">
        <v>0.01</v>
      </c>
      <c r="L830">
        <v>0.04</v>
      </c>
      <c r="M830" t="s">
        <v>24</v>
      </c>
      <c r="N830" t="s">
        <v>1071</v>
      </c>
    </row>
    <row r="831" spans="1:14" x14ac:dyDescent="0.35">
      <c r="A831">
        <v>830</v>
      </c>
      <c r="B831" t="s">
        <v>872</v>
      </c>
      <c r="C831" t="s">
        <v>14</v>
      </c>
      <c r="D831" t="s">
        <v>15</v>
      </c>
      <c r="E831" t="s">
        <v>52</v>
      </c>
      <c r="F831">
        <v>2011</v>
      </c>
      <c r="G831">
        <v>89</v>
      </c>
      <c r="H831">
        <v>0.27</v>
      </c>
      <c r="I831">
        <v>0.1</v>
      </c>
      <c r="J831">
        <v>0.09</v>
      </c>
      <c r="K831">
        <v>0.02</v>
      </c>
      <c r="L831">
        <v>0.06</v>
      </c>
      <c r="M831" t="s">
        <v>24</v>
      </c>
      <c r="N831" t="s">
        <v>1069</v>
      </c>
    </row>
    <row r="832" spans="1:14" x14ac:dyDescent="0.35">
      <c r="A832">
        <v>831</v>
      </c>
      <c r="B832" t="s">
        <v>873</v>
      </c>
      <c r="C832" t="s">
        <v>31</v>
      </c>
      <c r="D832" t="s">
        <v>15</v>
      </c>
      <c r="E832" t="s">
        <v>52</v>
      </c>
      <c r="F832">
        <v>2005</v>
      </c>
      <c r="G832">
        <v>91</v>
      </c>
      <c r="H832">
        <v>0.83</v>
      </c>
      <c r="I832">
        <v>0.42</v>
      </c>
      <c r="J832">
        <v>0.17</v>
      </c>
      <c r="K832">
        <v>0.08</v>
      </c>
      <c r="L832">
        <v>0.16</v>
      </c>
      <c r="M832" t="s">
        <v>17</v>
      </c>
      <c r="N832" t="s">
        <v>1068</v>
      </c>
    </row>
    <row r="833" spans="1:14" x14ac:dyDescent="0.35">
      <c r="A833">
        <v>832</v>
      </c>
      <c r="B833" t="s">
        <v>874</v>
      </c>
      <c r="C833" t="s">
        <v>14</v>
      </c>
      <c r="D833" t="s">
        <v>29</v>
      </c>
      <c r="E833" t="s">
        <v>46</v>
      </c>
      <c r="F833">
        <v>2006</v>
      </c>
      <c r="G833">
        <v>67</v>
      </c>
      <c r="H833">
        <v>0.37</v>
      </c>
      <c r="I833">
        <v>0.16</v>
      </c>
      <c r="J833">
        <v>0.08</v>
      </c>
      <c r="K833">
        <v>0.06</v>
      </c>
      <c r="L833">
        <v>7.0000000000000007E-2</v>
      </c>
      <c r="M833" t="s">
        <v>24</v>
      </c>
      <c r="N833" t="s">
        <v>1071</v>
      </c>
    </row>
    <row r="834" spans="1:14" x14ac:dyDescent="0.35">
      <c r="A834">
        <v>833</v>
      </c>
      <c r="B834" t="s">
        <v>875</v>
      </c>
      <c r="C834" t="s">
        <v>14</v>
      </c>
      <c r="D834" t="s">
        <v>65</v>
      </c>
      <c r="E834" t="s">
        <v>49</v>
      </c>
      <c r="F834">
        <v>2012</v>
      </c>
      <c r="G834">
        <v>56</v>
      </c>
      <c r="H834">
        <v>0.73</v>
      </c>
      <c r="I834">
        <v>0.34</v>
      </c>
      <c r="J834">
        <v>0.24</v>
      </c>
      <c r="K834">
        <v>7.0000000000000007E-2</v>
      </c>
      <c r="L834">
        <v>0.08</v>
      </c>
      <c r="M834" t="s">
        <v>17</v>
      </c>
      <c r="N834" t="s">
        <v>1071</v>
      </c>
    </row>
    <row r="835" spans="1:14" x14ac:dyDescent="0.35">
      <c r="A835">
        <v>834</v>
      </c>
      <c r="B835" t="s">
        <v>876</v>
      </c>
      <c r="C835" t="s">
        <v>31</v>
      </c>
      <c r="D835" t="s">
        <v>62</v>
      </c>
      <c r="E835" t="s">
        <v>49</v>
      </c>
      <c r="F835">
        <v>2005</v>
      </c>
      <c r="G835">
        <v>68</v>
      </c>
      <c r="H835">
        <v>2.62</v>
      </c>
      <c r="I835">
        <v>1.32</v>
      </c>
      <c r="J835">
        <v>0.59</v>
      </c>
      <c r="K835">
        <v>0.51</v>
      </c>
      <c r="L835">
        <v>0.2</v>
      </c>
      <c r="M835" t="s">
        <v>27</v>
      </c>
      <c r="N835" t="s">
        <v>1071</v>
      </c>
    </row>
    <row r="836" spans="1:14" x14ac:dyDescent="0.35">
      <c r="A836">
        <v>835</v>
      </c>
      <c r="B836" t="s">
        <v>877</v>
      </c>
      <c r="C836" t="s">
        <v>23</v>
      </c>
      <c r="D836" t="s">
        <v>2</v>
      </c>
      <c r="E836" t="s">
        <v>60</v>
      </c>
      <c r="F836">
        <v>2025</v>
      </c>
      <c r="G836">
        <v>63</v>
      </c>
      <c r="H836">
        <v>0.5</v>
      </c>
      <c r="I836">
        <v>0.26</v>
      </c>
      <c r="J836">
        <v>0.13</v>
      </c>
      <c r="K836">
        <v>0.09</v>
      </c>
      <c r="L836">
        <v>0.02</v>
      </c>
      <c r="M836" t="s">
        <v>24</v>
      </c>
      <c r="N836" t="s">
        <v>1071</v>
      </c>
    </row>
    <row r="837" spans="1:14" x14ac:dyDescent="0.35">
      <c r="A837">
        <v>836</v>
      </c>
      <c r="B837" t="s">
        <v>878</v>
      </c>
      <c r="C837" t="s">
        <v>64</v>
      </c>
      <c r="D837" t="s">
        <v>48</v>
      </c>
      <c r="E837" t="s">
        <v>52</v>
      </c>
      <c r="F837">
        <v>2017</v>
      </c>
      <c r="G837">
        <v>59</v>
      </c>
      <c r="H837">
        <v>1.51</v>
      </c>
      <c r="I837">
        <v>0.83</v>
      </c>
      <c r="J837">
        <v>0.32</v>
      </c>
      <c r="K837">
        <v>0.08</v>
      </c>
      <c r="L837">
        <v>0.28000000000000003</v>
      </c>
      <c r="M837" t="s">
        <v>17</v>
      </c>
      <c r="N837" t="s">
        <v>1071</v>
      </c>
    </row>
    <row r="838" spans="1:14" x14ac:dyDescent="0.35">
      <c r="A838">
        <v>837</v>
      </c>
      <c r="B838" t="s">
        <v>879</v>
      </c>
      <c r="C838" t="s">
        <v>64</v>
      </c>
      <c r="D838" t="s">
        <v>65</v>
      </c>
      <c r="E838" t="s">
        <v>49</v>
      </c>
      <c r="F838">
        <v>2015</v>
      </c>
      <c r="G838">
        <v>84</v>
      </c>
      <c r="H838">
        <v>0.14000000000000001</v>
      </c>
      <c r="I838">
        <v>0.06</v>
      </c>
      <c r="J838">
        <v>0.03</v>
      </c>
      <c r="K838">
        <v>0.01</v>
      </c>
      <c r="L838">
        <v>0.04</v>
      </c>
      <c r="M838" t="s">
        <v>24</v>
      </c>
      <c r="N838" t="s">
        <v>1069</v>
      </c>
    </row>
    <row r="839" spans="1:14" x14ac:dyDescent="0.35">
      <c r="A839">
        <v>838</v>
      </c>
      <c r="B839" t="s">
        <v>880</v>
      </c>
      <c r="C839" t="s">
        <v>64</v>
      </c>
      <c r="D839" t="s">
        <v>51</v>
      </c>
      <c r="E839" t="s">
        <v>16</v>
      </c>
      <c r="F839">
        <v>2018</v>
      </c>
      <c r="G839">
        <v>96</v>
      </c>
      <c r="H839">
        <v>1.22</v>
      </c>
      <c r="I839">
        <v>0.52</v>
      </c>
      <c r="J839">
        <v>0.3</v>
      </c>
      <c r="K839">
        <v>0.14000000000000001</v>
      </c>
      <c r="L839">
        <v>0.26</v>
      </c>
      <c r="M839" t="s">
        <v>17</v>
      </c>
      <c r="N839" t="s">
        <v>1068</v>
      </c>
    </row>
    <row r="840" spans="1:14" x14ac:dyDescent="0.35">
      <c r="A840">
        <v>839</v>
      </c>
      <c r="B840" t="s">
        <v>881</v>
      </c>
      <c r="C840" t="s">
        <v>23</v>
      </c>
      <c r="D840" t="s">
        <v>37</v>
      </c>
      <c r="E840" t="s">
        <v>16</v>
      </c>
      <c r="F840">
        <v>2025</v>
      </c>
      <c r="G840">
        <v>94</v>
      </c>
      <c r="H840">
        <v>2.25</v>
      </c>
      <c r="I840">
        <v>1.0900000000000001</v>
      </c>
      <c r="J840">
        <v>0.62</v>
      </c>
      <c r="K840">
        <v>0.2</v>
      </c>
      <c r="L840">
        <v>0.34</v>
      </c>
      <c r="M840" t="s">
        <v>27</v>
      </c>
      <c r="N840" t="s">
        <v>1068</v>
      </c>
    </row>
    <row r="841" spans="1:14" x14ac:dyDescent="0.35">
      <c r="A841">
        <v>840</v>
      </c>
      <c r="B841" t="s">
        <v>882</v>
      </c>
      <c r="C841" t="s">
        <v>57</v>
      </c>
      <c r="D841" t="s">
        <v>2</v>
      </c>
      <c r="E841" t="s">
        <v>20</v>
      </c>
      <c r="F841">
        <v>2004</v>
      </c>
      <c r="G841">
        <v>55</v>
      </c>
      <c r="H841">
        <v>0.26</v>
      </c>
      <c r="I841">
        <v>0.11</v>
      </c>
      <c r="J841">
        <v>7.0000000000000007E-2</v>
      </c>
      <c r="K841">
        <v>0.05</v>
      </c>
      <c r="L841">
        <v>0.03</v>
      </c>
      <c r="M841" t="s">
        <v>24</v>
      </c>
      <c r="N841" t="s">
        <v>1071</v>
      </c>
    </row>
    <row r="842" spans="1:14" x14ac:dyDescent="0.35">
      <c r="A842">
        <v>841</v>
      </c>
      <c r="B842" t="s">
        <v>883</v>
      </c>
      <c r="C842" t="s">
        <v>31</v>
      </c>
      <c r="D842" t="s">
        <v>62</v>
      </c>
      <c r="E842" t="s">
        <v>49</v>
      </c>
      <c r="F842">
        <v>2003</v>
      </c>
      <c r="G842">
        <v>84</v>
      </c>
      <c r="H842">
        <v>6</v>
      </c>
      <c r="I842">
        <v>2.66</v>
      </c>
      <c r="J842">
        <v>1.28</v>
      </c>
      <c r="K842">
        <v>0.96</v>
      </c>
      <c r="L842">
        <v>1.1000000000000001</v>
      </c>
      <c r="M842" t="s">
        <v>21</v>
      </c>
      <c r="N842" t="s">
        <v>1069</v>
      </c>
    </row>
    <row r="843" spans="1:14" x14ac:dyDescent="0.35">
      <c r="A843">
        <v>842</v>
      </c>
      <c r="B843" t="s">
        <v>884</v>
      </c>
      <c r="C843" t="s">
        <v>19</v>
      </c>
      <c r="D843" t="s">
        <v>48</v>
      </c>
      <c r="E843" t="s">
        <v>41</v>
      </c>
      <c r="F843">
        <v>2019</v>
      </c>
      <c r="G843">
        <v>75</v>
      </c>
      <c r="H843">
        <v>0.44</v>
      </c>
      <c r="I843">
        <v>0.17</v>
      </c>
      <c r="J843">
        <v>0.14000000000000001</v>
      </c>
      <c r="K843">
        <v>0.03</v>
      </c>
      <c r="L843">
        <v>0.1</v>
      </c>
      <c r="M843" t="s">
        <v>24</v>
      </c>
      <c r="N843" t="s">
        <v>1070</v>
      </c>
    </row>
    <row r="844" spans="1:14" x14ac:dyDescent="0.35">
      <c r="A844">
        <v>843</v>
      </c>
      <c r="B844" t="s">
        <v>885</v>
      </c>
      <c r="C844" t="s">
        <v>19</v>
      </c>
      <c r="D844" t="s">
        <v>65</v>
      </c>
      <c r="E844" t="s">
        <v>54</v>
      </c>
      <c r="F844">
        <v>2013</v>
      </c>
      <c r="G844">
        <v>95</v>
      </c>
      <c r="H844">
        <v>0.28999999999999998</v>
      </c>
      <c r="I844">
        <v>0.16</v>
      </c>
      <c r="J844">
        <v>0.09</v>
      </c>
      <c r="K844">
        <v>0.02</v>
      </c>
      <c r="L844">
        <v>0.02</v>
      </c>
      <c r="M844" t="s">
        <v>24</v>
      </c>
      <c r="N844" t="s">
        <v>1068</v>
      </c>
    </row>
    <row r="845" spans="1:14" x14ac:dyDescent="0.35">
      <c r="A845">
        <v>844</v>
      </c>
      <c r="B845" t="s">
        <v>886</v>
      </c>
      <c r="C845" t="s">
        <v>64</v>
      </c>
      <c r="D845" t="s">
        <v>45</v>
      </c>
      <c r="E845" t="s">
        <v>16</v>
      </c>
      <c r="F845">
        <v>2016</v>
      </c>
      <c r="G845">
        <v>68</v>
      </c>
      <c r="H845">
        <v>0.43</v>
      </c>
      <c r="I845">
        <v>0.21</v>
      </c>
      <c r="J845">
        <v>0.09</v>
      </c>
      <c r="K845">
        <v>0.03</v>
      </c>
      <c r="L845">
        <v>0.1</v>
      </c>
      <c r="M845" t="s">
        <v>24</v>
      </c>
      <c r="N845" t="s">
        <v>1071</v>
      </c>
    </row>
    <row r="846" spans="1:14" x14ac:dyDescent="0.35">
      <c r="A846">
        <v>845</v>
      </c>
      <c r="B846" t="s">
        <v>887</v>
      </c>
      <c r="C846" t="s">
        <v>19</v>
      </c>
      <c r="D846" t="s">
        <v>51</v>
      </c>
      <c r="E846" t="s">
        <v>16</v>
      </c>
      <c r="F846">
        <v>2014</v>
      </c>
      <c r="G846">
        <v>68</v>
      </c>
      <c r="H846">
        <v>1.1499999999999999</v>
      </c>
      <c r="I846">
        <v>0.59</v>
      </c>
      <c r="J846">
        <v>0.25</v>
      </c>
      <c r="K846">
        <v>0.21</v>
      </c>
      <c r="L846">
        <v>0.1</v>
      </c>
      <c r="M846" t="s">
        <v>17</v>
      </c>
      <c r="N846" t="s">
        <v>1071</v>
      </c>
    </row>
    <row r="847" spans="1:14" x14ac:dyDescent="0.35">
      <c r="A847">
        <v>846</v>
      </c>
      <c r="B847" t="s">
        <v>888</v>
      </c>
      <c r="C847" t="s">
        <v>14</v>
      </c>
      <c r="D847" t="s">
        <v>37</v>
      </c>
      <c r="E847" t="s">
        <v>52</v>
      </c>
      <c r="F847">
        <v>2010</v>
      </c>
      <c r="G847">
        <v>85</v>
      </c>
      <c r="H847">
        <v>0.52</v>
      </c>
      <c r="I847">
        <v>0.2</v>
      </c>
      <c r="J847">
        <v>0.16</v>
      </c>
      <c r="K847">
        <v>0.05</v>
      </c>
      <c r="L847">
        <v>0.11</v>
      </c>
      <c r="M847" t="s">
        <v>17</v>
      </c>
      <c r="N847" t="s">
        <v>1069</v>
      </c>
    </row>
    <row r="848" spans="1:14" x14ac:dyDescent="0.35">
      <c r="A848">
        <v>847</v>
      </c>
      <c r="B848" t="s">
        <v>889</v>
      </c>
      <c r="C848" t="s">
        <v>57</v>
      </c>
      <c r="D848" t="s">
        <v>45</v>
      </c>
      <c r="E848" t="s">
        <v>20</v>
      </c>
      <c r="F848">
        <v>2013</v>
      </c>
      <c r="G848">
        <v>67</v>
      </c>
      <c r="H848">
        <v>0.65</v>
      </c>
      <c r="I848">
        <v>0.34</v>
      </c>
      <c r="J848">
        <v>0.21</v>
      </c>
      <c r="K848">
        <v>0.1</v>
      </c>
      <c r="L848">
        <v>0</v>
      </c>
      <c r="M848" t="s">
        <v>17</v>
      </c>
      <c r="N848" t="s">
        <v>1071</v>
      </c>
    </row>
    <row r="849" spans="1:14" x14ac:dyDescent="0.35">
      <c r="A849">
        <v>848</v>
      </c>
      <c r="B849" t="s">
        <v>890</v>
      </c>
      <c r="C849" t="s">
        <v>57</v>
      </c>
      <c r="D849" t="s">
        <v>15</v>
      </c>
      <c r="E849" t="s">
        <v>54</v>
      </c>
      <c r="F849">
        <v>2009</v>
      </c>
      <c r="G849">
        <v>86</v>
      </c>
      <c r="H849">
        <v>1.63</v>
      </c>
      <c r="I849">
        <v>0.74</v>
      </c>
      <c r="J849">
        <v>0.33</v>
      </c>
      <c r="K849">
        <v>0.19</v>
      </c>
      <c r="L849">
        <v>0.37</v>
      </c>
      <c r="M849" t="s">
        <v>17</v>
      </c>
      <c r="N849" t="s">
        <v>1069</v>
      </c>
    </row>
    <row r="850" spans="1:14" x14ac:dyDescent="0.35">
      <c r="A850">
        <v>849</v>
      </c>
      <c r="B850" t="s">
        <v>891</v>
      </c>
      <c r="C850" t="s">
        <v>64</v>
      </c>
      <c r="D850" t="s">
        <v>62</v>
      </c>
      <c r="E850" t="s">
        <v>74</v>
      </c>
      <c r="F850">
        <v>2013</v>
      </c>
      <c r="G850">
        <v>68</v>
      </c>
      <c r="H850">
        <v>0.47</v>
      </c>
      <c r="I850">
        <v>0.23</v>
      </c>
      <c r="J850">
        <v>0.15</v>
      </c>
      <c r="K850">
        <v>7.0000000000000007E-2</v>
      </c>
      <c r="L850">
        <v>0.02</v>
      </c>
      <c r="M850" t="s">
        <v>24</v>
      </c>
      <c r="N850" t="s">
        <v>1071</v>
      </c>
    </row>
    <row r="851" spans="1:14" x14ac:dyDescent="0.35">
      <c r="A851">
        <v>850</v>
      </c>
      <c r="B851" t="s">
        <v>892</v>
      </c>
      <c r="C851" t="s">
        <v>31</v>
      </c>
      <c r="D851" t="s">
        <v>48</v>
      </c>
      <c r="E851" t="s">
        <v>52</v>
      </c>
      <c r="F851">
        <v>2002</v>
      </c>
      <c r="G851">
        <v>78</v>
      </c>
      <c r="H851">
        <v>2.27</v>
      </c>
      <c r="I851">
        <v>1.19</v>
      </c>
      <c r="J851">
        <v>0.69</v>
      </c>
      <c r="K851">
        <v>0.33</v>
      </c>
      <c r="L851">
        <v>0.06</v>
      </c>
      <c r="M851" t="s">
        <v>27</v>
      </c>
      <c r="N851" t="s">
        <v>1070</v>
      </c>
    </row>
    <row r="852" spans="1:14" x14ac:dyDescent="0.35">
      <c r="A852">
        <v>851</v>
      </c>
      <c r="B852" t="s">
        <v>893</v>
      </c>
      <c r="C852" t="s">
        <v>19</v>
      </c>
      <c r="D852" t="s">
        <v>45</v>
      </c>
      <c r="E852" t="s">
        <v>43</v>
      </c>
      <c r="F852">
        <v>2019</v>
      </c>
      <c r="G852">
        <v>82</v>
      </c>
      <c r="H852">
        <v>0.94</v>
      </c>
      <c r="I852">
        <v>0.35</v>
      </c>
      <c r="J852">
        <v>0.21</v>
      </c>
      <c r="K852">
        <v>0.11</v>
      </c>
      <c r="L852">
        <v>0.27</v>
      </c>
      <c r="M852" t="s">
        <v>17</v>
      </c>
      <c r="N852" t="s">
        <v>1069</v>
      </c>
    </row>
    <row r="853" spans="1:14" x14ac:dyDescent="0.35">
      <c r="A853">
        <v>852</v>
      </c>
      <c r="B853" t="s">
        <v>894</v>
      </c>
      <c r="C853" t="s">
        <v>31</v>
      </c>
      <c r="D853" t="s">
        <v>2</v>
      </c>
      <c r="E853" t="s">
        <v>54</v>
      </c>
      <c r="F853">
        <v>2004</v>
      </c>
      <c r="G853">
        <v>79</v>
      </c>
      <c r="H853">
        <v>0.25</v>
      </c>
      <c r="I853">
        <v>0.12</v>
      </c>
      <c r="J853">
        <v>7.0000000000000007E-2</v>
      </c>
      <c r="K853">
        <v>0.04</v>
      </c>
      <c r="L853">
        <v>0.02</v>
      </c>
      <c r="M853" t="s">
        <v>24</v>
      </c>
      <c r="N853" t="s">
        <v>1070</v>
      </c>
    </row>
    <row r="854" spans="1:14" x14ac:dyDescent="0.35">
      <c r="A854">
        <v>853</v>
      </c>
      <c r="B854" t="s">
        <v>895</v>
      </c>
      <c r="C854" t="s">
        <v>64</v>
      </c>
      <c r="D854" t="s">
        <v>33</v>
      </c>
      <c r="E854" t="s">
        <v>49</v>
      </c>
      <c r="F854">
        <v>2012</v>
      </c>
      <c r="G854">
        <v>94</v>
      </c>
      <c r="H854">
        <v>0.82</v>
      </c>
      <c r="I854">
        <v>0.38</v>
      </c>
      <c r="J854">
        <v>0.24</v>
      </c>
      <c r="K854">
        <v>0.1</v>
      </c>
      <c r="L854">
        <v>0.1</v>
      </c>
      <c r="M854" t="s">
        <v>17</v>
      </c>
      <c r="N854" t="s">
        <v>1068</v>
      </c>
    </row>
    <row r="855" spans="1:14" x14ac:dyDescent="0.35">
      <c r="A855">
        <v>854</v>
      </c>
      <c r="B855" t="s">
        <v>896</v>
      </c>
      <c r="C855" t="s">
        <v>64</v>
      </c>
      <c r="D855" t="s">
        <v>51</v>
      </c>
      <c r="E855" t="s">
        <v>41</v>
      </c>
      <c r="F855">
        <v>2011</v>
      </c>
      <c r="G855">
        <v>84</v>
      </c>
      <c r="H855">
        <v>0.32</v>
      </c>
      <c r="I855">
        <v>0.17</v>
      </c>
      <c r="J855">
        <v>0.11</v>
      </c>
      <c r="K855">
        <v>0.03</v>
      </c>
      <c r="L855">
        <v>0.01</v>
      </c>
      <c r="M855" t="s">
        <v>24</v>
      </c>
      <c r="N855" t="s">
        <v>1069</v>
      </c>
    </row>
    <row r="856" spans="1:14" x14ac:dyDescent="0.35">
      <c r="A856">
        <v>855</v>
      </c>
      <c r="B856" t="s">
        <v>897</v>
      </c>
      <c r="C856" t="s">
        <v>64</v>
      </c>
      <c r="D856" t="s">
        <v>45</v>
      </c>
      <c r="E856" t="s">
        <v>41</v>
      </c>
      <c r="F856">
        <v>2018</v>
      </c>
      <c r="G856">
        <v>69</v>
      </c>
      <c r="H856">
        <v>0.3</v>
      </c>
      <c r="I856">
        <v>0.14000000000000001</v>
      </c>
      <c r="J856">
        <v>7.0000000000000007E-2</v>
      </c>
      <c r="K856">
        <v>0.06</v>
      </c>
      <c r="L856">
        <v>0.03</v>
      </c>
      <c r="M856" t="s">
        <v>24</v>
      </c>
      <c r="N856" t="s">
        <v>1071</v>
      </c>
    </row>
    <row r="857" spans="1:14" x14ac:dyDescent="0.35">
      <c r="A857">
        <v>856</v>
      </c>
      <c r="B857" t="s">
        <v>898</v>
      </c>
      <c r="C857" t="s">
        <v>19</v>
      </c>
      <c r="D857" t="s">
        <v>15</v>
      </c>
      <c r="E857" t="s">
        <v>41</v>
      </c>
      <c r="F857">
        <v>2016</v>
      </c>
      <c r="G857">
        <v>56</v>
      </c>
      <c r="H857">
        <v>0.34</v>
      </c>
      <c r="I857">
        <v>0.17</v>
      </c>
      <c r="J857">
        <v>0.11</v>
      </c>
      <c r="K857">
        <v>0.05</v>
      </c>
      <c r="L857">
        <v>0.01</v>
      </c>
      <c r="M857" t="s">
        <v>24</v>
      </c>
      <c r="N857" t="s">
        <v>1071</v>
      </c>
    </row>
    <row r="858" spans="1:14" x14ac:dyDescent="0.35">
      <c r="A858">
        <v>857</v>
      </c>
      <c r="B858" t="s">
        <v>899</v>
      </c>
      <c r="C858" t="s">
        <v>14</v>
      </c>
      <c r="D858" t="s">
        <v>2</v>
      </c>
      <c r="E858" t="s">
        <v>41</v>
      </c>
      <c r="F858">
        <v>2008</v>
      </c>
      <c r="G858">
        <v>80</v>
      </c>
      <c r="H858">
        <v>0.16</v>
      </c>
      <c r="I858">
        <v>0.08</v>
      </c>
      <c r="J858">
        <v>0.05</v>
      </c>
      <c r="K858">
        <v>0.02</v>
      </c>
      <c r="L858">
        <v>0.01</v>
      </c>
      <c r="M858" t="s">
        <v>24</v>
      </c>
      <c r="N858" t="s">
        <v>1069</v>
      </c>
    </row>
    <row r="859" spans="1:14" x14ac:dyDescent="0.35">
      <c r="A859">
        <v>858</v>
      </c>
      <c r="B859" t="s">
        <v>900</v>
      </c>
      <c r="C859" t="s">
        <v>31</v>
      </c>
      <c r="D859" t="s">
        <v>45</v>
      </c>
      <c r="E859" t="s">
        <v>54</v>
      </c>
      <c r="F859">
        <v>2005</v>
      </c>
      <c r="G859">
        <v>88</v>
      </c>
      <c r="H859">
        <v>0.33</v>
      </c>
      <c r="I859">
        <v>0.16</v>
      </c>
      <c r="J859">
        <v>7.0000000000000007E-2</v>
      </c>
      <c r="K859">
        <v>0.02</v>
      </c>
      <c r="L859">
        <v>0.08</v>
      </c>
      <c r="M859" t="s">
        <v>24</v>
      </c>
      <c r="N859" t="s">
        <v>1069</v>
      </c>
    </row>
    <row r="860" spans="1:14" x14ac:dyDescent="0.35">
      <c r="A860">
        <v>859</v>
      </c>
      <c r="B860" t="s">
        <v>901</v>
      </c>
      <c r="C860" t="s">
        <v>23</v>
      </c>
      <c r="D860" t="s">
        <v>45</v>
      </c>
      <c r="E860" t="s">
        <v>46</v>
      </c>
      <c r="F860">
        <v>2026</v>
      </c>
      <c r="G860">
        <v>75</v>
      </c>
      <c r="H860">
        <v>0.44</v>
      </c>
      <c r="I860">
        <v>0.19</v>
      </c>
      <c r="J860">
        <v>0.13</v>
      </c>
      <c r="K860">
        <v>0.06</v>
      </c>
      <c r="L860">
        <v>0.06</v>
      </c>
      <c r="M860" t="s">
        <v>24</v>
      </c>
      <c r="N860" t="s">
        <v>1070</v>
      </c>
    </row>
    <row r="861" spans="1:14" x14ac:dyDescent="0.35">
      <c r="A861">
        <v>860</v>
      </c>
      <c r="B861" t="s">
        <v>902</v>
      </c>
      <c r="C861" t="s">
        <v>59</v>
      </c>
      <c r="D861" t="s">
        <v>65</v>
      </c>
      <c r="E861" t="s">
        <v>49</v>
      </c>
      <c r="F861">
        <v>1999</v>
      </c>
      <c r="G861">
        <v>56</v>
      </c>
      <c r="H861">
        <v>0.62</v>
      </c>
      <c r="I861">
        <v>0.27</v>
      </c>
      <c r="J861">
        <v>0.18</v>
      </c>
      <c r="K861">
        <v>0.06</v>
      </c>
      <c r="L861">
        <v>0.11</v>
      </c>
      <c r="M861" t="s">
        <v>17</v>
      </c>
      <c r="N861" t="s">
        <v>1071</v>
      </c>
    </row>
    <row r="862" spans="1:14" x14ac:dyDescent="0.35">
      <c r="A862">
        <v>861</v>
      </c>
      <c r="B862" t="s">
        <v>903</v>
      </c>
      <c r="C862" t="s">
        <v>31</v>
      </c>
      <c r="D862" t="s">
        <v>48</v>
      </c>
      <c r="E862" t="s">
        <v>46</v>
      </c>
      <c r="F862">
        <v>2005</v>
      </c>
      <c r="G862">
        <v>70</v>
      </c>
      <c r="H862">
        <v>4.0599999999999996</v>
      </c>
      <c r="I862">
        <v>1.73</v>
      </c>
      <c r="J862">
        <v>0.97</v>
      </c>
      <c r="K862">
        <v>0.23</v>
      </c>
      <c r="L862">
        <v>1.1299999999999999</v>
      </c>
      <c r="M862" t="s">
        <v>27</v>
      </c>
      <c r="N862" t="s">
        <v>1070</v>
      </c>
    </row>
    <row r="863" spans="1:14" x14ac:dyDescent="0.35">
      <c r="A863">
        <v>862</v>
      </c>
      <c r="B863" t="s">
        <v>904</v>
      </c>
      <c r="C863" t="s">
        <v>59</v>
      </c>
      <c r="D863" t="s">
        <v>15</v>
      </c>
      <c r="E863" t="s">
        <v>74</v>
      </c>
      <c r="F863">
        <v>1996</v>
      </c>
      <c r="G863">
        <v>84</v>
      </c>
      <c r="H863">
        <v>0.19</v>
      </c>
      <c r="I863">
        <v>7.0000000000000007E-2</v>
      </c>
      <c r="J863">
        <v>0.04</v>
      </c>
      <c r="K863">
        <v>0.03</v>
      </c>
      <c r="L863">
        <v>0.05</v>
      </c>
      <c r="M863" t="s">
        <v>24</v>
      </c>
      <c r="N863" t="s">
        <v>1069</v>
      </c>
    </row>
    <row r="864" spans="1:14" x14ac:dyDescent="0.35">
      <c r="A864">
        <v>863</v>
      </c>
      <c r="B864" t="s">
        <v>905</v>
      </c>
      <c r="C864" t="s">
        <v>64</v>
      </c>
      <c r="D864" t="s">
        <v>45</v>
      </c>
      <c r="E864" t="s">
        <v>49</v>
      </c>
      <c r="F864">
        <v>2014</v>
      </c>
      <c r="G864">
        <v>81</v>
      </c>
      <c r="H864">
        <v>0.22</v>
      </c>
      <c r="I864">
        <v>0.12</v>
      </c>
      <c r="J864">
        <v>7.0000000000000007E-2</v>
      </c>
      <c r="K864">
        <v>0.02</v>
      </c>
      <c r="L864">
        <v>0.01</v>
      </c>
      <c r="M864" t="s">
        <v>24</v>
      </c>
      <c r="N864" t="s">
        <v>1069</v>
      </c>
    </row>
    <row r="865" spans="1:14" x14ac:dyDescent="0.35">
      <c r="A865">
        <v>864</v>
      </c>
      <c r="B865" t="s">
        <v>906</v>
      </c>
      <c r="C865" t="s">
        <v>59</v>
      </c>
      <c r="D865" t="s">
        <v>2</v>
      </c>
      <c r="E865" t="s">
        <v>74</v>
      </c>
      <c r="F865">
        <v>1996</v>
      </c>
      <c r="G865">
        <v>76</v>
      </c>
      <c r="H865">
        <v>0.6</v>
      </c>
      <c r="I865">
        <v>0.23</v>
      </c>
      <c r="J865">
        <v>0.19</v>
      </c>
      <c r="K865">
        <v>0.11</v>
      </c>
      <c r="L865">
        <v>7.0000000000000007E-2</v>
      </c>
      <c r="M865" t="s">
        <v>17</v>
      </c>
      <c r="N865" t="s">
        <v>1070</v>
      </c>
    </row>
    <row r="866" spans="1:14" x14ac:dyDescent="0.35">
      <c r="A866">
        <v>865</v>
      </c>
      <c r="B866" t="s">
        <v>907</v>
      </c>
      <c r="C866" t="s">
        <v>31</v>
      </c>
      <c r="D866" t="s">
        <v>15</v>
      </c>
      <c r="E866" t="s">
        <v>60</v>
      </c>
      <c r="F866">
        <v>2004</v>
      </c>
      <c r="G866">
        <v>87</v>
      </c>
      <c r="H866">
        <v>1.1100000000000001</v>
      </c>
      <c r="I866">
        <v>0.47</v>
      </c>
      <c r="J866">
        <v>0.37</v>
      </c>
      <c r="K866">
        <v>0.06</v>
      </c>
      <c r="L866">
        <v>0.21</v>
      </c>
      <c r="M866" t="s">
        <v>17</v>
      </c>
      <c r="N866" t="s">
        <v>1069</v>
      </c>
    </row>
    <row r="867" spans="1:14" x14ac:dyDescent="0.35">
      <c r="A867">
        <v>866</v>
      </c>
      <c r="B867" t="s">
        <v>908</v>
      </c>
      <c r="C867" t="s">
        <v>31</v>
      </c>
      <c r="D867" t="s">
        <v>33</v>
      </c>
      <c r="E867" t="s">
        <v>54</v>
      </c>
      <c r="F867">
        <v>2001</v>
      </c>
      <c r="G867">
        <v>85</v>
      </c>
      <c r="H867">
        <v>0.4</v>
      </c>
      <c r="I867">
        <v>0.2</v>
      </c>
      <c r="J867">
        <v>0.12</v>
      </c>
      <c r="K867">
        <v>0.05</v>
      </c>
      <c r="L867">
        <v>0.03</v>
      </c>
      <c r="M867" t="s">
        <v>24</v>
      </c>
      <c r="N867" t="s">
        <v>1069</v>
      </c>
    </row>
    <row r="868" spans="1:14" x14ac:dyDescent="0.35">
      <c r="A868">
        <v>867</v>
      </c>
      <c r="B868" t="s">
        <v>909</v>
      </c>
      <c r="C868" t="s">
        <v>64</v>
      </c>
      <c r="D868" t="s">
        <v>45</v>
      </c>
      <c r="E868" t="s">
        <v>60</v>
      </c>
      <c r="F868">
        <v>2018</v>
      </c>
      <c r="G868">
        <v>71</v>
      </c>
      <c r="H868">
        <v>0.06</v>
      </c>
      <c r="I868">
        <v>0.03</v>
      </c>
      <c r="J868">
        <v>0.01</v>
      </c>
      <c r="K868">
        <v>0.01</v>
      </c>
      <c r="L868">
        <v>0.01</v>
      </c>
      <c r="M868" t="s">
        <v>24</v>
      </c>
      <c r="N868" t="s">
        <v>1070</v>
      </c>
    </row>
    <row r="869" spans="1:14" x14ac:dyDescent="0.35">
      <c r="A869">
        <v>868</v>
      </c>
      <c r="B869" t="s">
        <v>910</v>
      </c>
      <c r="C869" t="s">
        <v>23</v>
      </c>
      <c r="D869" t="s">
        <v>2</v>
      </c>
      <c r="E869" t="s">
        <v>46</v>
      </c>
      <c r="F869">
        <v>2026</v>
      </c>
      <c r="G869">
        <v>86</v>
      </c>
      <c r="H869">
        <v>0.61</v>
      </c>
      <c r="I869">
        <v>0.28999999999999998</v>
      </c>
      <c r="J869">
        <v>0.15</v>
      </c>
      <c r="K869">
        <v>0.06</v>
      </c>
      <c r="L869">
        <v>0.11</v>
      </c>
      <c r="M869" t="s">
        <v>17</v>
      </c>
      <c r="N869" t="s">
        <v>1069</v>
      </c>
    </row>
    <row r="870" spans="1:14" x14ac:dyDescent="0.35">
      <c r="A870">
        <v>869</v>
      </c>
      <c r="B870" t="s">
        <v>911</v>
      </c>
      <c r="C870" t="s">
        <v>59</v>
      </c>
      <c r="D870" t="s">
        <v>45</v>
      </c>
      <c r="E870" t="s">
        <v>41</v>
      </c>
      <c r="F870">
        <v>1999</v>
      </c>
      <c r="G870">
        <v>77</v>
      </c>
      <c r="H870">
        <v>0.24</v>
      </c>
      <c r="I870">
        <v>0.09</v>
      </c>
      <c r="J870">
        <v>0.05</v>
      </c>
      <c r="K870">
        <v>0.01</v>
      </c>
      <c r="L870">
        <v>0.09</v>
      </c>
      <c r="M870" t="s">
        <v>24</v>
      </c>
      <c r="N870" t="s">
        <v>1070</v>
      </c>
    </row>
    <row r="871" spans="1:14" x14ac:dyDescent="0.35">
      <c r="A871">
        <v>870</v>
      </c>
      <c r="B871" t="s">
        <v>912</v>
      </c>
      <c r="C871" t="s">
        <v>23</v>
      </c>
      <c r="D871" t="s">
        <v>2</v>
      </c>
      <c r="E871" t="s">
        <v>41</v>
      </c>
      <c r="F871">
        <v>2022</v>
      </c>
      <c r="G871">
        <v>96</v>
      </c>
      <c r="H871">
        <v>3.24</v>
      </c>
      <c r="I871">
        <v>1.39</v>
      </c>
      <c r="J871">
        <v>0.7</v>
      </c>
      <c r="K871">
        <v>0.56000000000000005</v>
      </c>
      <c r="L871">
        <v>0.59</v>
      </c>
      <c r="M871" t="s">
        <v>27</v>
      </c>
      <c r="N871" t="s">
        <v>1068</v>
      </c>
    </row>
    <row r="872" spans="1:14" x14ac:dyDescent="0.35">
      <c r="A872">
        <v>871</v>
      </c>
      <c r="B872" t="s">
        <v>913</v>
      </c>
      <c r="C872" t="s">
        <v>19</v>
      </c>
      <c r="D872" t="s">
        <v>29</v>
      </c>
      <c r="E872" t="s">
        <v>52</v>
      </c>
      <c r="F872">
        <v>2015</v>
      </c>
      <c r="G872">
        <v>97</v>
      </c>
      <c r="H872">
        <v>0.64</v>
      </c>
      <c r="I872">
        <v>0.26</v>
      </c>
      <c r="J872">
        <v>0.13</v>
      </c>
      <c r="K872">
        <v>0.1</v>
      </c>
      <c r="L872">
        <v>0.15</v>
      </c>
      <c r="M872" t="s">
        <v>17</v>
      </c>
      <c r="N872" t="s">
        <v>1068</v>
      </c>
    </row>
    <row r="873" spans="1:14" x14ac:dyDescent="0.35">
      <c r="A873">
        <v>872</v>
      </c>
      <c r="B873" t="s">
        <v>914</v>
      </c>
      <c r="C873" t="s">
        <v>57</v>
      </c>
      <c r="D873" t="s">
        <v>48</v>
      </c>
      <c r="E873" t="s">
        <v>16</v>
      </c>
      <c r="F873">
        <v>2009</v>
      </c>
      <c r="G873">
        <v>69</v>
      </c>
      <c r="H873">
        <v>0.56000000000000005</v>
      </c>
      <c r="I873">
        <v>0.26</v>
      </c>
      <c r="J873">
        <v>0.16</v>
      </c>
      <c r="K873">
        <v>0.04</v>
      </c>
      <c r="L873">
        <v>0.1</v>
      </c>
      <c r="M873" t="s">
        <v>17</v>
      </c>
      <c r="N873" t="s">
        <v>1071</v>
      </c>
    </row>
    <row r="874" spans="1:14" x14ac:dyDescent="0.35">
      <c r="A874">
        <v>873</v>
      </c>
      <c r="B874" t="s">
        <v>915</v>
      </c>
      <c r="C874" t="s">
        <v>14</v>
      </c>
      <c r="D874" t="s">
        <v>2</v>
      </c>
      <c r="E874" t="s">
        <v>41</v>
      </c>
      <c r="F874">
        <v>2007</v>
      </c>
      <c r="G874">
        <v>75</v>
      </c>
      <c r="H874">
        <v>0.57999999999999996</v>
      </c>
      <c r="I874">
        <v>0.23</v>
      </c>
      <c r="J874">
        <v>0.13</v>
      </c>
      <c r="K874">
        <v>7.0000000000000007E-2</v>
      </c>
      <c r="L874">
        <v>0.15</v>
      </c>
      <c r="M874" t="s">
        <v>17</v>
      </c>
      <c r="N874" t="s">
        <v>1070</v>
      </c>
    </row>
    <row r="875" spans="1:14" x14ac:dyDescent="0.35">
      <c r="A875">
        <v>874</v>
      </c>
      <c r="B875" t="s">
        <v>916</v>
      </c>
      <c r="C875" t="s">
        <v>23</v>
      </c>
      <c r="D875" t="s">
        <v>2</v>
      </c>
      <c r="E875" t="s">
        <v>41</v>
      </c>
      <c r="F875">
        <v>2022</v>
      </c>
      <c r="G875">
        <v>56</v>
      </c>
      <c r="H875">
        <v>0.3</v>
      </c>
      <c r="I875">
        <v>0.15</v>
      </c>
      <c r="J875">
        <v>0.1</v>
      </c>
      <c r="K875">
        <v>0.05</v>
      </c>
      <c r="L875">
        <v>0</v>
      </c>
      <c r="M875" t="s">
        <v>24</v>
      </c>
      <c r="N875" t="s">
        <v>1071</v>
      </c>
    </row>
    <row r="876" spans="1:14" x14ac:dyDescent="0.35">
      <c r="A876">
        <v>875</v>
      </c>
      <c r="B876" t="s">
        <v>917</v>
      </c>
      <c r="C876" t="s">
        <v>14</v>
      </c>
      <c r="D876" t="s">
        <v>45</v>
      </c>
      <c r="E876" t="s">
        <v>20</v>
      </c>
      <c r="F876">
        <v>2008</v>
      </c>
      <c r="G876">
        <v>57</v>
      </c>
      <c r="H876">
        <v>0.45</v>
      </c>
      <c r="I876">
        <v>0.19</v>
      </c>
      <c r="J876">
        <v>0.11</v>
      </c>
      <c r="K876">
        <v>0.04</v>
      </c>
      <c r="L876">
        <v>0.11</v>
      </c>
      <c r="M876" t="s">
        <v>24</v>
      </c>
      <c r="N876" t="s">
        <v>1071</v>
      </c>
    </row>
    <row r="877" spans="1:14" x14ac:dyDescent="0.35">
      <c r="A877">
        <v>876</v>
      </c>
      <c r="B877" t="s">
        <v>918</v>
      </c>
      <c r="C877" t="s">
        <v>14</v>
      </c>
      <c r="D877" t="s">
        <v>33</v>
      </c>
      <c r="E877" t="s">
        <v>60</v>
      </c>
      <c r="F877">
        <v>2012</v>
      </c>
      <c r="G877">
        <v>94</v>
      </c>
      <c r="H877">
        <v>0.22</v>
      </c>
      <c r="I877">
        <v>0.12</v>
      </c>
      <c r="J877">
        <v>0.06</v>
      </c>
      <c r="K877">
        <v>0.03</v>
      </c>
      <c r="L877">
        <v>0.01</v>
      </c>
      <c r="M877" t="s">
        <v>24</v>
      </c>
      <c r="N877" t="s">
        <v>1068</v>
      </c>
    </row>
    <row r="878" spans="1:14" x14ac:dyDescent="0.35">
      <c r="A878">
        <v>877</v>
      </c>
      <c r="B878" t="s">
        <v>919</v>
      </c>
      <c r="C878" t="s">
        <v>59</v>
      </c>
      <c r="D878" t="s">
        <v>2</v>
      </c>
      <c r="E878" t="s">
        <v>49</v>
      </c>
      <c r="F878">
        <v>1997</v>
      </c>
      <c r="G878">
        <v>58</v>
      </c>
      <c r="H878">
        <v>0.76</v>
      </c>
      <c r="I878">
        <v>0.4</v>
      </c>
      <c r="J878">
        <v>0.24</v>
      </c>
      <c r="K878">
        <v>0.12</v>
      </c>
      <c r="L878">
        <v>0</v>
      </c>
      <c r="M878" t="s">
        <v>17</v>
      </c>
      <c r="N878" t="s">
        <v>1071</v>
      </c>
    </row>
    <row r="879" spans="1:14" x14ac:dyDescent="0.35">
      <c r="A879">
        <v>878</v>
      </c>
      <c r="B879" t="s">
        <v>920</v>
      </c>
      <c r="C879" t="s">
        <v>31</v>
      </c>
      <c r="D879" t="s">
        <v>33</v>
      </c>
      <c r="E879" t="s">
        <v>52</v>
      </c>
      <c r="F879">
        <v>2001</v>
      </c>
      <c r="G879">
        <v>55</v>
      </c>
      <c r="H879">
        <v>0.12</v>
      </c>
      <c r="I879">
        <v>0.04</v>
      </c>
      <c r="J879">
        <v>0.04</v>
      </c>
      <c r="K879">
        <v>0.01</v>
      </c>
      <c r="L879">
        <v>0.03</v>
      </c>
      <c r="M879" t="s">
        <v>24</v>
      </c>
      <c r="N879" t="s">
        <v>1071</v>
      </c>
    </row>
    <row r="880" spans="1:14" x14ac:dyDescent="0.35">
      <c r="A880">
        <v>879</v>
      </c>
      <c r="B880" t="s">
        <v>921</v>
      </c>
      <c r="C880" t="s">
        <v>14</v>
      </c>
      <c r="D880" t="s">
        <v>51</v>
      </c>
      <c r="E880" t="s">
        <v>54</v>
      </c>
      <c r="F880">
        <v>2012</v>
      </c>
      <c r="G880">
        <v>84</v>
      </c>
      <c r="H880">
        <v>0.25</v>
      </c>
      <c r="I880">
        <v>0.09</v>
      </c>
      <c r="J880">
        <v>7.0000000000000007E-2</v>
      </c>
      <c r="K880">
        <v>0.04</v>
      </c>
      <c r="L880">
        <v>0.05</v>
      </c>
      <c r="M880" t="s">
        <v>24</v>
      </c>
      <c r="N880" t="s">
        <v>1069</v>
      </c>
    </row>
    <row r="881" spans="1:14" x14ac:dyDescent="0.35">
      <c r="A881">
        <v>880</v>
      </c>
      <c r="B881" t="s">
        <v>922</v>
      </c>
      <c r="C881" t="s">
        <v>19</v>
      </c>
      <c r="D881" t="s">
        <v>33</v>
      </c>
      <c r="E881" t="s">
        <v>60</v>
      </c>
      <c r="F881">
        <v>2020</v>
      </c>
      <c r="G881">
        <v>91</v>
      </c>
      <c r="H881">
        <v>0.76</v>
      </c>
      <c r="I881">
        <v>0.31</v>
      </c>
      <c r="J881">
        <v>0.24</v>
      </c>
      <c r="K881">
        <v>0.09</v>
      </c>
      <c r="L881">
        <v>0.12</v>
      </c>
      <c r="M881" t="s">
        <v>17</v>
      </c>
      <c r="N881" t="s">
        <v>1068</v>
      </c>
    </row>
    <row r="882" spans="1:14" x14ac:dyDescent="0.35">
      <c r="A882">
        <v>881</v>
      </c>
      <c r="B882" t="s">
        <v>923</v>
      </c>
      <c r="C882" t="s">
        <v>59</v>
      </c>
      <c r="D882" t="s">
        <v>51</v>
      </c>
      <c r="E882" t="s">
        <v>49</v>
      </c>
      <c r="F882">
        <v>1997</v>
      </c>
      <c r="G882">
        <v>70</v>
      </c>
      <c r="H882">
        <v>1.03</v>
      </c>
      <c r="I882">
        <v>0.4</v>
      </c>
      <c r="J882">
        <v>0.22</v>
      </c>
      <c r="K882">
        <v>0.2</v>
      </c>
      <c r="L882">
        <v>0.21</v>
      </c>
      <c r="M882" t="s">
        <v>17</v>
      </c>
      <c r="N882" t="s">
        <v>1070</v>
      </c>
    </row>
    <row r="883" spans="1:14" x14ac:dyDescent="0.35">
      <c r="A883">
        <v>882</v>
      </c>
      <c r="B883" t="s">
        <v>924</v>
      </c>
      <c r="C883" t="s">
        <v>59</v>
      </c>
      <c r="D883" t="s">
        <v>15</v>
      </c>
      <c r="E883" t="s">
        <v>52</v>
      </c>
      <c r="F883">
        <v>1996</v>
      </c>
      <c r="G883">
        <v>67</v>
      </c>
      <c r="H883">
        <v>0.39</v>
      </c>
      <c r="I883">
        <v>0.2</v>
      </c>
      <c r="J883">
        <v>0.12</v>
      </c>
      <c r="K883">
        <v>0.05</v>
      </c>
      <c r="L883">
        <v>0.02</v>
      </c>
      <c r="M883" t="s">
        <v>24</v>
      </c>
      <c r="N883" t="s">
        <v>1071</v>
      </c>
    </row>
    <row r="884" spans="1:14" x14ac:dyDescent="0.35">
      <c r="A884">
        <v>883</v>
      </c>
      <c r="B884" t="s">
        <v>925</v>
      </c>
      <c r="C884" t="s">
        <v>14</v>
      </c>
      <c r="D884" t="s">
        <v>62</v>
      </c>
      <c r="E884" t="s">
        <v>54</v>
      </c>
      <c r="F884">
        <v>2010</v>
      </c>
      <c r="G884">
        <v>63</v>
      </c>
      <c r="H884">
        <v>0.3</v>
      </c>
      <c r="I884">
        <v>0.16</v>
      </c>
      <c r="J884">
        <v>0.1</v>
      </c>
      <c r="K884">
        <v>0.04</v>
      </c>
      <c r="L884">
        <v>0</v>
      </c>
      <c r="M884" t="s">
        <v>24</v>
      </c>
      <c r="N884" t="s">
        <v>1071</v>
      </c>
    </row>
    <row r="885" spans="1:14" x14ac:dyDescent="0.35">
      <c r="A885">
        <v>884</v>
      </c>
      <c r="B885" t="s">
        <v>926</v>
      </c>
      <c r="C885" t="s">
        <v>64</v>
      </c>
      <c r="D885" t="s">
        <v>48</v>
      </c>
      <c r="E885" t="s">
        <v>49</v>
      </c>
      <c r="F885">
        <v>2017</v>
      </c>
      <c r="G885">
        <v>65</v>
      </c>
      <c r="H885">
        <v>0.34</v>
      </c>
      <c r="I885">
        <v>0.15</v>
      </c>
      <c r="J885">
        <v>7.0000000000000007E-2</v>
      </c>
      <c r="K885">
        <v>0.02</v>
      </c>
      <c r="L885">
        <v>0.1</v>
      </c>
      <c r="M885" t="s">
        <v>24</v>
      </c>
      <c r="N885" t="s">
        <v>1071</v>
      </c>
    </row>
    <row r="886" spans="1:14" x14ac:dyDescent="0.35">
      <c r="A886">
        <v>885</v>
      </c>
      <c r="B886" t="s">
        <v>927</v>
      </c>
      <c r="C886" t="s">
        <v>59</v>
      </c>
      <c r="D886" t="s">
        <v>37</v>
      </c>
      <c r="E886" t="s">
        <v>46</v>
      </c>
      <c r="F886">
        <v>1998</v>
      </c>
      <c r="G886">
        <v>97</v>
      </c>
      <c r="H886">
        <v>0.44</v>
      </c>
      <c r="I886">
        <v>0.16</v>
      </c>
      <c r="J886">
        <v>0.12</v>
      </c>
      <c r="K886">
        <v>0.05</v>
      </c>
      <c r="L886">
        <v>0.11</v>
      </c>
      <c r="M886" t="s">
        <v>24</v>
      </c>
      <c r="N886" t="s">
        <v>1068</v>
      </c>
    </row>
    <row r="887" spans="1:14" x14ac:dyDescent="0.35">
      <c r="A887">
        <v>886</v>
      </c>
      <c r="B887" t="s">
        <v>928</v>
      </c>
      <c r="C887" t="s">
        <v>31</v>
      </c>
      <c r="D887" t="s">
        <v>45</v>
      </c>
      <c r="E887" t="s">
        <v>60</v>
      </c>
      <c r="F887">
        <v>2001</v>
      </c>
      <c r="G887">
        <v>76</v>
      </c>
      <c r="H887">
        <v>0.26</v>
      </c>
      <c r="I887">
        <v>0.1</v>
      </c>
      <c r="J887">
        <v>0.08</v>
      </c>
      <c r="K887">
        <v>0.04</v>
      </c>
      <c r="L887">
        <v>0.04</v>
      </c>
      <c r="M887" t="s">
        <v>24</v>
      </c>
      <c r="N887" t="s">
        <v>1070</v>
      </c>
    </row>
    <row r="888" spans="1:14" x14ac:dyDescent="0.35">
      <c r="A888">
        <v>887</v>
      </c>
      <c r="B888" t="s">
        <v>929</v>
      </c>
      <c r="C888" t="s">
        <v>19</v>
      </c>
      <c r="D888" t="s">
        <v>51</v>
      </c>
      <c r="E888" t="s">
        <v>52</v>
      </c>
      <c r="F888">
        <v>2016</v>
      </c>
      <c r="G888">
        <v>93</v>
      </c>
      <c r="H888">
        <v>0.34</v>
      </c>
      <c r="I888">
        <v>0.15</v>
      </c>
      <c r="J888">
        <v>7.0000000000000007E-2</v>
      </c>
      <c r="K888">
        <v>0.02</v>
      </c>
      <c r="L888">
        <v>0.1</v>
      </c>
      <c r="M888" t="s">
        <v>24</v>
      </c>
      <c r="N888" t="s">
        <v>1068</v>
      </c>
    </row>
    <row r="889" spans="1:14" x14ac:dyDescent="0.35">
      <c r="A889">
        <v>888</v>
      </c>
      <c r="B889" t="s">
        <v>930</v>
      </c>
      <c r="C889" t="s">
        <v>31</v>
      </c>
      <c r="D889" t="s">
        <v>48</v>
      </c>
      <c r="E889" t="s">
        <v>49</v>
      </c>
      <c r="F889">
        <v>2000</v>
      </c>
      <c r="G889">
        <v>91</v>
      </c>
      <c r="H889">
        <v>0.45</v>
      </c>
      <c r="I889">
        <v>0.17</v>
      </c>
      <c r="J889">
        <v>0.11</v>
      </c>
      <c r="K889">
        <v>0.06</v>
      </c>
      <c r="L889">
        <v>0.11</v>
      </c>
      <c r="M889" t="s">
        <v>24</v>
      </c>
      <c r="N889" t="s">
        <v>1068</v>
      </c>
    </row>
    <row r="890" spans="1:14" x14ac:dyDescent="0.35">
      <c r="A890">
        <v>889</v>
      </c>
      <c r="B890" t="s">
        <v>931</v>
      </c>
      <c r="C890" t="s">
        <v>57</v>
      </c>
      <c r="D890" t="s">
        <v>45</v>
      </c>
      <c r="E890" t="s">
        <v>41</v>
      </c>
      <c r="F890">
        <v>2010</v>
      </c>
      <c r="G890">
        <v>72</v>
      </c>
      <c r="H890">
        <v>0.47</v>
      </c>
      <c r="I890">
        <v>0.18</v>
      </c>
      <c r="J890">
        <v>0.14000000000000001</v>
      </c>
      <c r="K890">
        <v>7.0000000000000007E-2</v>
      </c>
      <c r="L890">
        <v>0.08</v>
      </c>
      <c r="M890" t="s">
        <v>24</v>
      </c>
      <c r="N890" t="s">
        <v>1070</v>
      </c>
    </row>
    <row r="891" spans="1:14" x14ac:dyDescent="0.35">
      <c r="A891">
        <v>890</v>
      </c>
      <c r="B891" t="s">
        <v>932</v>
      </c>
      <c r="C891" t="s">
        <v>14</v>
      </c>
      <c r="D891" t="s">
        <v>33</v>
      </c>
      <c r="E891" t="s">
        <v>54</v>
      </c>
      <c r="F891">
        <v>2006</v>
      </c>
      <c r="G891">
        <v>85</v>
      </c>
      <c r="H891">
        <v>0.84</v>
      </c>
      <c r="I891">
        <v>0.41</v>
      </c>
      <c r="J891">
        <v>0.19</v>
      </c>
      <c r="K891">
        <v>0.08</v>
      </c>
      <c r="L891">
        <v>0.16</v>
      </c>
      <c r="M891" t="s">
        <v>17</v>
      </c>
      <c r="N891" t="s">
        <v>1069</v>
      </c>
    </row>
    <row r="892" spans="1:14" x14ac:dyDescent="0.35">
      <c r="A892">
        <v>891</v>
      </c>
      <c r="B892" t="s">
        <v>933</v>
      </c>
      <c r="C892" t="s">
        <v>19</v>
      </c>
      <c r="D892" t="s">
        <v>15</v>
      </c>
      <c r="E892" t="s">
        <v>16</v>
      </c>
      <c r="F892">
        <v>2015</v>
      </c>
      <c r="G892">
        <v>56</v>
      </c>
      <c r="H892">
        <v>0.41</v>
      </c>
      <c r="I892">
        <v>0.15</v>
      </c>
      <c r="J892">
        <v>0.12</v>
      </c>
      <c r="K892">
        <v>7.0000000000000007E-2</v>
      </c>
      <c r="L892">
        <v>7.0000000000000007E-2</v>
      </c>
      <c r="M892" t="s">
        <v>24</v>
      </c>
      <c r="N892" t="s">
        <v>1071</v>
      </c>
    </row>
    <row r="893" spans="1:14" x14ac:dyDescent="0.35">
      <c r="A893">
        <v>892</v>
      </c>
      <c r="B893" t="s">
        <v>934</v>
      </c>
      <c r="C893" t="s">
        <v>23</v>
      </c>
      <c r="D893" t="s">
        <v>62</v>
      </c>
      <c r="E893" t="s">
        <v>74</v>
      </c>
      <c r="F893">
        <v>2022</v>
      </c>
      <c r="G893">
        <v>70</v>
      </c>
      <c r="H893">
        <v>0.7</v>
      </c>
      <c r="I893">
        <v>0.25</v>
      </c>
      <c r="J893">
        <v>0.21</v>
      </c>
      <c r="K893">
        <v>7.0000000000000007E-2</v>
      </c>
      <c r="L893">
        <v>0.17</v>
      </c>
      <c r="M893" t="s">
        <v>17</v>
      </c>
      <c r="N893" t="s">
        <v>1070</v>
      </c>
    </row>
    <row r="894" spans="1:14" x14ac:dyDescent="0.35">
      <c r="A894">
        <v>893</v>
      </c>
      <c r="B894" t="s">
        <v>935</v>
      </c>
      <c r="C894" t="s">
        <v>31</v>
      </c>
      <c r="D894" t="s">
        <v>65</v>
      </c>
      <c r="E894" t="s">
        <v>54</v>
      </c>
      <c r="F894">
        <v>2004</v>
      </c>
      <c r="G894">
        <v>61</v>
      </c>
      <c r="H894">
        <v>0.21</v>
      </c>
      <c r="I894">
        <v>0.09</v>
      </c>
      <c r="J894">
        <v>7.0000000000000007E-2</v>
      </c>
      <c r="K894">
        <v>0.04</v>
      </c>
      <c r="L894">
        <v>0.01</v>
      </c>
      <c r="M894" t="s">
        <v>24</v>
      </c>
      <c r="N894" t="s">
        <v>1071</v>
      </c>
    </row>
    <row r="895" spans="1:14" x14ac:dyDescent="0.35">
      <c r="A895">
        <v>894</v>
      </c>
      <c r="B895" t="s">
        <v>936</v>
      </c>
      <c r="C895" t="s">
        <v>14</v>
      </c>
      <c r="D895" t="s">
        <v>51</v>
      </c>
      <c r="E895" t="s">
        <v>43</v>
      </c>
      <c r="F895">
        <v>2013</v>
      </c>
      <c r="G895">
        <v>77</v>
      </c>
      <c r="H895">
        <v>0.37</v>
      </c>
      <c r="I895">
        <v>0.17</v>
      </c>
      <c r="J895">
        <v>0.11</v>
      </c>
      <c r="K895">
        <v>7.0000000000000007E-2</v>
      </c>
      <c r="L895">
        <v>0.02</v>
      </c>
      <c r="M895" t="s">
        <v>24</v>
      </c>
      <c r="N895" t="s">
        <v>1070</v>
      </c>
    </row>
    <row r="896" spans="1:14" x14ac:dyDescent="0.35">
      <c r="A896">
        <v>895</v>
      </c>
      <c r="B896" t="s">
        <v>937</v>
      </c>
      <c r="C896" t="s">
        <v>64</v>
      </c>
      <c r="D896" t="s">
        <v>33</v>
      </c>
      <c r="E896" t="s">
        <v>46</v>
      </c>
      <c r="F896">
        <v>2018</v>
      </c>
      <c r="G896">
        <v>64</v>
      </c>
      <c r="H896">
        <v>0.39</v>
      </c>
      <c r="I896">
        <v>0.18</v>
      </c>
      <c r="J896">
        <v>0.09</v>
      </c>
      <c r="K896">
        <v>0.06</v>
      </c>
      <c r="L896">
        <v>0.06</v>
      </c>
      <c r="M896" t="s">
        <v>24</v>
      </c>
      <c r="N896" t="s">
        <v>1071</v>
      </c>
    </row>
    <row r="897" spans="1:14" x14ac:dyDescent="0.35">
      <c r="A897">
        <v>896</v>
      </c>
      <c r="B897" t="s">
        <v>938</v>
      </c>
      <c r="C897" t="s">
        <v>19</v>
      </c>
      <c r="D897" t="s">
        <v>48</v>
      </c>
      <c r="E897" t="s">
        <v>49</v>
      </c>
      <c r="F897">
        <v>2018</v>
      </c>
      <c r="G897">
        <v>95</v>
      </c>
      <c r="H897">
        <v>0.35</v>
      </c>
      <c r="I897">
        <v>0.17</v>
      </c>
      <c r="J897">
        <v>0.1</v>
      </c>
      <c r="K897">
        <v>7.0000000000000007E-2</v>
      </c>
      <c r="L897">
        <v>0.01</v>
      </c>
      <c r="M897" t="s">
        <v>24</v>
      </c>
      <c r="N897" t="s">
        <v>1068</v>
      </c>
    </row>
    <row r="898" spans="1:14" x14ac:dyDescent="0.35">
      <c r="A898">
        <v>897</v>
      </c>
      <c r="B898" t="s">
        <v>939</v>
      </c>
      <c r="C898" t="s">
        <v>23</v>
      </c>
      <c r="D898" t="s">
        <v>51</v>
      </c>
      <c r="E898" t="s">
        <v>43</v>
      </c>
      <c r="F898">
        <v>2021</v>
      </c>
      <c r="G898">
        <v>92</v>
      </c>
      <c r="H898">
        <v>0.54</v>
      </c>
      <c r="I898">
        <v>0.25</v>
      </c>
      <c r="J898">
        <v>0.14000000000000001</v>
      </c>
      <c r="K898">
        <v>0.08</v>
      </c>
      <c r="L898">
        <v>7.0000000000000007E-2</v>
      </c>
      <c r="M898" t="s">
        <v>17</v>
      </c>
      <c r="N898" t="s">
        <v>1068</v>
      </c>
    </row>
    <row r="899" spans="1:14" x14ac:dyDescent="0.35">
      <c r="A899">
        <v>898</v>
      </c>
      <c r="B899" t="s">
        <v>940</v>
      </c>
      <c r="C899" t="s">
        <v>19</v>
      </c>
      <c r="D899" t="s">
        <v>2</v>
      </c>
      <c r="E899" t="s">
        <v>43</v>
      </c>
      <c r="F899">
        <v>2020</v>
      </c>
      <c r="G899">
        <v>55</v>
      </c>
      <c r="H899">
        <v>0.81</v>
      </c>
      <c r="I899">
        <v>0.36</v>
      </c>
      <c r="J899">
        <v>0.18</v>
      </c>
      <c r="K899">
        <v>0.16</v>
      </c>
      <c r="L899">
        <v>0.11</v>
      </c>
      <c r="M899" t="s">
        <v>17</v>
      </c>
      <c r="N899" t="s">
        <v>1071</v>
      </c>
    </row>
    <row r="900" spans="1:14" x14ac:dyDescent="0.35">
      <c r="A900">
        <v>899</v>
      </c>
      <c r="B900" t="s">
        <v>941</v>
      </c>
      <c r="C900" t="s">
        <v>23</v>
      </c>
      <c r="D900" t="s">
        <v>37</v>
      </c>
      <c r="E900" t="s">
        <v>46</v>
      </c>
      <c r="F900">
        <v>2024</v>
      </c>
      <c r="G900">
        <v>59</v>
      </c>
      <c r="H900">
        <v>0.27</v>
      </c>
      <c r="I900">
        <v>0.13</v>
      </c>
      <c r="J900">
        <v>0.06</v>
      </c>
      <c r="K900">
        <v>0.03</v>
      </c>
      <c r="L900">
        <v>0.05</v>
      </c>
      <c r="M900" t="s">
        <v>24</v>
      </c>
      <c r="N900" t="s">
        <v>1071</v>
      </c>
    </row>
    <row r="901" spans="1:14" x14ac:dyDescent="0.35">
      <c r="A901">
        <v>900</v>
      </c>
      <c r="B901" t="s">
        <v>942</v>
      </c>
      <c r="C901" t="s">
        <v>19</v>
      </c>
      <c r="D901" t="s">
        <v>15</v>
      </c>
      <c r="E901" t="s">
        <v>20</v>
      </c>
      <c r="F901">
        <v>2018</v>
      </c>
      <c r="G901">
        <v>77</v>
      </c>
      <c r="H901">
        <v>0.87</v>
      </c>
      <c r="I901">
        <v>0.4</v>
      </c>
      <c r="J901">
        <v>0.3</v>
      </c>
      <c r="K901">
        <v>0.14000000000000001</v>
      </c>
      <c r="L901">
        <v>0.03</v>
      </c>
      <c r="M901" t="s">
        <v>17</v>
      </c>
      <c r="N901" t="s">
        <v>1070</v>
      </c>
    </row>
    <row r="902" spans="1:14" x14ac:dyDescent="0.35">
      <c r="A902">
        <v>901</v>
      </c>
      <c r="B902" t="s">
        <v>943</v>
      </c>
      <c r="C902" t="s">
        <v>31</v>
      </c>
      <c r="D902" t="s">
        <v>48</v>
      </c>
      <c r="E902" t="s">
        <v>41</v>
      </c>
      <c r="F902">
        <v>2005</v>
      </c>
      <c r="G902">
        <v>73</v>
      </c>
      <c r="H902">
        <v>0.28999999999999998</v>
      </c>
      <c r="I902">
        <v>0.12</v>
      </c>
      <c r="J902">
        <v>0.09</v>
      </c>
      <c r="K902">
        <v>0.04</v>
      </c>
      <c r="L902">
        <v>0.04</v>
      </c>
      <c r="M902" t="s">
        <v>24</v>
      </c>
      <c r="N902" t="s">
        <v>1070</v>
      </c>
    </row>
    <row r="903" spans="1:14" x14ac:dyDescent="0.35">
      <c r="A903">
        <v>902</v>
      </c>
      <c r="B903" t="s">
        <v>944</v>
      </c>
      <c r="C903" t="s">
        <v>19</v>
      </c>
      <c r="D903" t="s">
        <v>33</v>
      </c>
      <c r="E903" t="s">
        <v>46</v>
      </c>
      <c r="F903">
        <v>2019</v>
      </c>
      <c r="G903">
        <v>74</v>
      </c>
      <c r="H903">
        <v>0.33</v>
      </c>
      <c r="I903">
        <v>0.17</v>
      </c>
      <c r="J903">
        <v>0.11</v>
      </c>
      <c r="K903">
        <v>0.02</v>
      </c>
      <c r="L903">
        <v>0.03</v>
      </c>
      <c r="M903" t="s">
        <v>24</v>
      </c>
      <c r="N903" t="s">
        <v>1070</v>
      </c>
    </row>
    <row r="904" spans="1:14" x14ac:dyDescent="0.35">
      <c r="A904">
        <v>903</v>
      </c>
      <c r="B904" t="s">
        <v>945</v>
      </c>
      <c r="C904" t="s">
        <v>64</v>
      </c>
      <c r="D904" t="s">
        <v>51</v>
      </c>
      <c r="E904" t="s">
        <v>54</v>
      </c>
      <c r="F904">
        <v>2014</v>
      </c>
      <c r="G904">
        <v>67</v>
      </c>
      <c r="H904">
        <v>0.21</v>
      </c>
      <c r="I904">
        <v>0.1</v>
      </c>
      <c r="J904">
        <v>0.06</v>
      </c>
      <c r="K904">
        <v>0.03</v>
      </c>
      <c r="L904">
        <v>0.02</v>
      </c>
      <c r="M904" t="s">
        <v>24</v>
      </c>
      <c r="N904" t="s">
        <v>1071</v>
      </c>
    </row>
    <row r="905" spans="1:14" x14ac:dyDescent="0.35">
      <c r="A905">
        <v>904</v>
      </c>
      <c r="B905" t="s">
        <v>946</v>
      </c>
      <c r="C905" t="s">
        <v>19</v>
      </c>
      <c r="D905" t="s">
        <v>33</v>
      </c>
      <c r="E905" t="s">
        <v>54</v>
      </c>
      <c r="F905">
        <v>2019</v>
      </c>
      <c r="G905">
        <v>75</v>
      </c>
      <c r="H905">
        <v>0.83</v>
      </c>
      <c r="I905">
        <v>0.35</v>
      </c>
      <c r="J905">
        <v>0.21</v>
      </c>
      <c r="K905">
        <v>0.1</v>
      </c>
      <c r="L905">
        <v>0.17</v>
      </c>
      <c r="M905" t="s">
        <v>17</v>
      </c>
      <c r="N905" t="s">
        <v>1070</v>
      </c>
    </row>
    <row r="906" spans="1:14" x14ac:dyDescent="0.35">
      <c r="A906">
        <v>905</v>
      </c>
      <c r="B906" t="s">
        <v>947</v>
      </c>
      <c r="C906" t="s">
        <v>19</v>
      </c>
      <c r="D906" t="s">
        <v>15</v>
      </c>
      <c r="E906" t="s">
        <v>60</v>
      </c>
      <c r="F906">
        <v>2020</v>
      </c>
      <c r="G906">
        <v>60</v>
      </c>
      <c r="H906">
        <v>2.2599999999999998</v>
      </c>
      <c r="I906">
        <v>0.93</v>
      </c>
      <c r="J906">
        <v>0.53</v>
      </c>
      <c r="K906">
        <v>0.28999999999999998</v>
      </c>
      <c r="L906">
        <v>0.51</v>
      </c>
      <c r="M906" t="s">
        <v>27</v>
      </c>
      <c r="N906" t="s">
        <v>1071</v>
      </c>
    </row>
    <row r="907" spans="1:14" x14ac:dyDescent="0.35">
      <c r="A907">
        <v>906</v>
      </c>
      <c r="B907" t="s">
        <v>948</v>
      </c>
      <c r="C907" t="s">
        <v>31</v>
      </c>
      <c r="D907" t="s">
        <v>65</v>
      </c>
      <c r="E907" t="s">
        <v>74</v>
      </c>
      <c r="F907">
        <v>2004</v>
      </c>
      <c r="G907">
        <v>80</v>
      </c>
      <c r="H907">
        <v>0.12</v>
      </c>
      <c r="I907">
        <v>0.05</v>
      </c>
      <c r="J907">
        <v>0.04</v>
      </c>
      <c r="K907">
        <v>0.02</v>
      </c>
      <c r="L907">
        <v>0.01</v>
      </c>
      <c r="M907" t="s">
        <v>24</v>
      </c>
      <c r="N907" t="s">
        <v>1069</v>
      </c>
    </row>
    <row r="908" spans="1:14" x14ac:dyDescent="0.35">
      <c r="A908">
        <v>907</v>
      </c>
      <c r="B908" t="s">
        <v>949</v>
      </c>
      <c r="C908" t="s">
        <v>64</v>
      </c>
      <c r="D908" t="s">
        <v>33</v>
      </c>
      <c r="E908" t="s">
        <v>20</v>
      </c>
      <c r="F908">
        <v>2011</v>
      </c>
      <c r="G908">
        <v>76</v>
      </c>
      <c r="H908">
        <v>0.67</v>
      </c>
      <c r="I908">
        <v>0.31</v>
      </c>
      <c r="J908">
        <v>0.2</v>
      </c>
      <c r="K908">
        <v>0.12</v>
      </c>
      <c r="L908">
        <v>0.04</v>
      </c>
      <c r="M908" t="s">
        <v>17</v>
      </c>
      <c r="N908" t="s">
        <v>1070</v>
      </c>
    </row>
    <row r="909" spans="1:14" x14ac:dyDescent="0.35">
      <c r="A909">
        <v>908</v>
      </c>
      <c r="B909" t="s">
        <v>950</v>
      </c>
      <c r="C909" t="s">
        <v>59</v>
      </c>
      <c r="D909" t="s">
        <v>2</v>
      </c>
      <c r="E909" t="s">
        <v>60</v>
      </c>
      <c r="F909">
        <v>2000</v>
      </c>
      <c r="G909">
        <v>88</v>
      </c>
      <c r="H909">
        <v>0.4</v>
      </c>
      <c r="I909">
        <v>0.19</v>
      </c>
      <c r="J909">
        <v>0.13</v>
      </c>
      <c r="K909">
        <v>0.04</v>
      </c>
      <c r="L909">
        <v>0.04</v>
      </c>
      <c r="M909" t="s">
        <v>24</v>
      </c>
      <c r="N909" t="s">
        <v>1069</v>
      </c>
    </row>
    <row r="910" spans="1:14" x14ac:dyDescent="0.35">
      <c r="A910">
        <v>909</v>
      </c>
      <c r="B910" t="s">
        <v>951</v>
      </c>
      <c r="C910" t="s">
        <v>14</v>
      </c>
      <c r="D910" t="s">
        <v>62</v>
      </c>
      <c r="E910" t="s">
        <v>74</v>
      </c>
      <c r="F910">
        <v>2006</v>
      </c>
      <c r="G910">
        <v>59</v>
      </c>
      <c r="H910">
        <v>0.25</v>
      </c>
      <c r="I910">
        <v>0.13</v>
      </c>
      <c r="J910">
        <v>7.0000000000000007E-2</v>
      </c>
      <c r="K910">
        <v>0.01</v>
      </c>
      <c r="L910">
        <v>0.04</v>
      </c>
      <c r="M910" t="s">
        <v>24</v>
      </c>
      <c r="N910" t="s">
        <v>1071</v>
      </c>
    </row>
    <row r="911" spans="1:14" x14ac:dyDescent="0.35">
      <c r="A911">
        <v>910</v>
      </c>
      <c r="B911" t="s">
        <v>952</v>
      </c>
      <c r="C911" t="s">
        <v>59</v>
      </c>
      <c r="D911" t="s">
        <v>45</v>
      </c>
      <c r="E911" t="s">
        <v>16</v>
      </c>
      <c r="F911">
        <v>1997</v>
      </c>
      <c r="G911">
        <v>89</v>
      </c>
      <c r="H911">
        <v>0.16</v>
      </c>
      <c r="I911">
        <v>7.0000000000000007E-2</v>
      </c>
      <c r="J911">
        <v>0.05</v>
      </c>
      <c r="K911">
        <v>0.01</v>
      </c>
      <c r="L911">
        <v>0.03</v>
      </c>
      <c r="M911" t="s">
        <v>24</v>
      </c>
      <c r="N911" t="s">
        <v>1069</v>
      </c>
    </row>
    <row r="912" spans="1:14" x14ac:dyDescent="0.35">
      <c r="A912">
        <v>911</v>
      </c>
      <c r="B912" t="s">
        <v>953</v>
      </c>
      <c r="C912" t="s">
        <v>31</v>
      </c>
      <c r="D912" t="s">
        <v>15</v>
      </c>
      <c r="E912" t="s">
        <v>54</v>
      </c>
      <c r="F912">
        <v>2005</v>
      </c>
      <c r="G912">
        <v>65</v>
      </c>
      <c r="H912">
        <v>0.7</v>
      </c>
      <c r="I912">
        <v>0.27</v>
      </c>
      <c r="J912">
        <v>0.19</v>
      </c>
      <c r="K912">
        <v>7.0000000000000007E-2</v>
      </c>
      <c r="L912">
        <v>0.17</v>
      </c>
      <c r="M912" t="s">
        <v>17</v>
      </c>
      <c r="N912" t="s">
        <v>1071</v>
      </c>
    </row>
    <row r="913" spans="1:14" x14ac:dyDescent="0.35">
      <c r="A913">
        <v>912</v>
      </c>
      <c r="B913" t="s">
        <v>954</v>
      </c>
      <c r="C913" t="s">
        <v>59</v>
      </c>
      <c r="D913" t="s">
        <v>62</v>
      </c>
      <c r="E913" t="s">
        <v>43</v>
      </c>
      <c r="F913">
        <v>1999</v>
      </c>
      <c r="G913">
        <v>79</v>
      </c>
      <c r="H913">
        <v>0.56999999999999995</v>
      </c>
      <c r="I913">
        <v>0.25</v>
      </c>
      <c r="J913">
        <v>0.15</v>
      </c>
      <c r="K913">
        <v>0.03</v>
      </c>
      <c r="L913">
        <v>0.14000000000000001</v>
      </c>
      <c r="M913" t="s">
        <v>17</v>
      </c>
      <c r="N913" t="s">
        <v>1070</v>
      </c>
    </row>
    <row r="914" spans="1:14" x14ac:dyDescent="0.35">
      <c r="A914">
        <v>913</v>
      </c>
      <c r="B914" t="s">
        <v>955</v>
      </c>
      <c r="C914" t="s">
        <v>19</v>
      </c>
      <c r="D914" t="s">
        <v>2</v>
      </c>
      <c r="E914" t="s">
        <v>41</v>
      </c>
      <c r="F914">
        <v>2014</v>
      </c>
      <c r="G914">
        <v>74</v>
      </c>
      <c r="H914">
        <v>1.25</v>
      </c>
      <c r="I914">
        <v>0.66</v>
      </c>
      <c r="J914">
        <v>0.32</v>
      </c>
      <c r="K914">
        <v>0.09</v>
      </c>
      <c r="L914">
        <v>0.18</v>
      </c>
      <c r="M914" t="s">
        <v>17</v>
      </c>
      <c r="N914" t="s">
        <v>1070</v>
      </c>
    </row>
    <row r="915" spans="1:14" x14ac:dyDescent="0.35">
      <c r="A915">
        <v>914</v>
      </c>
      <c r="B915" t="s">
        <v>956</v>
      </c>
      <c r="C915" t="s">
        <v>57</v>
      </c>
      <c r="D915" t="s">
        <v>51</v>
      </c>
      <c r="E915" t="s">
        <v>20</v>
      </c>
      <c r="F915">
        <v>2011</v>
      </c>
      <c r="G915">
        <v>87</v>
      </c>
      <c r="H915">
        <v>1.45</v>
      </c>
      <c r="I915">
        <v>0.61</v>
      </c>
      <c r="J915">
        <v>0.44</v>
      </c>
      <c r="K915">
        <v>0.16</v>
      </c>
      <c r="L915">
        <v>0.24</v>
      </c>
      <c r="M915" t="s">
        <v>17</v>
      </c>
      <c r="N915" t="s">
        <v>1069</v>
      </c>
    </row>
    <row r="916" spans="1:14" x14ac:dyDescent="0.35">
      <c r="A916">
        <v>915</v>
      </c>
      <c r="B916" t="s">
        <v>957</v>
      </c>
      <c r="C916" t="s">
        <v>59</v>
      </c>
      <c r="D916" t="s">
        <v>37</v>
      </c>
      <c r="E916" t="s">
        <v>43</v>
      </c>
      <c r="F916">
        <v>1996</v>
      </c>
      <c r="G916">
        <v>84</v>
      </c>
      <c r="H916">
        <v>1.92</v>
      </c>
      <c r="I916">
        <v>0.78</v>
      </c>
      <c r="J916">
        <v>0.6</v>
      </c>
      <c r="K916">
        <v>0.18</v>
      </c>
      <c r="L916">
        <v>0.36</v>
      </c>
      <c r="M916" t="s">
        <v>17</v>
      </c>
      <c r="N916" t="s">
        <v>1069</v>
      </c>
    </row>
    <row r="917" spans="1:14" x14ac:dyDescent="0.35">
      <c r="A917">
        <v>916</v>
      </c>
      <c r="B917" t="s">
        <v>958</v>
      </c>
      <c r="C917" t="s">
        <v>19</v>
      </c>
      <c r="D917" t="s">
        <v>62</v>
      </c>
      <c r="E917" t="s">
        <v>41</v>
      </c>
      <c r="F917">
        <v>2014</v>
      </c>
      <c r="G917">
        <v>97</v>
      </c>
      <c r="H917">
        <v>0.15</v>
      </c>
      <c r="I917">
        <v>7.0000000000000007E-2</v>
      </c>
      <c r="J917">
        <v>0.04</v>
      </c>
      <c r="K917">
        <v>0.01</v>
      </c>
      <c r="L917">
        <v>0.03</v>
      </c>
      <c r="M917" t="s">
        <v>24</v>
      </c>
      <c r="N917" t="s">
        <v>1068</v>
      </c>
    </row>
    <row r="918" spans="1:14" x14ac:dyDescent="0.35">
      <c r="A918">
        <v>917</v>
      </c>
      <c r="B918" t="s">
        <v>959</v>
      </c>
      <c r="C918" t="s">
        <v>57</v>
      </c>
      <c r="D918" t="s">
        <v>2</v>
      </c>
      <c r="E918" t="s">
        <v>74</v>
      </c>
      <c r="F918">
        <v>2009</v>
      </c>
      <c r="G918">
        <v>94</v>
      </c>
      <c r="H918">
        <v>0.14000000000000001</v>
      </c>
      <c r="I918">
        <v>0.06</v>
      </c>
      <c r="J918">
        <v>0.04</v>
      </c>
      <c r="K918">
        <v>0.01</v>
      </c>
      <c r="L918">
        <v>0.03</v>
      </c>
      <c r="M918" t="s">
        <v>24</v>
      </c>
      <c r="N918" t="s">
        <v>1068</v>
      </c>
    </row>
    <row r="919" spans="1:14" x14ac:dyDescent="0.35">
      <c r="A919">
        <v>918</v>
      </c>
      <c r="B919" t="s">
        <v>960</v>
      </c>
      <c r="C919" t="s">
        <v>31</v>
      </c>
      <c r="D919" t="s">
        <v>48</v>
      </c>
      <c r="E919" t="s">
        <v>49</v>
      </c>
      <c r="F919">
        <v>2006</v>
      </c>
      <c r="G919">
        <v>81</v>
      </c>
      <c r="H919">
        <v>1.32</v>
      </c>
      <c r="I919">
        <v>0.56000000000000005</v>
      </c>
      <c r="J919">
        <v>0.39</v>
      </c>
      <c r="K919">
        <v>7.0000000000000007E-2</v>
      </c>
      <c r="L919">
        <v>0.3</v>
      </c>
      <c r="M919" t="s">
        <v>17</v>
      </c>
      <c r="N919" t="s">
        <v>1069</v>
      </c>
    </row>
    <row r="920" spans="1:14" x14ac:dyDescent="0.35">
      <c r="A920">
        <v>919</v>
      </c>
      <c r="B920" t="s">
        <v>961</v>
      </c>
      <c r="C920" t="s">
        <v>31</v>
      </c>
      <c r="D920" t="s">
        <v>33</v>
      </c>
      <c r="E920" t="s">
        <v>16</v>
      </c>
      <c r="F920">
        <v>2002</v>
      </c>
      <c r="G920">
        <v>95</v>
      </c>
      <c r="H920">
        <v>0.76</v>
      </c>
      <c r="I920">
        <v>0.3</v>
      </c>
      <c r="J920">
        <v>0.2</v>
      </c>
      <c r="K920">
        <v>7.0000000000000007E-2</v>
      </c>
      <c r="L920">
        <v>0.19</v>
      </c>
      <c r="M920" t="s">
        <v>17</v>
      </c>
      <c r="N920" t="s">
        <v>1068</v>
      </c>
    </row>
    <row r="921" spans="1:14" x14ac:dyDescent="0.35">
      <c r="A921">
        <v>920</v>
      </c>
      <c r="B921" t="s">
        <v>962</v>
      </c>
      <c r="C921" t="s">
        <v>31</v>
      </c>
      <c r="D921" t="s">
        <v>37</v>
      </c>
      <c r="E921" t="s">
        <v>41</v>
      </c>
      <c r="F921">
        <v>2005</v>
      </c>
      <c r="G921">
        <v>60</v>
      </c>
      <c r="H921">
        <v>0.93</v>
      </c>
      <c r="I921">
        <v>0.45</v>
      </c>
      <c r="J921">
        <v>0.21</v>
      </c>
      <c r="K921">
        <v>0.16</v>
      </c>
      <c r="L921">
        <v>0.11</v>
      </c>
      <c r="M921" t="s">
        <v>17</v>
      </c>
      <c r="N921" t="s">
        <v>1071</v>
      </c>
    </row>
    <row r="922" spans="1:14" x14ac:dyDescent="0.35">
      <c r="A922">
        <v>921</v>
      </c>
      <c r="B922" t="s">
        <v>963</v>
      </c>
      <c r="C922" t="s">
        <v>59</v>
      </c>
      <c r="D922" t="s">
        <v>45</v>
      </c>
      <c r="E922" t="s">
        <v>74</v>
      </c>
      <c r="F922">
        <v>1997</v>
      </c>
      <c r="G922">
        <v>76</v>
      </c>
      <c r="H922">
        <v>7.0000000000000007E-2</v>
      </c>
      <c r="I922">
        <v>0.04</v>
      </c>
      <c r="J922">
        <v>0.02</v>
      </c>
      <c r="K922">
        <v>0.01</v>
      </c>
      <c r="L922">
        <v>0</v>
      </c>
      <c r="M922" t="s">
        <v>24</v>
      </c>
      <c r="N922" t="s">
        <v>1070</v>
      </c>
    </row>
    <row r="923" spans="1:14" x14ac:dyDescent="0.35">
      <c r="A923">
        <v>922</v>
      </c>
      <c r="B923" t="s">
        <v>964</v>
      </c>
      <c r="C923" t="s">
        <v>64</v>
      </c>
      <c r="D923" t="s">
        <v>2</v>
      </c>
      <c r="E923" t="s">
        <v>16</v>
      </c>
      <c r="F923">
        <v>2014</v>
      </c>
      <c r="G923">
        <v>77</v>
      </c>
      <c r="H923">
        <v>0.45</v>
      </c>
      <c r="I923">
        <v>0.17</v>
      </c>
      <c r="J923">
        <v>0.09</v>
      </c>
      <c r="K923">
        <v>0.05</v>
      </c>
      <c r="L923">
        <v>0.14000000000000001</v>
      </c>
      <c r="M923" t="s">
        <v>24</v>
      </c>
      <c r="N923" t="s">
        <v>1070</v>
      </c>
    </row>
    <row r="924" spans="1:14" x14ac:dyDescent="0.35">
      <c r="A924">
        <v>923</v>
      </c>
      <c r="B924" t="s">
        <v>965</v>
      </c>
      <c r="C924" t="s">
        <v>19</v>
      </c>
      <c r="D924" t="s">
        <v>2</v>
      </c>
      <c r="E924" t="s">
        <v>49</v>
      </c>
      <c r="F924">
        <v>2014</v>
      </c>
      <c r="G924">
        <v>74</v>
      </c>
      <c r="H924">
        <v>0.24</v>
      </c>
      <c r="I924">
        <v>0.09</v>
      </c>
      <c r="J924">
        <v>7.0000000000000007E-2</v>
      </c>
      <c r="K924">
        <v>0.01</v>
      </c>
      <c r="L924">
        <v>7.0000000000000007E-2</v>
      </c>
      <c r="M924" t="s">
        <v>24</v>
      </c>
      <c r="N924" t="s">
        <v>1070</v>
      </c>
    </row>
    <row r="925" spans="1:14" x14ac:dyDescent="0.35">
      <c r="A925">
        <v>924</v>
      </c>
      <c r="B925" t="s">
        <v>966</v>
      </c>
      <c r="C925" t="s">
        <v>64</v>
      </c>
      <c r="D925" t="s">
        <v>51</v>
      </c>
      <c r="E925" t="s">
        <v>41</v>
      </c>
      <c r="F925">
        <v>2015</v>
      </c>
      <c r="G925">
        <v>65</v>
      </c>
      <c r="H925">
        <v>0.65</v>
      </c>
      <c r="I925">
        <v>0.35</v>
      </c>
      <c r="J925">
        <v>0.18</v>
      </c>
      <c r="K925">
        <v>7.0000000000000007E-2</v>
      </c>
      <c r="L925">
        <v>0.05</v>
      </c>
      <c r="M925" t="s">
        <v>17</v>
      </c>
      <c r="N925" t="s">
        <v>1071</v>
      </c>
    </row>
    <row r="926" spans="1:14" x14ac:dyDescent="0.35">
      <c r="A926">
        <v>925</v>
      </c>
      <c r="B926" t="s">
        <v>967</v>
      </c>
      <c r="C926" t="s">
        <v>59</v>
      </c>
      <c r="D926" t="s">
        <v>33</v>
      </c>
      <c r="E926" t="s">
        <v>74</v>
      </c>
      <c r="F926">
        <v>1999</v>
      </c>
      <c r="G926">
        <v>96</v>
      </c>
      <c r="H926">
        <v>0.14000000000000001</v>
      </c>
      <c r="I926">
        <v>0.06</v>
      </c>
      <c r="J926">
        <v>0.04</v>
      </c>
      <c r="K926">
        <v>0.02</v>
      </c>
      <c r="L926">
        <v>0.02</v>
      </c>
      <c r="M926" t="s">
        <v>24</v>
      </c>
      <c r="N926" t="s">
        <v>1068</v>
      </c>
    </row>
    <row r="927" spans="1:14" x14ac:dyDescent="0.35">
      <c r="A927">
        <v>926</v>
      </c>
      <c r="B927" t="s">
        <v>968</v>
      </c>
      <c r="C927" t="s">
        <v>31</v>
      </c>
      <c r="D927" t="s">
        <v>65</v>
      </c>
      <c r="E927" t="s">
        <v>43</v>
      </c>
      <c r="F927">
        <v>2001</v>
      </c>
      <c r="G927">
        <v>86</v>
      </c>
      <c r="H927">
        <v>0.98</v>
      </c>
      <c r="I927">
        <v>0.36</v>
      </c>
      <c r="J927">
        <v>0.28000000000000003</v>
      </c>
      <c r="K927">
        <v>0.19</v>
      </c>
      <c r="L927">
        <v>0.15</v>
      </c>
      <c r="M927" t="s">
        <v>17</v>
      </c>
      <c r="N927" t="s">
        <v>1069</v>
      </c>
    </row>
    <row r="928" spans="1:14" x14ac:dyDescent="0.35">
      <c r="A928">
        <v>927</v>
      </c>
      <c r="B928" t="s">
        <v>969</v>
      </c>
      <c r="C928" t="s">
        <v>14</v>
      </c>
      <c r="D928" t="s">
        <v>33</v>
      </c>
      <c r="E928" t="s">
        <v>20</v>
      </c>
      <c r="F928">
        <v>2006</v>
      </c>
      <c r="G928">
        <v>69</v>
      </c>
      <c r="H928">
        <v>0.89</v>
      </c>
      <c r="I928">
        <v>0.37</v>
      </c>
      <c r="J928">
        <v>0.28999999999999998</v>
      </c>
      <c r="K928">
        <v>0.17</v>
      </c>
      <c r="L928">
        <v>0.06</v>
      </c>
      <c r="M928" t="s">
        <v>17</v>
      </c>
      <c r="N928" t="s">
        <v>1071</v>
      </c>
    </row>
    <row r="929" spans="1:14" x14ac:dyDescent="0.35">
      <c r="A929">
        <v>928</v>
      </c>
      <c r="B929" t="s">
        <v>970</v>
      </c>
      <c r="C929" t="s">
        <v>59</v>
      </c>
      <c r="D929" t="s">
        <v>15</v>
      </c>
      <c r="E929" t="s">
        <v>52</v>
      </c>
      <c r="F929">
        <v>1995</v>
      </c>
      <c r="G929">
        <v>79</v>
      </c>
      <c r="H929">
        <v>1.18</v>
      </c>
      <c r="I929">
        <v>0.54</v>
      </c>
      <c r="J929">
        <v>0.25</v>
      </c>
      <c r="K929">
        <v>0.19</v>
      </c>
      <c r="L929">
        <v>0.2</v>
      </c>
      <c r="M929" t="s">
        <v>17</v>
      </c>
      <c r="N929" t="s">
        <v>1070</v>
      </c>
    </row>
    <row r="930" spans="1:14" x14ac:dyDescent="0.35">
      <c r="A930">
        <v>929</v>
      </c>
      <c r="B930" t="s">
        <v>971</v>
      </c>
      <c r="C930" t="s">
        <v>57</v>
      </c>
      <c r="D930" t="s">
        <v>45</v>
      </c>
      <c r="E930" t="s">
        <v>41</v>
      </c>
      <c r="F930">
        <v>2006</v>
      </c>
      <c r="G930">
        <v>62</v>
      </c>
      <c r="H930">
        <v>0.19</v>
      </c>
      <c r="I930">
        <v>0.1</v>
      </c>
      <c r="J930">
        <v>0.05</v>
      </c>
      <c r="K930">
        <v>0.02</v>
      </c>
      <c r="L930">
        <v>0.02</v>
      </c>
      <c r="M930" t="s">
        <v>24</v>
      </c>
      <c r="N930" t="s">
        <v>1071</v>
      </c>
    </row>
    <row r="931" spans="1:14" x14ac:dyDescent="0.35">
      <c r="A931">
        <v>930</v>
      </c>
      <c r="B931" t="s">
        <v>972</v>
      </c>
      <c r="C931" t="s">
        <v>19</v>
      </c>
      <c r="D931" t="s">
        <v>48</v>
      </c>
      <c r="E931" t="s">
        <v>52</v>
      </c>
      <c r="F931">
        <v>2013</v>
      </c>
      <c r="G931">
        <v>55</v>
      </c>
      <c r="H931">
        <v>0.15</v>
      </c>
      <c r="I931">
        <v>0.08</v>
      </c>
      <c r="J931">
        <v>0.05</v>
      </c>
      <c r="K931">
        <v>0.02</v>
      </c>
      <c r="L931">
        <v>0</v>
      </c>
      <c r="M931" t="s">
        <v>24</v>
      </c>
      <c r="N931" t="s">
        <v>1071</v>
      </c>
    </row>
    <row r="932" spans="1:14" x14ac:dyDescent="0.35">
      <c r="A932">
        <v>931</v>
      </c>
      <c r="B932" t="s">
        <v>973</v>
      </c>
      <c r="C932" t="s">
        <v>64</v>
      </c>
      <c r="D932" t="s">
        <v>48</v>
      </c>
      <c r="E932" t="s">
        <v>20</v>
      </c>
      <c r="F932">
        <v>2011</v>
      </c>
      <c r="G932">
        <v>63</v>
      </c>
      <c r="H932">
        <v>0.26</v>
      </c>
      <c r="I932">
        <v>0.11</v>
      </c>
      <c r="J932">
        <v>0.08</v>
      </c>
      <c r="K932">
        <v>0.05</v>
      </c>
      <c r="L932">
        <v>0.02</v>
      </c>
      <c r="M932" t="s">
        <v>24</v>
      </c>
      <c r="N932" t="s">
        <v>1071</v>
      </c>
    </row>
    <row r="933" spans="1:14" x14ac:dyDescent="0.35">
      <c r="A933">
        <v>932</v>
      </c>
      <c r="B933" t="s">
        <v>974</v>
      </c>
      <c r="C933" t="s">
        <v>14</v>
      </c>
      <c r="D933" t="s">
        <v>2</v>
      </c>
      <c r="E933" t="s">
        <v>41</v>
      </c>
      <c r="F933">
        <v>2008</v>
      </c>
      <c r="G933">
        <v>97</v>
      </c>
      <c r="H933">
        <v>0.25</v>
      </c>
      <c r="I933">
        <v>0.11</v>
      </c>
      <c r="J933">
        <v>7.0000000000000007E-2</v>
      </c>
      <c r="K933">
        <v>0.04</v>
      </c>
      <c r="L933">
        <v>0.03</v>
      </c>
      <c r="M933" t="s">
        <v>24</v>
      </c>
      <c r="N933" t="s">
        <v>1068</v>
      </c>
    </row>
    <row r="934" spans="1:14" x14ac:dyDescent="0.35">
      <c r="A934">
        <v>933</v>
      </c>
      <c r="B934" t="s">
        <v>975</v>
      </c>
      <c r="C934" t="s">
        <v>14</v>
      </c>
      <c r="D934" t="s">
        <v>62</v>
      </c>
      <c r="E934" t="s">
        <v>46</v>
      </c>
      <c r="F934">
        <v>2009</v>
      </c>
      <c r="G934">
        <v>73</v>
      </c>
      <c r="H934">
        <v>1.25</v>
      </c>
      <c r="I934">
        <v>0.66</v>
      </c>
      <c r="J934">
        <v>0.31</v>
      </c>
      <c r="K934">
        <v>0.16</v>
      </c>
      <c r="L934">
        <v>0.12</v>
      </c>
      <c r="M934" t="s">
        <v>17</v>
      </c>
      <c r="N934" t="s">
        <v>1070</v>
      </c>
    </row>
    <row r="935" spans="1:14" x14ac:dyDescent="0.35">
      <c r="A935">
        <v>934</v>
      </c>
      <c r="B935" t="s">
        <v>976</v>
      </c>
      <c r="C935" t="s">
        <v>59</v>
      </c>
      <c r="D935" t="s">
        <v>29</v>
      </c>
      <c r="E935" t="s">
        <v>41</v>
      </c>
      <c r="F935">
        <v>1995</v>
      </c>
      <c r="G935">
        <v>72</v>
      </c>
      <c r="H935">
        <v>1.22</v>
      </c>
      <c r="I935">
        <v>0.5</v>
      </c>
      <c r="J935">
        <v>0.35</v>
      </c>
      <c r="K935">
        <v>0.08</v>
      </c>
      <c r="L935">
        <v>0.28999999999999998</v>
      </c>
      <c r="M935" t="s">
        <v>17</v>
      </c>
      <c r="N935" t="s">
        <v>1070</v>
      </c>
    </row>
    <row r="936" spans="1:14" x14ac:dyDescent="0.35">
      <c r="A936">
        <v>935</v>
      </c>
      <c r="B936" t="s">
        <v>977</v>
      </c>
      <c r="C936" t="s">
        <v>57</v>
      </c>
      <c r="D936" t="s">
        <v>15</v>
      </c>
      <c r="E936" t="s">
        <v>52</v>
      </c>
      <c r="F936">
        <v>2006</v>
      </c>
      <c r="G936">
        <v>62</v>
      </c>
      <c r="H936">
        <v>0.2</v>
      </c>
      <c r="I936">
        <v>0.08</v>
      </c>
      <c r="J936">
        <v>7.0000000000000007E-2</v>
      </c>
      <c r="K936">
        <v>0.01</v>
      </c>
      <c r="L936">
        <v>0.04</v>
      </c>
      <c r="M936" t="s">
        <v>24</v>
      </c>
      <c r="N936" t="s">
        <v>1071</v>
      </c>
    </row>
    <row r="937" spans="1:14" x14ac:dyDescent="0.35">
      <c r="A937">
        <v>936</v>
      </c>
      <c r="B937" t="s">
        <v>978</v>
      </c>
      <c r="C937" t="s">
        <v>64</v>
      </c>
      <c r="D937" t="s">
        <v>62</v>
      </c>
      <c r="E937" t="s">
        <v>20</v>
      </c>
      <c r="F937">
        <v>2017</v>
      </c>
      <c r="G937">
        <v>83</v>
      </c>
      <c r="H937">
        <v>0.13</v>
      </c>
      <c r="I937">
        <v>0.05</v>
      </c>
      <c r="J937">
        <v>0.03</v>
      </c>
      <c r="K937">
        <v>0.02</v>
      </c>
      <c r="L937">
        <v>0.03</v>
      </c>
      <c r="M937" t="s">
        <v>24</v>
      </c>
      <c r="N937" t="s">
        <v>1069</v>
      </c>
    </row>
    <row r="938" spans="1:14" x14ac:dyDescent="0.35">
      <c r="A938">
        <v>937</v>
      </c>
      <c r="B938" t="s">
        <v>979</v>
      </c>
      <c r="C938" t="s">
        <v>14</v>
      </c>
      <c r="D938" t="s">
        <v>2</v>
      </c>
      <c r="E938" t="s">
        <v>43</v>
      </c>
      <c r="F938">
        <v>2006</v>
      </c>
      <c r="G938">
        <v>68</v>
      </c>
      <c r="H938">
        <v>1.08</v>
      </c>
      <c r="I938">
        <v>0.56000000000000005</v>
      </c>
      <c r="J938">
        <v>0.28999999999999998</v>
      </c>
      <c r="K938">
        <v>0.12</v>
      </c>
      <c r="L938">
        <v>0.11</v>
      </c>
      <c r="M938" t="s">
        <v>17</v>
      </c>
      <c r="N938" t="s">
        <v>1071</v>
      </c>
    </row>
    <row r="939" spans="1:14" x14ac:dyDescent="0.35">
      <c r="A939">
        <v>938</v>
      </c>
      <c r="B939" t="s">
        <v>980</v>
      </c>
      <c r="C939" t="s">
        <v>57</v>
      </c>
      <c r="D939" t="s">
        <v>33</v>
      </c>
      <c r="E939" t="s">
        <v>60</v>
      </c>
      <c r="F939">
        <v>2004</v>
      </c>
      <c r="G939">
        <v>89</v>
      </c>
      <c r="H939">
        <v>0.42</v>
      </c>
      <c r="I939">
        <v>0.19</v>
      </c>
      <c r="J939">
        <v>0.12</v>
      </c>
      <c r="K939">
        <v>0.03</v>
      </c>
      <c r="L939">
        <v>0.08</v>
      </c>
      <c r="M939" t="s">
        <v>24</v>
      </c>
      <c r="N939" t="s">
        <v>1069</v>
      </c>
    </row>
    <row r="940" spans="1:14" x14ac:dyDescent="0.35">
      <c r="A940">
        <v>939</v>
      </c>
      <c r="B940" t="s">
        <v>981</v>
      </c>
      <c r="C940" t="s">
        <v>19</v>
      </c>
      <c r="D940" t="s">
        <v>48</v>
      </c>
      <c r="E940" t="s">
        <v>54</v>
      </c>
      <c r="F940">
        <v>2020</v>
      </c>
      <c r="G940">
        <v>98</v>
      </c>
      <c r="H940">
        <v>0.35</v>
      </c>
      <c r="I940">
        <v>0.15</v>
      </c>
      <c r="J940">
        <v>0.09</v>
      </c>
      <c r="K940">
        <v>0.05</v>
      </c>
      <c r="L940">
        <v>0.06</v>
      </c>
      <c r="M940" t="s">
        <v>24</v>
      </c>
      <c r="N940" t="s">
        <v>1068</v>
      </c>
    </row>
    <row r="941" spans="1:14" x14ac:dyDescent="0.35">
      <c r="A941">
        <v>940</v>
      </c>
      <c r="B941" t="s">
        <v>982</v>
      </c>
      <c r="C941" t="s">
        <v>14</v>
      </c>
      <c r="D941" t="s">
        <v>51</v>
      </c>
      <c r="E941" t="s">
        <v>74</v>
      </c>
      <c r="F941">
        <v>2010</v>
      </c>
      <c r="G941">
        <v>74</v>
      </c>
      <c r="H941">
        <v>0.69</v>
      </c>
      <c r="I941">
        <v>0.28000000000000003</v>
      </c>
      <c r="J941">
        <v>0.16</v>
      </c>
      <c r="K941">
        <v>0.08</v>
      </c>
      <c r="L941">
        <v>0.17</v>
      </c>
      <c r="M941" t="s">
        <v>17</v>
      </c>
      <c r="N941" t="s">
        <v>1070</v>
      </c>
    </row>
    <row r="942" spans="1:14" x14ac:dyDescent="0.35">
      <c r="A942">
        <v>941</v>
      </c>
      <c r="B942" t="s">
        <v>983</v>
      </c>
      <c r="C942" t="s">
        <v>19</v>
      </c>
      <c r="D942" t="s">
        <v>62</v>
      </c>
      <c r="E942" t="s">
        <v>20</v>
      </c>
      <c r="F942">
        <v>2013</v>
      </c>
      <c r="G942">
        <v>95</v>
      </c>
      <c r="H942">
        <v>1.6</v>
      </c>
      <c r="I942">
        <v>0.57999999999999996</v>
      </c>
      <c r="J942">
        <v>0.55000000000000004</v>
      </c>
      <c r="K942">
        <v>0.15</v>
      </c>
      <c r="L942">
        <v>0.32</v>
      </c>
      <c r="M942" t="s">
        <v>17</v>
      </c>
      <c r="N942" t="s">
        <v>1068</v>
      </c>
    </row>
    <row r="943" spans="1:14" x14ac:dyDescent="0.35">
      <c r="A943">
        <v>942</v>
      </c>
      <c r="B943" t="s">
        <v>984</v>
      </c>
      <c r="C943" t="s">
        <v>23</v>
      </c>
      <c r="D943" t="s">
        <v>29</v>
      </c>
      <c r="E943" t="s">
        <v>49</v>
      </c>
      <c r="F943">
        <v>2024</v>
      </c>
      <c r="G943">
        <v>71</v>
      </c>
      <c r="H943">
        <v>1.3</v>
      </c>
      <c r="I943">
        <v>0.68</v>
      </c>
      <c r="J943">
        <v>0.28000000000000003</v>
      </c>
      <c r="K943">
        <v>0.19</v>
      </c>
      <c r="L943">
        <v>0.15</v>
      </c>
      <c r="M943" t="s">
        <v>17</v>
      </c>
      <c r="N943" t="s">
        <v>1070</v>
      </c>
    </row>
    <row r="944" spans="1:14" x14ac:dyDescent="0.35">
      <c r="A944">
        <v>943</v>
      </c>
      <c r="B944" t="s">
        <v>985</v>
      </c>
      <c r="C944" t="s">
        <v>31</v>
      </c>
      <c r="D944" t="s">
        <v>2</v>
      </c>
      <c r="E944" t="s">
        <v>20</v>
      </c>
      <c r="F944">
        <v>2006</v>
      </c>
      <c r="G944">
        <v>96</v>
      </c>
      <c r="H944">
        <v>2.5</v>
      </c>
      <c r="I944">
        <v>0.9</v>
      </c>
      <c r="J944">
        <v>0.77</v>
      </c>
      <c r="K944">
        <v>0.15</v>
      </c>
      <c r="L944">
        <v>0.68</v>
      </c>
      <c r="M944" t="s">
        <v>27</v>
      </c>
      <c r="N944" t="s">
        <v>1068</v>
      </c>
    </row>
    <row r="945" spans="1:14" x14ac:dyDescent="0.35">
      <c r="A945">
        <v>944</v>
      </c>
      <c r="B945" t="s">
        <v>986</v>
      </c>
      <c r="C945" t="s">
        <v>57</v>
      </c>
      <c r="D945" t="s">
        <v>51</v>
      </c>
      <c r="E945" t="s">
        <v>20</v>
      </c>
      <c r="F945">
        <v>2008</v>
      </c>
      <c r="G945">
        <v>57</v>
      </c>
      <c r="H945">
        <v>0.61</v>
      </c>
      <c r="I945">
        <v>0.22</v>
      </c>
      <c r="J945">
        <v>0.16</v>
      </c>
      <c r="K945">
        <v>0.08</v>
      </c>
      <c r="L945">
        <v>0.15</v>
      </c>
      <c r="M945" t="s">
        <v>17</v>
      </c>
      <c r="N945" t="s">
        <v>1071</v>
      </c>
    </row>
    <row r="946" spans="1:14" x14ac:dyDescent="0.35">
      <c r="A946">
        <v>945</v>
      </c>
      <c r="B946" t="s">
        <v>987</v>
      </c>
      <c r="C946" t="s">
        <v>31</v>
      </c>
      <c r="D946" t="s">
        <v>29</v>
      </c>
      <c r="E946" t="s">
        <v>74</v>
      </c>
      <c r="F946">
        <v>2001</v>
      </c>
      <c r="G946">
        <v>59</v>
      </c>
      <c r="H946">
        <v>3.87</v>
      </c>
      <c r="I946">
        <v>1.47</v>
      </c>
      <c r="J946">
        <v>0.96</v>
      </c>
      <c r="K946">
        <v>0.65</v>
      </c>
      <c r="L946">
        <v>0.79</v>
      </c>
      <c r="M946" t="s">
        <v>27</v>
      </c>
      <c r="N946" t="s">
        <v>1071</v>
      </c>
    </row>
    <row r="947" spans="1:14" x14ac:dyDescent="0.35">
      <c r="A947">
        <v>946</v>
      </c>
      <c r="B947" t="s">
        <v>988</v>
      </c>
      <c r="C947" t="s">
        <v>14</v>
      </c>
      <c r="D947" t="s">
        <v>29</v>
      </c>
      <c r="E947" t="s">
        <v>16</v>
      </c>
      <c r="F947">
        <v>2012</v>
      </c>
      <c r="G947">
        <v>56</v>
      </c>
      <c r="H947">
        <v>1.56</v>
      </c>
      <c r="I947">
        <v>0.79</v>
      </c>
      <c r="J947">
        <v>0.43</v>
      </c>
      <c r="K947">
        <v>0.21</v>
      </c>
      <c r="L947">
        <v>0.13</v>
      </c>
      <c r="M947" t="s">
        <v>17</v>
      </c>
      <c r="N947" t="s">
        <v>1071</v>
      </c>
    </row>
    <row r="948" spans="1:14" x14ac:dyDescent="0.35">
      <c r="A948">
        <v>947</v>
      </c>
      <c r="B948" t="s">
        <v>989</v>
      </c>
      <c r="C948" t="s">
        <v>14</v>
      </c>
      <c r="D948" t="s">
        <v>45</v>
      </c>
      <c r="E948" t="s">
        <v>74</v>
      </c>
      <c r="F948">
        <v>2009</v>
      </c>
      <c r="G948">
        <v>79</v>
      </c>
      <c r="H948">
        <v>2.02</v>
      </c>
      <c r="I948">
        <v>1.01</v>
      </c>
      <c r="J948">
        <v>0.64</v>
      </c>
      <c r="K948">
        <v>0.37</v>
      </c>
      <c r="L948">
        <v>0</v>
      </c>
      <c r="M948" t="s">
        <v>27</v>
      </c>
      <c r="N948" t="s">
        <v>1070</v>
      </c>
    </row>
    <row r="949" spans="1:14" x14ac:dyDescent="0.35">
      <c r="A949">
        <v>948</v>
      </c>
      <c r="B949" t="s">
        <v>990</v>
      </c>
      <c r="C949" t="s">
        <v>23</v>
      </c>
      <c r="D949" t="s">
        <v>2</v>
      </c>
      <c r="E949" t="s">
        <v>60</v>
      </c>
      <c r="F949">
        <v>2024</v>
      </c>
      <c r="G949">
        <v>62</v>
      </c>
      <c r="H949">
        <v>2.2999999999999998</v>
      </c>
      <c r="I949">
        <v>0.83</v>
      </c>
      <c r="J949">
        <v>0.62</v>
      </c>
      <c r="K949">
        <v>0.3</v>
      </c>
      <c r="L949">
        <v>0.55000000000000004</v>
      </c>
      <c r="M949" t="s">
        <v>27</v>
      </c>
      <c r="N949" t="s">
        <v>1071</v>
      </c>
    </row>
    <row r="950" spans="1:14" x14ac:dyDescent="0.35">
      <c r="A950">
        <v>949</v>
      </c>
      <c r="B950" t="s">
        <v>991</v>
      </c>
      <c r="C950" t="s">
        <v>19</v>
      </c>
      <c r="D950" t="s">
        <v>51</v>
      </c>
      <c r="E950" t="s">
        <v>52</v>
      </c>
      <c r="F950">
        <v>2018</v>
      </c>
      <c r="G950">
        <v>70</v>
      </c>
      <c r="H950">
        <v>0.22</v>
      </c>
      <c r="I950">
        <v>0.12</v>
      </c>
      <c r="J950">
        <v>0.05</v>
      </c>
      <c r="K950">
        <v>0.02</v>
      </c>
      <c r="L950">
        <v>0.03</v>
      </c>
      <c r="M950" t="s">
        <v>24</v>
      </c>
      <c r="N950" t="s">
        <v>1070</v>
      </c>
    </row>
    <row r="951" spans="1:14" x14ac:dyDescent="0.35">
      <c r="A951">
        <v>950</v>
      </c>
      <c r="B951" t="s">
        <v>992</v>
      </c>
      <c r="C951" t="s">
        <v>59</v>
      </c>
      <c r="D951" t="s">
        <v>48</v>
      </c>
      <c r="E951" t="s">
        <v>16</v>
      </c>
      <c r="F951">
        <v>2000</v>
      </c>
      <c r="G951">
        <v>60</v>
      </c>
      <c r="H951">
        <v>0.26</v>
      </c>
      <c r="I951">
        <v>0.14000000000000001</v>
      </c>
      <c r="J951">
        <v>0.08</v>
      </c>
      <c r="K951">
        <v>0.04</v>
      </c>
      <c r="L951">
        <v>0</v>
      </c>
      <c r="M951" t="s">
        <v>24</v>
      </c>
      <c r="N951" t="s">
        <v>1071</v>
      </c>
    </row>
    <row r="952" spans="1:14" x14ac:dyDescent="0.35">
      <c r="A952">
        <v>951</v>
      </c>
      <c r="B952" t="s">
        <v>993</v>
      </c>
      <c r="C952" t="s">
        <v>19</v>
      </c>
      <c r="D952" t="s">
        <v>48</v>
      </c>
      <c r="E952" t="s">
        <v>74</v>
      </c>
      <c r="F952">
        <v>2019</v>
      </c>
      <c r="G952">
        <v>70</v>
      </c>
      <c r="H952">
        <v>1.67</v>
      </c>
      <c r="I952">
        <v>0.78</v>
      </c>
      <c r="J952">
        <v>0.37</v>
      </c>
      <c r="K952">
        <v>0.15</v>
      </c>
      <c r="L952">
        <v>0.37</v>
      </c>
      <c r="M952" t="s">
        <v>17</v>
      </c>
      <c r="N952" t="s">
        <v>1070</v>
      </c>
    </row>
    <row r="953" spans="1:14" x14ac:dyDescent="0.35">
      <c r="A953">
        <v>952</v>
      </c>
      <c r="B953" t="s">
        <v>994</v>
      </c>
      <c r="C953" t="s">
        <v>14</v>
      </c>
      <c r="D953" t="s">
        <v>29</v>
      </c>
      <c r="E953" t="s">
        <v>49</v>
      </c>
      <c r="F953">
        <v>2011</v>
      </c>
      <c r="G953">
        <v>81</v>
      </c>
      <c r="H953">
        <v>0.59</v>
      </c>
      <c r="I953">
        <v>0.26</v>
      </c>
      <c r="J953">
        <v>0.2</v>
      </c>
      <c r="K953">
        <v>0.05</v>
      </c>
      <c r="L953">
        <v>0.08</v>
      </c>
      <c r="M953" t="s">
        <v>17</v>
      </c>
      <c r="N953" t="s">
        <v>1069</v>
      </c>
    </row>
    <row r="954" spans="1:14" x14ac:dyDescent="0.35">
      <c r="A954">
        <v>953</v>
      </c>
      <c r="B954" t="s">
        <v>995</v>
      </c>
      <c r="C954" t="s">
        <v>31</v>
      </c>
      <c r="D954" t="s">
        <v>15</v>
      </c>
      <c r="E954" t="s">
        <v>54</v>
      </c>
      <c r="F954">
        <v>2003</v>
      </c>
      <c r="G954">
        <v>71</v>
      </c>
      <c r="H954">
        <v>2.74</v>
      </c>
      <c r="I954">
        <v>1.22</v>
      </c>
      <c r="J954">
        <v>0.59</v>
      </c>
      <c r="K954">
        <v>0.49</v>
      </c>
      <c r="L954">
        <v>0.44</v>
      </c>
      <c r="M954" t="s">
        <v>27</v>
      </c>
      <c r="N954" t="s">
        <v>1070</v>
      </c>
    </row>
    <row r="955" spans="1:14" x14ac:dyDescent="0.35">
      <c r="A955">
        <v>954</v>
      </c>
      <c r="B955" t="s">
        <v>996</v>
      </c>
      <c r="C955" t="s">
        <v>64</v>
      </c>
      <c r="D955" t="s">
        <v>15</v>
      </c>
      <c r="E955" t="s">
        <v>54</v>
      </c>
      <c r="F955">
        <v>2017</v>
      </c>
      <c r="G955">
        <v>87</v>
      </c>
      <c r="H955">
        <v>0.77</v>
      </c>
      <c r="I955">
        <v>0.33</v>
      </c>
      <c r="J955">
        <v>0.22</v>
      </c>
      <c r="K955">
        <v>0.12</v>
      </c>
      <c r="L955">
        <v>0.1</v>
      </c>
      <c r="M955" t="s">
        <v>17</v>
      </c>
      <c r="N955" t="s">
        <v>1069</v>
      </c>
    </row>
    <row r="956" spans="1:14" x14ac:dyDescent="0.35">
      <c r="A956">
        <v>955</v>
      </c>
      <c r="B956" t="s">
        <v>997</v>
      </c>
      <c r="C956" t="s">
        <v>59</v>
      </c>
      <c r="D956" t="s">
        <v>29</v>
      </c>
      <c r="E956" t="s">
        <v>74</v>
      </c>
      <c r="F956">
        <v>1997</v>
      </c>
      <c r="G956">
        <v>61</v>
      </c>
      <c r="H956">
        <v>0.72</v>
      </c>
      <c r="I956">
        <v>0.32</v>
      </c>
      <c r="J956">
        <v>0.19</v>
      </c>
      <c r="K956">
        <v>0.08</v>
      </c>
      <c r="L956">
        <v>0.13</v>
      </c>
      <c r="M956" t="s">
        <v>17</v>
      </c>
      <c r="N956" t="s">
        <v>1071</v>
      </c>
    </row>
    <row r="957" spans="1:14" x14ac:dyDescent="0.35">
      <c r="A957">
        <v>956</v>
      </c>
      <c r="B957" t="s">
        <v>998</v>
      </c>
      <c r="C957" t="s">
        <v>64</v>
      </c>
      <c r="D957" t="s">
        <v>51</v>
      </c>
      <c r="E957" t="s">
        <v>16</v>
      </c>
      <c r="F957">
        <v>2017</v>
      </c>
      <c r="G957">
        <v>92</v>
      </c>
      <c r="H957">
        <v>0.37</v>
      </c>
      <c r="I957">
        <v>0.18</v>
      </c>
      <c r="J957">
        <v>0.1</v>
      </c>
      <c r="K957">
        <v>0.04</v>
      </c>
      <c r="L957">
        <v>0.05</v>
      </c>
      <c r="M957" t="s">
        <v>24</v>
      </c>
      <c r="N957" t="s">
        <v>1068</v>
      </c>
    </row>
    <row r="958" spans="1:14" x14ac:dyDescent="0.35">
      <c r="A958">
        <v>957</v>
      </c>
      <c r="B958" t="s">
        <v>999</v>
      </c>
      <c r="C958" t="s">
        <v>23</v>
      </c>
      <c r="D958" t="s">
        <v>2</v>
      </c>
      <c r="E958" t="s">
        <v>46</v>
      </c>
      <c r="F958">
        <v>2025</v>
      </c>
      <c r="G958">
        <v>74</v>
      </c>
      <c r="H958">
        <v>0.73</v>
      </c>
      <c r="I958">
        <v>0.33</v>
      </c>
      <c r="J958">
        <v>0.2</v>
      </c>
      <c r="K958">
        <v>0.09</v>
      </c>
      <c r="L958">
        <v>0.11</v>
      </c>
      <c r="M958" t="s">
        <v>17</v>
      </c>
      <c r="N958" t="s">
        <v>1070</v>
      </c>
    </row>
    <row r="959" spans="1:14" x14ac:dyDescent="0.35">
      <c r="A959">
        <v>958</v>
      </c>
      <c r="B959" t="s">
        <v>1000</v>
      </c>
      <c r="C959" t="s">
        <v>19</v>
      </c>
      <c r="D959" t="s">
        <v>29</v>
      </c>
      <c r="E959" t="s">
        <v>41</v>
      </c>
      <c r="F959">
        <v>2017</v>
      </c>
      <c r="G959">
        <v>64</v>
      </c>
      <c r="H959">
        <v>0.7</v>
      </c>
      <c r="I959">
        <v>0.37</v>
      </c>
      <c r="J959">
        <v>0.17</v>
      </c>
      <c r="K959">
        <v>7.0000000000000007E-2</v>
      </c>
      <c r="L959">
        <v>0.09</v>
      </c>
      <c r="M959" t="s">
        <v>17</v>
      </c>
      <c r="N959" t="s">
        <v>1071</v>
      </c>
    </row>
    <row r="960" spans="1:14" x14ac:dyDescent="0.35">
      <c r="A960">
        <v>959</v>
      </c>
      <c r="B960" t="s">
        <v>1001</v>
      </c>
      <c r="C960" t="s">
        <v>31</v>
      </c>
      <c r="D960" t="s">
        <v>51</v>
      </c>
      <c r="E960" t="s">
        <v>46</v>
      </c>
      <c r="F960">
        <v>2000</v>
      </c>
      <c r="G960">
        <v>69</v>
      </c>
      <c r="H960">
        <v>1.6</v>
      </c>
      <c r="I960">
        <v>0.82</v>
      </c>
      <c r="J960">
        <v>0.53</v>
      </c>
      <c r="K960">
        <v>0.25</v>
      </c>
      <c r="L960">
        <v>0</v>
      </c>
      <c r="M960" t="s">
        <v>17</v>
      </c>
      <c r="N960" t="s">
        <v>1071</v>
      </c>
    </row>
    <row r="961" spans="1:14" x14ac:dyDescent="0.35">
      <c r="A961">
        <v>960</v>
      </c>
      <c r="B961" t="s">
        <v>1002</v>
      </c>
      <c r="C961" t="s">
        <v>31</v>
      </c>
      <c r="D961" t="s">
        <v>51</v>
      </c>
      <c r="E961" t="s">
        <v>54</v>
      </c>
      <c r="F961">
        <v>2005</v>
      </c>
      <c r="G961">
        <v>90</v>
      </c>
      <c r="H961">
        <v>5.6</v>
      </c>
      <c r="I961">
        <v>1.99</v>
      </c>
      <c r="J961">
        <v>1.88</v>
      </c>
      <c r="K961">
        <v>1.0900000000000001</v>
      </c>
      <c r="L961">
        <v>0.64</v>
      </c>
      <c r="M961" t="s">
        <v>21</v>
      </c>
      <c r="N961" t="s">
        <v>1068</v>
      </c>
    </row>
    <row r="962" spans="1:14" x14ac:dyDescent="0.35">
      <c r="A962">
        <v>961</v>
      </c>
      <c r="B962" t="s">
        <v>1003</v>
      </c>
      <c r="C962" t="s">
        <v>23</v>
      </c>
      <c r="D962" t="s">
        <v>48</v>
      </c>
      <c r="E962" t="s">
        <v>20</v>
      </c>
      <c r="F962">
        <v>2024</v>
      </c>
      <c r="G962">
        <v>78</v>
      </c>
      <c r="H962">
        <v>1.1100000000000001</v>
      </c>
      <c r="I962">
        <v>0.5</v>
      </c>
      <c r="J962">
        <v>0.36</v>
      </c>
      <c r="K962">
        <v>0.1</v>
      </c>
      <c r="L962">
        <v>0.15</v>
      </c>
      <c r="M962" t="s">
        <v>17</v>
      </c>
      <c r="N962" t="s">
        <v>1070</v>
      </c>
    </row>
    <row r="963" spans="1:14" x14ac:dyDescent="0.35">
      <c r="A963">
        <v>962</v>
      </c>
      <c r="B963" t="s">
        <v>1004</v>
      </c>
      <c r="C963" t="s">
        <v>59</v>
      </c>
      <c r="D963" t="s">
        <v>33</v>
      </c>
      <c r="E963" t="s">
        <v>16</v>
      </c>
      <c r="F963">
        <v>2000</v>
      </c>
      <c r="G963">
        <v>71</v>
      </c>
      <c r="H963">
        <v>0.14000000000000001</v>
      </c>
      <c r="I963">
        <v>0.08</v>
      </c>
      <c r="J963">
        <v>0.04</v>
      </c>
      <c r="K963">
        <v>0.02</v>
      </c>
      <c r="L963">
        <v>0</v>
      </c>
      <c r="M963" t="s">
        <v>24</v>
      </c>
      <c r="N963" t="s">
        <v>1070</v>
      </c>
    </row>
    <row r="964" spans="1:14" x14ac:dyDescent="0.35">
      <c r="A964">
        <v>963</v>
      </c>
      <c r="B964" t="s">
        <v>1005</v>
      </c>
      <c r="C964" t="s">
        <v>31</v>
      </c>
      <c r="D964" t="s">
        <v>33</v>
      </c>
      <c r="E964" t="s">
        <v>43</v>
      </c>
      <c r="F964">
        <v>2005</v>
      </c>
      <c r="G964">
        <v>76</v>
      </c>
      <c r="H964">
        <v>0.26</v>
      </c>
      <c r="I964">
        <v>0.12</v>
      </c>
      <c r="J964">
        <v>0.08</v>
      </c>
      <c r="K964">
        <v>0.04</v>
      </c>
      <c r="L964">
        <v>0.02</v>
      </c>
      <c r="M964" t="s">
        <v>24</v>
      </c>
      <c r="N964" t="s">
        <v>1070</v>
      </c>
    </row>
    <row r="965" spans="1:14" x14ac:dyDescent="0.35">
      <c r="A965">
        <v>964</v>
      </c>
      <c r="B965" t="s">
        <v>1006</v>
      </c>
      <c r="C965" t="s">
        <v>14</v>
      </c>
      <c r="D965" t="s">
        <v>45</v>
      </c>
      <c r="E965" t="s">
        <v>49</v>
      </c>
      <c r="F965">
        <v>2006</v>
      </c>
      <c r="G965">
        <v>67</v>
      </c>
      <c r="H965">
        <v>2.79</v>
      </c>
      <c r="I965">
        <v>1.47</v>
      </c>
      <c r="J965">
        <v>0.56999999999999995</v>
      </c>
      <c r="K965">
        <v>0.41</v>
      </c>
      <c r="L965">
        <v>0.34</v>
      </c>
      <c r="M965" t="s">
        <v>27</v>
      </c>
      <c r="N965" t="s">
        <v>1071</v>
      </c>
    </row>
    <row r="966" spans="1:14" x14ac:dyDescent="0.35">
      <c r="A966">
        <v>965</v>
      </c>
      <c r="B966" t="s">
        <v>1007</v>
      </c>
      <c r="C966" t="s">
        <v>59</v>
      </c>
      <c r="D966" t="s">
        <v>37</v>
      </c>
      <c r="E966" t="s">
        <v>74</v>
      </c>
      <c r="F966">
        <v>1996</v>
      </c>
      <c r="G966">
        <v>98</v>
      </c>
      <c r="H966">
        <v>0.17</v>
      </c>
      <c r="I966">
        <v>0.08</v>
      </c>
      <c r="J966">
        <v>0.04</v>
      </c>
      <c r="K966">
        <v>0.02</v>
      </c>
      <c r="L966">
        <v>0.03</v>
      </c>
      <c r="M966" t="s">
        <v>24</v>
      </c>
      <c r="N966" t="s">
        <v>1068</v>
      </c>
    </row>
    <row r="967" spans="1:14" x14ac:dyDescent="0.35">
      <c r="A967">
        <v>966</v>
      </c>
      <c r="B967" t="s">
        <v>1008</v>
      </c>
      <c r="C967" t="s">
        <v>31</v>
      </c>
      <c r="D967" t="s">
        <v>33</v>
      </c>
      <c r="E967" t="s">
        <v>60</v>
      </c>
      <c r="F967">
        <v>2001</v>
      </c>
      <c r="G967">
        <v>82</v>
      </c>
      <c r="H967">
        <v>0.15</v>
      </c>
      <c r="I967">
        <v>0.06</v>
      </c>
      <c r="J967">
        <v>0.03</v>
      </c>
      <c r="K967">
        <v>0.02</v>
      </c>
      <c r="L967">
        <v>0.04</v>
      </c>
      <c r="M967" t="s">
        <v>24</v>
      </c>
      <c r="N967" t="s">
        <v>1069</v>
      </c>
    </row>
    <row r="968" spans="1:14" x14ac:dyDescent="0.35">
      <c r="A968">
        <v>967</v>
      </c>
      <c r="B968" t="s">
        <v>1009</v>
      </c>
      <c r="C968" t="s">
        <v>14</v>
      </c>
      <c r="D968" t="s">
        <v>2</v>
      </c>
      <c r="E968" t="s">
        <v>52</v>
      </c>
      <c r="F968">
        <v>2012</v>
      </c>
      <c r="G968">
        <v>88</v>
      </c>
      <c r="H968">
        <v>0.79</v>
      </c>
      <c r="I968">
        <v>0.32</v>
      </c>
      <c r="J968">
        <v>0.19</v>
      </c>
      <c r="K968">
        <v>7.0000000000000007E-2</v>
      </c>
      <c r="L968">
        <v>0.21</v>
      </c>
      <c r="M968" t="s">
        <v>17</v>
      </c>
      <c r="N968" t="s">
        <v>1069</v>
      </c>
    </row>
    <row r="969" spans="1:14" x14ac:dyDescent="0.35">
      <c r="A969">
        <v>968</v>
      </c>
      <c r="B969" t="s">
        <v>1010</v>
      </c>
      <c r="C969" t="s">
        <v>19</v>
      </c>
      <c r="D969" t="s">
        <v>45</v>
      </c>
      <c r="E969" t="s">
        <v>74</v>
      </c>
      <c r="F969">
        <v>2020</v>
      </c>
      <c r="G969">
        <v>85</v>
      </c>
      <c r="H969">
        <v>0.56000000000000005</v>
      </c>
      <c r="I969">
        <v>0.28999999999999998</v>
      </c>
      <c r="J969">
        <v>0.18</v>
      </c>
      <c r="K969">
        <v>0.09</v>
      </c>
      <c r="L969">
        <v>0</v>
      </c>
      <c r="M969" t="s">
        <v>17</v>
      </c>
      <c r="N969" t="s">
        <v>1069</v>
      </c>
    </row>
    <row r="970" spans="1:14" x14ac:dyDescent="0.35">
      <c r="A970">
        <v>969</v>
      </c>
      <c r="B970" t="s">
        <v>1011</v>
      </c>
      <c r="C970" t="s">
        <v>19</v>
      </c>
      <c r="D970" t="s">
        <v>29</v>
      </c>
      <c r="E970" t="s">
        <v>52</v>
      </c>
      <c r="F970">
        <v>2020</v>
      </c>
      <c r="G970">
        <v>66</v>
      </c>
      <c r="H970">
        <v>0.75</v>
      </c>
      <c r="I970">
        <v>0.28000000000000003</v>
      </c>
      <c r="J970">
        <v>0.23</v>
      </c>
      <c r="K970">
        <v>0.12</v>
      </c>
      <c r="L970">
        <v>0.12</v>
      </c>
      <c r="M970" t="s">
        <v>17</v>
      </c>
      <c r="N970" t="s">
        <v>1071</v>
      </c>
    </row>
    <row r="971" spans="1:14" x14ac:dyDescent="0.35">
      <c r="A971">
        <v>970</v>
      </c>
      <c r="B971" t="s">
        <v>1012</v>
      </c>
      <c r="C971" t="s">
        <v>64</v>
      </c>
      <c r="D971" t="s">
        <v>62</v>
      </c>
      <c r="E971" t="s">
        <v>74</v>
      </c>
      <c r="F971">
        <v>2018</v>
      </c>
      <c r="G971">
        <v>56</v>
      </c>
      <c r="H971">
        <v>0.15</v>
      </c>
      <c r="I971">
        <v>0.08</v>
      </c>
      <c r="J971">
        <v>0.05</v>
      </c>
      <c r="K971">
        <v>0.01</v>
      </c>
      <c r="L971">
        <v>0.01</v>
      </c>
      <c r="M971" t="s">
        <v>24</v>
      </c>
      <c r="N971" t="s">
        <v>1071</v>
      </c>
    </row>
    <row r="972" spans="1:14" x14ac:dyDescent="0.35">
      <c r="A972">
        <v>971</v>
      </c>
      <c r="B972" t="s">
        <v>1013</v>
      </c>
      <c r="C972" t="s">
        <v>64</v>
      </c>
      <c r="D972" t="s">
        <v>51</v>
      </c>
      <c r="E972" t="s">
        <v>43</v>
      </c>
      <c r="F972">
        <v>2016</v>
      </c>
      <c r="G972">
        <v>83</v>
      </c>
      <c r="H972">
        <v>0.25</v>
      </c>
      <c r="I972">
        <v>0.09</v>
      </c>
      <c r="J972">
        <v>7.0000000000000007E-2</v>
      </c>
      <c r="K972">
        <v>0.02</v>
      </c>
      <c r="L972">
        <v>7.0000000000000007E-2</v>
      </c>
      <c r="M972" t="s">
        <v>24</v>
      </c>
      <c r="N972" t="s">
        <v>1069</v>
      </c>
    </row>
    <row r="973" spans="1:14" x14ac:dyDescent="0.35">
      <c r="A973">
        <v>972</v>
      </c>
      <c r="B973" t="s">
        <v>1014</v>
      </c>
      <c r="C973" t="s">
        <v>57</v>
      </c>
      <c r="D973" t="s">
        <v>51</v>
      </c>
      <c r="E973" t="s">
        <v>16</v>
      </c>
      <c r="F973">
        <v>2004</v>
      </c>
      <c r="G973">
        <v>91</v>
      </c>
      <c r="H973">
        <v>1.67</v>
      </c>
      <c r="I973">
        <v>0.84</v>
      </c>
      <c r="J973">
        <v>0.36</v>
      </c>
      <c r="K973">
        <v>0.33</v>
      </c>
      <c r="L973">
        <v>0.14000000000000001</v>
      </c>
      <c r="M973" t="s">
        <v>17</v>
      </c>
      <c r="N973" t="s">
        <v>1068</v>
      </c>
    </row>
    <row r="974" spans="1:14" x14ac:dyDescent="0.35">
      <c r="A974">
        <v>973</v>
      </c>
      <c r="B974" t="s">
        <v>1015</v>
      </c>
      <c r="C974" t="s">
        <v>23</v>
      </c>
      <c r="D974" t="s">
        <v>37</v>
      </c>
      <c r="E974" t="s">
        <v>74</v>
      </c>
      <c r="F974">
        <v>2022</v>
      </c>
      <c r="G974">
        <v>56</v>
      </c>
      <c r="H974">
        <v>1.23</v>
      </c>
      <c r="I974">
        <v>0.6</v>
      </c>
      <c r="J974">
        <v>0.41</v>
      </c>
      <c r="K974">
        <v>0.2</v>
      </c>
      <c r="L974">
        <v>0.02</v>
      </c>
      <c r="M974" t="s">
        <v>17</v>
      </c>
      <c r="N974" t="s">
        <v>1071</v>
      </c>
    </row>
    <row r="975" spans="1:14" x14ac:dyDescent="0.35">
      <c r="A975">
        <v>974</v>
      </c>
      <c r="B975" t="s">
        <v>1016</v>
      </c>
      <c r="C975" t="s">
        <v>23</v>
      </c>
      <c r="D975" t="s">
        <v>15</v>
      </c>
      <c r="E975" t="s">
        <v>60</v>
      </c>
      <c r="F975">
        <v>2020</v>
      </c>
      <c r="G975">
        <v>89</v>
      </c>
      <c r="H975">
        <v>0.42</v>
      </c>
      <c r="I975">
        <v>0.19</v>
      </c>
      <c r="J975">
        <v>0.14000000000000001</v>
      </c>
      <c r="K975">
        <v>0.04</v>
      </c>
      <c r="L975">
        <v>0.05</v>
      </c>
      <c r="M975" t="s">
        <v>24</v>
      </c>
      <c r="N975" t="s">
        <v>1069</v>
      </c>
    </row>
    <row r="976" spans="1:14" x14ac:dyDescent="0.35">
      <c r="A976">
        <v>975</v>
      </c>
      <c r="B976" t="s">
        <v>1017</v>
      </c>
      <c r="C976" t="s">
        <v>64</v>
      </c>
      <c r="D976" t="s">
        <v>29</v>
      </c>
      <c r="E976" t="s">
        <v>43</v>
      </c>
      <c r="F976">
        <v>2013</v>
      </c>
      <c r="G976">
        <v>90</v>
      </c>
      <c r="H976">
        <v>0.22</v>
      </c>
      <c r="I976">
        <v>0.08</v>
      </c>
      <c r="J976">
        <v>0.05</v>
      </c>
      <c r="K976">
        <v>0.02</v>
      </c>
      <c r="L976">
        <v>7.0000000000000007E-2</v>
      </c>
      <c r="M976" t="s">
        <v>24</v>
      </c>
      <c r="N976" t="s">
        <v>1068</v>
      </c>
    </row>
    <row r="977" spans="1:14" x14ac:dyDescent="0.35">
      <c r="A977">
        <v>976</v>
      </c>
      <c r="B977" t="s">
        <v>1018</v>
      </c>
      <c r="C977" t="s">
        <v>64</v>
      </c>
      <c r="D977" t="s">
        <v>15</v>
      </c>
      <c r="E977" t="s">
        <v>46</v>
      </c>
      <c r="F977">
        <v>2014</v>
      </c>
      <c r="G977">
        <v>96</v>
      </c>
      <c r="H977">
        <v>0.13</v>
      </c>
      <c r="I977">
        <v>7.0000000000000007E-2</v>
      </c>
      <c r="J977">
        <v>0.04</v>
      </c>
      <c r="K977">
        <v>0.01</v>
      </c>
      <c r="L977">
        <v>0.01</v>
      </c>
      <c r="M977" t="s">
        <v>24</v>
      </c>
      <c r="N977" t="s">
        <v>1068</v>
      </c>
    </row>
    <row r="978" spans="1:14" x14ac:dyDescent="0.35">
      <c r="A978">
        <v>977</v>
      </c>
      <c r="B978" t="s">
        <v>1019</v>
      </c>
      <c r="C978" t="s">
        <v>23</v>
      </c>
      <c r="D978" t="s">
        <v>45</v>
      </c>
      <c r="E978" t="s">
        <v>20</v>
      </c>
      <c r="F978">
        <v>2025</v>
      </c>
      <c r="G978">
        <v>93</v>
      </c>
      <c r="H978">
        <v>0.92</v>
      </c>
      <c r="I978">
        <v>0.47</v>
      </c>
      <c r="J978">
        <v>0.3</v>
      </c>
      <c r="K978">
        <v>0.15</v>
      </c>
      <c r="L978">
        <v>0</v>
      </c>
      <c r="M978" t="s">
        <v>17</v>
      </c>
      <c r="N978" t="s">
        <v>1068</v>
      </c>
    </row>
    <row r="979" spans="1:14" x14ac:dyDescent="0.35">
      <c r="A979">
        <v>978</v>
      </c>
      <c r="B979" t="s">
        <v>1020</v>
      </c>
      <c r="C979" t="s">
        <v>19</v>
      </c>
      <c r="D979" t="s">
        <v>15</v>
      </c>
      <c r="E979" t="s">
        <v>46</v>
      </c>
      <c r="F979">
        <v>2021</v>
      </c>
      <c r="G979">
        <v>67</v>
      </c>
      <c r="H979">
        <v>0.98</v>
      </c>
      <c r="I979">
        <v>0.43</v>
      </c>
      <c r="J979">
        <v>0.23</v>
      </c>
      <c r="K979">
        <v>0.11</v>
      </c>
      <c r="L979">
        <v>0.21</v>
      </c>
      <c r="M979" t="s">
        <v>17</v>
      </c>
      <c r="N979" t="s">
        <v>1071</v>
      </c>
    </row>
    <row r="980" spans="1:14" x14ac:dyDescent="0.35">
      <c r="A980">
        <v>979</v>
      </c>
      <c r="B980" t="s">
        <v>1021</v>
      </c>
      <c r="C980" t="s">
        <v>14</v>
      </c>
      <c r="D980" t="s">
        <v>51</v>
      </c>
      <c r="E980" t="s">
        <v>60</v>
      </c>
      <c r="F980">
        <v>2013</v>
      </c>
      <c r="G980">
        <v>79</v>
      </c>
      <c r="H980">
        <v>0.13</v>
      </c>
      <c r="I980">
        <v>0.06</v>
      </c>
      <c r="J980">
        <v>0.03</v>
      </c>
      <c r="K980">
        <v>0.02</v>
      </c>
      <c r="L980">
        <v>0.02</v>
      </c>
      <c r="M980" t="s">
        <v>24</v>
      </c>
      <c r="N980" t="s">
        <v>1070</v>
      </c>
    </row>
    <row r="981" spans="1:14" x14ac:dyDescent="0.35">
      <c r="A981">
        <v>980</v>
      </c>
      <c r="B981" t="s">
        <v>1022</v>
      </c>
      <c r="C981" t="s">
        <v>59</v>
      </c>
      <c r="D981" t="s">
        <v>48</v>
      </c>
      <c r="E981" t="s">
        <v>74</v>
      </c>
      <c r="F981">
        <v>1998</v>
      </c>
      <c r="G981">
        <v>69</v>
      </c>
      <c r="H981">
        <v>0.35</v>
      </c>
      <c r="I981">
        <v>0.13</v>
      </c>
      <c r="J981">
        <v>0.09</v>
      </c>
      <c r="K981">
        <v>0.03</v>
      </c>
      <c r="L981">
        <v>0.1</v>
      </c>
      <c r="M981" t="s">
        <v>24</v>
      </c>
      <c r="N981" t="s">
        <v>1071</v>
      </c>
    </row>
    <row r="982" spans="1:14" x14ac:dyDescent="0.35">
      <c r="A982">
        <v>981</v>
      </c>
      <c r="B982" t="s">
        <v>1023</v>
      </c>
      <c r="C982" t="s">
        <v>57</v>
      </c>
      <c r="D982" t="s">
        <v>33</v>
      </c>
      <c r="E982" t="s">
        <v>60</v>
      </c>
      <c r="F982">
        <v>2005</v>
      </c>
      <c r="G982">
        <v>86</v>
      </c>
      <c r="H982">
        <v>0.56000000000000005</v>
      </c>
      <c r="I982">
        <v>0.24</v>
      </c>
      <c r="J982">
        <v>0.18</v>
      </c>
      <c r="K982">
        <v>7.0000000000000007E-2</v>
      </c>
      <c r="L982">
        <v>7.0000000000000007E-2</v>
      </c>
      <c r="M982" t="s">
        <v>17</v>
      </c>
      <c r="N982" t="s">
        <v>1069</v>
      </c>
    </row>
    <row r="983" spans="1:14" x14ac:dyDescent="0.35">
      <c r="A983">
        <v>982</v>
      </c>
      <c r="B983" t="s">
        <v>1024</v>
      </c>
      <c r="C983" t="s">
        <v>64</v>
      </c>
      <c r="D983" t="s">
        <v>15</v>
      </c>
      <c r="E983" t="s">
        <v>16</v>
      </c>
      <c r="F983">
        <v>2014</v>
      </c>
      <c r="G983">
        <v>74</v>
      </c>
      <c r="H983">
        <v>2.77</v>
      </c>
      <c r="I983">
        <v>0.99</v>
      </c>
      <c r="J983">
        <v>0.84</v>
      </c>
      <c r="K983">
        <v>0.39</v>
      </c>
      <c r="L983">
        <v>0.55000000000000004</v>
      </c>
      <c r="M983" t="s">
        <v>27</v>
      </c>
      <c r="N983" t="s">
        <v>1070</v>
      </c>
    </row>
    <row r="984" spans="1:14" x14ac:dyDescent="0.35">
      <c r="A984">
        <v>983</v>
      </c>
      <c r="B984" t="s">
        <v>1025</v>
      </c>
      <c r="C984" t="s">
        <v>64</v>
      </c>
      <c r="D984" t="s">
        <v>51</v>
      </c>
      <c r="E984" t="s">
        <v>52</v>
      </c>
      <c r="F984">
        <v>2011</v>
      </c>
      <c r="G984">
        <v>89</v>
      </c>
      <c r="H984">
        <v>0.28999999999999998</v>
      </c>
      <c r="I984">
        <v>0.12</v>
      </c>
      <c r="J984">
        <v>0.08</v>
      </c>
      <c r="K984">
        <v>0.04</v>
      </c>
      <c r="L984">
        <v>0.05</v>
      </c>
      <c r="M984" t="s">
        <v>24</v>
      </c>
      <c r="N984" t="s">
        <v>1069</v>
      </c>
    </row>
    <row r="985" spans="1:14" x14ac:dyDescent="0.35">
      <c r="A985">
        <v>984</v>
      </c>
      <c r="B985" t="s">
        <v>1026</v>
      </c>
      <c r="C985" t="s">
        <v>23</v>
      </c>
      <c r="D985" t="s">
        <v>33</v>
      </c>
      <c r="E985" t="s">
        <v>49</v>
      </c>
      <c r="F985">
        <v>2026</v>
      </c>
      <c r="G985">
        <v>79</v>
      </c>
      <c r="H985">
        <v>0.76</v>
      </c>
      <c r="I985">
        <v>0.3</v>
      </c>
      <c r="J985">
        <v>0.25</v>
      </c>
      <c r="K985">
        <v>0.05</v>
      </c>
      <c r="L985">
        <v>0.16</v>
      </c>
      <c r="M985" t="s">
        <v>17</v>
      </c>
      <c r="N985" t="s">
        <v>1070</v>
      </c>
    </row>
    <row r="986" spans="1:14" x14ac:dyDescent="0.35">
      <c r="A986">
        <v>985</v>
      </c>
      <c r="B986" t="s">
        <v>1027</v>
      </c>
      <c r="C986" t="s">
        <v>19</v>
      </c>
      <c r="D986" t="s">
        <v>37</v>
      </c>
      <c r="E986" t="s">
        <v>60</v>
      </c>
      <c r="F986">
        <v>2020</v>
      </c>
      <c r="G986">
        <v>90</v>
      </c>
      <c r="H986">
        <v>0.71</v>
      </c>
      <c r="I986">
        <v>0.27</v>
      </c>
      <c r="J986">
        <v>0.25</v>
      </c>
      <c r="K986">
        <v>0.11</v>
      </c>
      <c r="L986">
        <v>0.08</v>
      </c>
      <c r="M986" t="s">
        <v>17</v>
      </c>
      <c r="N986" t="s">
        <v>1068</v>
      </c>
    </row>
    <row r="987" spans="1:14" x14ac:dyDescent="0.35">
      <c r="A987">
        <v>986</v>
      </c>
      <c r="B987" t="s">
        <v>1028</v>
      </c>
      <c r="C987" t="s">
        <v>57</v>
      </c>
      <c r="D987" t="s">
        <v>65</v>
      </c>
      <c r="E987" t="s">
        <v>43</v>
      </c>
      <c r="F987">
        <v>2008</v>
      </c>
      <c r="G987">
        <v>91</v>
      </c>
      <c r="H987">
        <v>0.63</v>
      </c>
      <c r="I987">
        <v>0.28999999999999998</v>
      </c>
      <c r="J987">
        <v>0.15</v>
      </c>
      <c r="K987">
        <v>0.09</v>
      </c>
      <c r="L987">
        <v>0.1</v>
      </c>
      <c r="M987" t="s">
        <v>17</v>
      </c>
      <c r="N987" t="s">
        <v>1068</v>
      </c>
    </row>
    <row r="988" spans="1:14" x14ac:dyDescent="0.35">
      <c r="A988">
        <v>987</v>
      </c>
      <c r="B988" t="s">
        <v>1029</v>
      </c>
      <c r="C988" t="s">
        <v>57</v>
      </c>
      <c r="D988" t="s">
        <v>65</v>
      </c>
      <c r="E988" t="s">
        <v>74</v>
      </c>
      <c r="F988">
        <v>2009</v>
      </c>
      <c r="G988">
        <v>84</v>
      </c>
      <c r="H988">
        <v>0.26</v>
      </c>
      <c r="I988">
        <v>0.12</v>
      </c>
      <c r="J988">
        <v>0.09</v>
      </c>
      <c r="K988">
        <v>0.05</v>
      </c>
      <c r="L988">
        <v>0</v>
      </c>
      <c r="M988" t="s">
        <v>24</v>
      </c>
      <c r="N988" t="s">
        <v>1069</v>
      </c>
    </row>
    <row r="989" spans="1:14" x14ac:dyDescent="0.35">
      <c r="A989">
        <v>988</v>
      </c>
      <c r="B989" t="s">
        <v>1030</v>
      </c>
      <c r="C989" t="s">
        <v>31</v>
      </c>
      <c r="D989" t="s">
        <v>62</v>
      </c>
      <c r="E989" t="s">
        <v>20</v>
      </c>
      <c r="F989">
        <v>2004</v>
      </c>
      <c r="G989">
        <v>66</v>
      </c>
      <c r="H989">
        <v>1.93</v>
      </c>
      <c r="I989">
        <v>0.75</v>
      </c>
      <c r="J989">
        <v>0.59</v>
      </c>
      <c r="K989">
        <v>0.25</v>
      </c>
      <c r="L989">
        <v>0.34</v>
      </c>
      <c r="M989" t="s">
        <v>17</v>
      </c>
      <c r="N989" t="s">
        <v>1071</v>
      </c>
    </row>
    <row r="990" spans="1:14" x14ac:dyDescent="0.35">
      <c r="A990">
        <v>989</v>
      </c>
      <c r="B990" t="s">
        <v>1031</v>
      </c>
      <c r="C990" t="s">
        <v>14</v>
      </c>
      <c r="D990" t="s">
        <v>15</v>
      </c>
      <c r="E990" t="s">
        <v>74</v>
      </c>
      <c r="F990">
        <v>2007</v>
      </c>
      <c r="G990">
        <v>65</v>
      </c>
      <c r="H990">
        <v>1.45</v>
      </c>
      <c r="I990">
        <v>0.51</v>
      </c>
      <c r="J990">
        <v>0.33</v>
      </c>
      <c r="K990">
        <v>0.13</v>
      </c>
      <c r="L990">
        <v>0.48</v>
      </c>
      <c r="M990" t="s">
        <v>17</v>
      </c>
      <c r="N990" t="s">
        <v>1071</v>
      </c>
    </row>
    <row r="991" spans="1:14" x14ac:dyDescent="0.35">
      <c r="A991">
        <v>990</v>
      </c>
      <c r="B991" t="s">
        <v>1032</v>
      </c>
      <c r="C991" t="s">
        <v>64</v>
      </c>
      <c r="D991" t="s">
        <v>2</v>
      </c>
      <c r="E991" t="s">
        <v>46</v>
      </c>
      <c r="F991">
        <v>2017</v>
      </c>
      <c r="G991">
        <v>80</v>
      </c>
      <c r="H991">
        <v>1.36</v>
      </c>
      <c r="I991">
        <v>0.65</v>
      </c>
      <c r="J991">
        <v>0.31</v>
      </c>
      <c r="K991">
        <v>0.19</v>
      </c>
      <c r="L991">
        <v>0.21</v>
      </c>
      <c r="M991" t="s">
        <v>17</v>
      </c>
      <c r="N991" t="s">
        <v>1069</v>
      </c>
    </row>
    <row r="992" spans="1:14" x14ac:dyDescent="0.35">
      <c r="A992">
        <v>991</v>
      </c>
      <c r="B992" t="s">
        <v>1033</v>
      </c>
      <c r="C992" t="s">
        <v>59</v>
      </c>
      <c r="D992" t="s">
        <v>48</v>
      </c>
      <c r="E992" t="s">
        <v>46</v>
      </c>
      <c r="F992">
        <v>2000</v>
      </c>
      <c r="G992">
        <v>91</v>
      </c>
      <c r="H992">
        <v>0.72</v>
      </c>
      <c r="I992">
        <v>0.3</v>
      </c>
      <c r="J992">
        <v>0.23</v>
      </c>
      <c r="K992">
        <v>0.1</v>
      </c>
      <c r="L992">
        <v>0.09</v>
      </c>
      <c r="M992" t="s">
        <v>17</v>
      </c>
      <c r="N992" t="s">
        <v>1068</v>
      </c>
    </row>
    <row r="993" spans="1:14" x14ac:dyDescent="0.35">
      <c r="A993">
        <v>992</v>
      </c>
      <c r="B993" t="s">
        <v>1034</v>
      </c>
      <c r="C993" t="s">
        <v>14</v>
      </c>
      <c r="D993" t="s">
        <v>48</v>
      </c>
      <c r="E993" t="s">
        <v>54</v>
      </c>
      <c r="F993">
        <v>2013</v>
      </c>
      <c r="G993">
        <v>68</v>
      </c>
      <c r="H993">
        <v>0.31</v>
      </c>
      <c r="I993">
        <v>0.16</v>
      </c>
      <c r="J993">
        <v>0.08</v>
      </c>
      <c r="K993">
        <v>0.06</v>
      </c>
      <c r="L993">
        <v>0.01</v>
      </c>
      <c r="M993" t="s">
        <v>24</v>
      </c>
      <c r="N993" t="s">
        <v>1071</v>
      </c>
    </row>
    <row r="994" spans="1:14" x14ac:dyDescent="0.35">
      <c r="A994">
        <v>993</v>
      </c>
      <c r="B994" t="s">
        <v>1035</v>
      </c>
      <c r="C994" t="s">
        <v>59</v>
      </c>
      <c r="D994" t="s">
        <v>65</v>
      </c>
      <c r="E994" t="s">
        <v>16</v>
      </c>
      <c r="F994">
        <v>1996</v>
      </c>
      <c r="G994">
        <v>75</v>
      </c>
      <c r="H994">
        <v>0.11</v>
      </c>
      <c r="I994">
        <v>0.04</v>
      </c>
      <c r="J994">
        <v>0.03</v>
      </c>
      <c r="K994">
        <v>0.02</v>
      </c>
      <c r="L994">
        <v>0.02</v>
      </c>
      <c r="M994" t="s">
        <v>24</v>
      </c>
      <c r="N994" t="s">
        <v>1070</v>
      </c>
    </row>
    <row r="995" spans="1:14" x14ac:dyDescent="0.35">
      <c r="A995">
        <v>994</v>
      </c>
      <c r="B995" t="s">
        <v>1036</v>
      </c>
      <c r="C995" t="s">
        <v>57</v>
      </c>
      <c r="D995" t="s">
        <v>29</v>
      </c>
      <c r="E995" t="s">
        <v>46</v>
      </c>
      <c r="F995">
        <v>2011</v>
      </c>
      <c r="G995">
        <v>88</v>
      </c>
      <c r="H995">
        <v>0.09</v>
      </c>
      <c r="I995">
        <v>0.04</v>
      </c>
      <c r="J995">
        <v>0.02</v>
      </c>
      <c r="K995">
        <v>0.01</v>
      </c>
      <c r="L995">
        <v>0.02</v>
      </c>
      <c r="M995" t="s">
        <v>24</v>
      </c>
      <c r="N995" t="s">
        <v>1069</v>
      </c>
    </row>
    <row r="996" spans="1:14" x14ac:dyDescent="0.35">
      <c r="A996">
        <v>995</v>
      </c>
      <c r="B996" t="s">
        <v>1037</v>
      </c>
      <c r="C996" t="s">
        <v>14</v>
      </c>
      <c r="D996" t="s">
        <v>45</v>
      </c>
      <c r="E996" t="s">
        <v>60</v>
      </c>
      <c r="F996">
        <v>2008</v>
      </c>
      <c r="G996">
        <v>71</v>
      </c>
      <c r="H996">
        <v>1.1299999999999999</v>
      </c>
      <c r="I996">
        <v>0.49</v>
      </c>
      <c r="J996">
        <v>0.28999999999999998</v>
      </c>
      <c r="K996">
        <v>0.06</v>
      </c>
      <c r="L996">
        <v>0.28999999999999998</v>
      </c>
      <c r="M996" t="s">
        <v>17</v>
      </c>
      <c r="N996" t="s">
        <v>1070</v>
      </c>
    </row>
    <row r="997" spans="1:14" x14ac:dyDescent="0.35">
      <c r="A997">
        <v>996</v>
      </c>
      <c r="B997" t="s">
        <v>1038</v>
      </c>
      <c r="C997" t="s">
        <v>14</v>
      </c>
      <c r="D997" t="s">
        <v>29</v>
      </c>
      <c r="E997" t="s">
        <v>41</v>
      </c>
      <c r="F997">
        <v>2013</v>
      </c>
      <c r="G997">
        <v>90</v>
      </c>
      <c r="H997">
        <v>0.27</v>
      </c>
      <c r="I997">
        <v>0.14000000000000001</v>
      </c>
      <c r="J997">
        <v>0.09</v>
      </c>
      <c r="K997">
        <v>0.02</v>
      </c>
      <c r="L997">
        <v>0.02</v>
      </c>
      <c r="M997" t="s">
        <v>24</v>
      </c>
      <c r="N997" t="s">
        <v>1068</v>
      </c>
    </row>
    <row r="998" spans="1:14" x14ac:dyDescent="0.35">
      <c r="A998">
        <v>997</v>
      </c>
      <c r="B998" t="s">
        <v>1039</v>
      </c>
      <c r="C998" t="s">
        <v>14</v>
      </c>
      <c r="D998" t="s">
        <v>15</v>
      </c>
      <c r="E998" t="s">
        <v>74</v>
      </c>
      <c r="F998">
        <v>2009</v>
      </c>
      <c r="G998">
        <v>61</v>
      </c>
      <c r="H998">
        <v>0.59</v>
      </c>
      <c r="I998">
        <v>0.24</v>
      </c>
      <c r="J998">
        <v>0.18</v>
      </c>
      <c r="K998">
        <v>0.09</v>
      </c>
      <c r="L998">
        <v>0.08</v>
      </c>
      <c r="M998" t="s">
        <v>17</v>
      </c>
      <c r="N998" t="s">
        <v>1071</v>
      </c>
    </row>
    <row r="999" spans="1:14" x14ac:dyDescent="0.35">
      <c r="A999">
        <v>998</v>
      </c>
      <c r="B999" t="s">
        <v>1040</v>
      </c>
      <c r="C999" t="s">
        <v>19</v>
      </c>
      <c r="D999" t="s">
        <v>51</v>
      </c>
      <c r="E999" t="s">
        <v>46</v>
      </c>
      <c r="F999">
        <v>2013</v>
      </c>
      <c r="G999">
        <v>56</v>
      </c>
      <c r="H999">
        <v>0.8</v>
      </c>
      <c r="I999">
        <v>0.41</v>
      </c>
      <c r="J999">
        <v>0.25</v>
      </c>
      <c r="K999">
        <v>0.14000000000000001</v>
      </c>
      <c r="L999">
        <v>0</v>
      </c>
      <c r="M999" t="s">
        <v>17</v>
      </c>
      <c r="N999" t="s">
        <v>1071</v>
      </c>
    </row>
    <row r="1000" spans="1:14" x14ac:dyDescent="0.35">
      <c r="A1000">
        <v>999</v>
      </c>
      <c r="B1000" t="s">
        <v>1041</v>
      </c>
      <c r="C1000" t="s">
        <v>59</v>
      </c>
      <c r="D1000" t="s">
        <v>15</v>
      </c>
      <c r="E1000" t="s">
        <v>74</v>
      </c>
      <c r="F1000">
        <v>1997</v>
      </c>
      <c r="G1000">
        <v>63</v>
      </c>
      <c r="H1000">
        <v>0.14000000000000001</v>
      </c>
      <c r="I1000">
        <v>7.0000000000000007E-2</v>
      </c>
      <c r="J1000">
        <v>0.03</v>
      </c>
      <c r="K1000">
        <v>0.03</v>
      </c>
      <c r="L1000">
        <v>0.01</v>
      </c>
      <c r="M1000" t="s">
        <v>24</v>
      </c>
      <c r="N1000" t="s">
        <v>1071</v>
      </c>
    </row>
    <row r="1001" spans="1:14" x14ac:dyDescent="0.35">
      <c r="A1001">
        <v>1000</v>
      </c>
      <c r="B1001" t="s">
        <v>1042</v>
      </c>
      <c r="C1001" t="s">
        <v>14</v>
      </c>
      <c r="D1001" t="s">
        <v>2</v>
      </c>
      <c r="E1001" t="s">
        <v>20</v>
      </c>
      <c r="F1001">
        <v>2009</v>
      </c>
      <c r="G1001">
        <v>65</v>
      </c>
      <c r="H1001">
        <v>2.69</v>
      </c>
      <c r="I1001">
        <v>1.44</v>
      </c>
      <c r="J1001">
        <v>0.74</v>
      </c>
      <c r="K1001">
        <v>0.51</v>
      </c>
      <c r="L1001">
        <v>0</v>
      </c>
      <c r="M1001" t="s">
        <v>27</v>
      </c>
      <c r="N1001" t="s">
        <v>1071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election activeCell="C1" sqref="C1:D11"/>
    </sheetView>
  </sheetViews>
  <sheetFormatPr defaultRowHeight="14.5" x14ac:dyDescent="0.35"/>
  <sheetData>
    <row r="1" spans="1:3" x14ac:dyDescent="0.35">
      <c r="A1" s="1" t="s">
        <v>2</v>
      </c>
      <c r="B1" s="1" t="s">
        <v>3</v>
      </c>
      <c r="C1" s="1" t="s">
        <v>4</v>
      </c>
    </row>
    <row r="2" spans="1:3" x14ac:dyDescent="0.35">
      <c r="A2" t="s">
        <v>59</v>
      </c>
      <c r="B2" t="s">
        <v>15</v>
      </c>
      <c r="C2" t="s">
        <v>20</v>
      </c>
    </row>
    <row r="3" spans="1:3" x14ac:dyDescent="0.35">
      <c r="A3" t="s">
        <v>31</v>
      </c>
      <c r="B3" t="s">
        <v>33</v>
      </c>
      <c r="C3" t="s">
        <v>49</v>
      </c>
    </row>
    <row r="4" spans="1:3" x14ac:dyDescent="0.35">
      <c r="A4" t="s">
        <v>14</v>
      </c>
      <c r="B4" t="s">
        <v>37</v>
      </c>
      <c r="C4" t="s">
        <v>54</v>
      </c>
    </row>
    <row r="5" spans="1:3" x14ac:dyDescent="0.35">
      <c r="A5" t="s">
        <v>19</v>
      </c>
      <c r="B5" t="s">
        <v>48</v>
      </c>
      <c r="C5" t="s">
        <v>52</v>
      </c>
    </row>
    <row r="6" spans="1:3" x14ac:dyDescent="0.35">
      <c r="A6" t="s">
        <v>23</v>
      </c>
      <c r="B6" t="s">
        <v>51</v>
      </c>
      <c r="C6" t="s">
        <v>46</v>
      </c>
    </row>
    <row r="7" spans="1:3" x14ac:dyDescent="0.35">
      <c r="A7" t="s">
        <v>57</v>
      </c>
      <c r="B7" t="s">
        <v>29</v>
      </c>
      <c r="C7" t="s">
        <v>43</v>
      </c>
    </row>
    <row r="8" spans="1:3" x14ac:dyDescent="0.35">
      <c r="A8" t="s">
        <v>64</v>
      </c>
      <c r="B8" t="s">
        <v>45</v>
      </c>
      <c r="C8" t="s">
        <v>41</v>
      </c>
    </row>
    <row r="9" spans="1:3" x14ac:dyDescent="0.35">
      <c r="B9" t="s">
        <v>62</v>
      </c>
      <c r="C9" t="s">
        <v>16</v>
      </c>
    </row>
    <row r="10" spans="1:3" x14ac:dyDescent="0.35">
      <c r="B10" t="s">
        <v>65</v>
      </c>
      <c r="C10" t="s">
        <v>60</v>
      </c>
    </row>
    <row r="11" spans="1:3" x14ac:dyDescent="0.35">
      <c r="B11" t="s">
        <v>2</v>
      </c>
      <c r="C11" t="s">
        <v>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Tables</vt:lpstr>
      <vt:lpstr>PlayStation Games</vt:lpstr>
      <vt:lpstr>OG Dataset</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Mayank Borkar</cp:lastModifiedBy>
  <dcterms:created xsi:type="dcterms:W3CDTF">2026-08-23T09:48:28Z</dcterms:created>
  <dcterms:modified xsi:type="dcterms:W3CDTF">2026-09-28T17:29:41Z</dcterms:modified>
</cp:coreProperties>
</file>